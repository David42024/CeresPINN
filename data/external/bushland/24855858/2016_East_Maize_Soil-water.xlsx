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defaultThemeVersion="124226"/>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E5622DD2-20AA-43C1-9EEB-0293A0FA789E}" xr6:coauthVersionLast="46" xr6:coauthVersionMax="46" xr10:uidLastSave="{00000000-0000-0000-0000-000000000000}"/>
  <bookViews>
    <workbookView xWindow="-108" yWindow="-108" windowWidth="23256" windowHeight="13404" tabRatio="847" firstSheet="2" activeTab="7" xr2:uid="{00000000-000D-0000-FFFF-FFFF00000000}"/>
  </bookViews>
  <sheets>
    <sheet name="2016 E Maize VWC Introduction" sheetId="50" r:id="rId1"/>
    <sheet name="Dic. 2016 E Maize Profile WC" sheetId="51" r:id="rId2"/>
    <sheet name="2016 E Maize Profile WC" sheetId="52" r:id="rId3"/>
    <sheet name="Dic. 2016 E Maize Soil VWC" sheetId="53" r:id="rId4"/>
    <sheet name="2016 E Maize Soil VWC" sheetId="56" r:id="rId5"/>
    <sheet name="Dic. 2016 E Maize Tube Map" sheetId="58" r:id="rId6"/>
    <sheet name="2016 E Maize Tube Map" sheetId="34" r:id="rId7"/>
    <sheet name="2016 E Maize VWC Graphs" sheetId="5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52" l="1"/>
  <c r="B17" i="52"/>
  <c r="B16" i="52"/>
  <c r="B15" i="52"/>
  <c r="B14" i="52"/>
  <c r="B13" i="52"/>
  <c r="B12" i="52"/>
  <c r="B11" i="52"/>
  <c r="B10" i="52"/>
  <c r="B9" i="52"/>
  <c r="B8" i="52"/>
  <c r="B7" i="52"/>
  <c r="B6" i="52"/>
  <c r="B5" i="52"/>
  <c r="B4" i="52"/>
  <c r="B3" i="52"/>
  <c r="B2" i="52"/>
  <c r="CB28" i="57" l="1"/>
  <c r="CA28" i="57"/>
  <c r="BZ28" i="57"/>
  <c r="BY28" i="57"/>
  <c r="BX28" i="57"/>
  <c r="BW28" i="57"/>
  <c r="BV28" i="57"/>
  <c r="BU28" i="57"/>
  <c r="BT28" i="57"/>
  <c r="BS28" i="57"/>
  <c r="BR28" i="57"/>
  <c r="BQ28" i="57"/>
  <c r="BP28" i="57"/>
  <c r="BO28" i="57"/>
  <c r="CB27" i="57"/>
  <c r="CA27" i="57"/>
  <c r="BZ27" i="57"/>
  <c r="BY27" i="57"/>
  <c r="BX27" i="57"/>
  <c r="BW27" i="57"/>
  <c r="BV27" i="57"/>
  <c r="BU27" i="57"/>
  <c r="BT27" i="57"/>
  <c r="BS27" i="57"/>
  <c r="BR27" i="57"/>
  <c r="BQ27" i="57"/>
  <c r="BP27" i="57"/>
  <c r="BO27" i="57"/>
  <c r="CB26" i="57"/>
  <c r="CA26" i="57"/>
  <c r="BZ26" i="57"/>
  <c r="BY26" i="57"/>
  <c r="BX26" i="57"/>
  <c r="BW26" i="57"/>
  <c r="BV26" i="57"/>
  <c r="BU26" i="57"/>
  <c r="BT26" i="57"/>
  <c r="BS26" i="57"/>
  <c r="BR26" i="57"/>
  <c r="BQ26" i="57"/>
  <c r="BP26" i="57"/>
  <c r="BO26" i="57"/>
  <c r="CB25" i="57"/>
  <c r="CA25" i="57"/>
  <c r="BZ25" i="57"/>
  <c r="BY25" i="57"/>
  <c r="BX25" i="57"/>
  <c r="BW25" i="57"/>
  <c r="BV25" i="57"/>
  <c r="BU25" i="57"/>
  <c r="BT25" i="57"/>
  <c r="BS25" i="57"/>
  <c r="BR25" i="57"/>
  <c r="BQ25" i="57"/>
  <c r="BP25" i="57"/>
  <c r="BO25" i="57"/>
  <c r="CB24" i="57"/>
  <c r="CA24" i="57"/>
  <c r="BZ24" i="57"/>
  <c r="BY24" i="57"/>
  <c r="BX24" i="57"/>
  <c r="BW24" i="57"/>
  <c r="BV24" i="57"/>
  <c r="BU24" i="57"/>
  <c r="BT24" i="57"/>
  <c r="BS24" i="57"/>
  <c r="BR24" i="57"/>
  <c r="BQ24" i="57"/>
  <c r="BP24" i="57"/>
  <c r="BO24" i="57"/>
  <c r="CB23" i="57"/>
  <c r="CA23" i="57"/>
  <c r="BZ23" i="57"/>
  <c r="BY23" i="57"/>
  <c r="BX23" i="57"/>
  <c r="BW23" i="57"/>
  <c r="BV23" i="57"/>
  <c r="BU23" i="57"/>
  <c r="BT23" i="57"/>
  <c r="BS23" i="57"/>
  <c r="BR23" i="57"/>
  <c r="BQ23" i="57"/>
  <c r="BP23" i="57"/>
  <c r="BO23" i="57"/>
  <c r="CB22" i="57"/>
  <c r="CA22" i="57"/>
  <c r="BZ22" i="57"/>
  <c r="BY22" i="57"/>
  <c r="BX22" i="57"/>
  <c r="BW22" i="57"/>
  <c r="BV22" i="57"/>
  <c r="BU22" i="57"/>
  <c r="BT22" i="57"/>
  <c r="BS22" i="57"/>
  <c r="BR22" i="57"/>
  <c r="BQ22" i="57"/>
  <c r="BP22" i="57"/>
  <c r="BO22" i="57"/>
  <c r="CB21" i="57"/>
  <c r="CA21" i="57"/>
  <c r="BZ21" i="57"/>
  <c r="BY21" i="57"/>
  <c r="BX21" i="57"/>
  <c r="BW21" i="57"/>
  <c r="BV21" i="57"/>
  <c r="BU21" i="57"/>
  <c r="BT21" i="57"/>
  <c r="BS21" i="57"/>
  <c r="BR21" i="57"/>
  <c r="BQ21" i="57"/>
  <c r="BP21" i="57"/>
  <c r="BO21" i="57"/>
  <c r="CB20" i="57"/>
  <c r="CA20" i="57"/>
  <c r="BZ20" i="57"/>
  <c r="BY20" i="57"/>
  <c r="BX20" i="57"/>
  <c r="BW20" i="57"/>
  <c r="BV20" i="57"/>
  <c r="BU20" i="57"/>
  <c r="BT20" i="57"/>
  <c r="BS20" i="57"/>
  <c r="BR20" i="57"/>
  <c r="BQ20" i="57"/>
  <c r="BP20" i="57"/>
  <c r="BO20" i="57"/>
  <c r="CB19" i="57"/>
  <c r="CA19" i="57"/>
  <c r="BZ19" i="57"/>
  <c r="BY19" i="57"/>
  <c r="BX19" i="57"/>
  <c r="BW19" i="57"/>
  <c r="BV19" i="57"/>
  <c r="BU19" i="57"/>
  <c r="BT19" i="57"/>
  <c r="BS19" i="57"/>
  <c r="BR19" i="57"/>
  <c r="BQ19" i="57"/>
  <c r="BP19" i="57"/>
  <c r="BO19" i="57"/>
  <c r="CB18" i="57"/>
  <c r="CA18" i="57"/>
  <c r="BZ18" i="57"/>
  <c r="BY18" i="57"/>
  <c r="BX18" i="57"/>
  <c r="BW18" i="57"/>
  <c r="BV18" i="57"/>
  <c r="BU18" i="57"/>
  <c r="BT18" i="57"/>
  <c r="BS18" i="57"/>
  <c r="BR18" i="57"/>
  <c r="BQ18" i="57"/>
  <c r="BP18" i="57"/>
  <c r="BO18" i="57"/>
  <c r="AV225" i="57" a="1"/>
  <c r="AV225" i="57" s="1"/>
  <c r="AU225" i="57" a="1"/>
  <c r="AU225" i="57" s="1"/>
  <c r="AT225" i="57" a="1"/>
  <c r="AT225" i="57" s="1"/>
  <c r="AS225" i="57" a="1"/>
  <c r="AS225" i="57" s="1"/>
  <c r="AR225" i="57" a="1"/>
  <c r="AR225" i="57" s="1"/>
  <c r="AQ225" i="57" a="1"/>
  <c r="AQ225" i="57" s="1"/>
  <c r="AP225" i="57" a="1"/>
  <c r="AP225" i="57" s="1"/>
  <c r="AO225" i="57" a="1"/>
  <c r="AO225" i="57" s="1"/>
  <c r="AN225" i="57" a="1"/>
  <c r="AN225" i="57" s="1"/>
  <c r="AM225" i="57" a="1"/>
  <c r="AM225" i="57" s="1"/>
  <c r="AL225" i="57" a="1"/>
  <c r="AL225" i="57" s="1"/>
  <c r="AK225" i="57" a="1"/>
  <c r="AK225" i="57" s="1"/>
  <c r="AJ225" i="57" a="1"/>
  <c r="AJ225" i="57" s="1"/>
  <c r="AI225" i="57" a="1"/>
  <c r="AI225" i="57" s="1"/>
  <c r="AH225" i="57" a="1"/>
  <c r="AH225" i="57" s="1"/>
  <c r="AG225" i="57" a="1"/>
  <c r="AG225" i="57" s="1"/>
  <c r="AF225" i="57" a="1"/>
  <c r="AF225" i="57" s="1"/>
  <c r="AE225" i="57" a="1"/>
  <c r="AE225" i="57" s="1"/>
  <c r="AD225" i="57" a="1"/>
  <c r="AD225" i="57" s="1"/>
  <c r="AC225" i="57" a="1"/>
  <c r="AC225" i="57" s="1"/>
  <c r="AV224" i="57" a="1"/>
  <c r="AV224" i="57" s="1"/>
  <c r="AU224" i="57" a="1"/>
  <c r="AU224" i="57" s="1"/>
  <c r="AT224" i="57" a="1"/>
  <c r="AT224" i="57" s="1"/>
  <c r="AS224" i="57" a="1"/>
  <c r="AS224" i="57" s="1"/>
  <c r="AR224" i="57" a="1"/>
  <c r="AR224" i="57" s="1"/>
  <c r="AQ224" i="57" a="1"/>
  <c r="AQ224" i="57" s="1"/>
  <c r="AP224" i="57" a="1"/>
  <c r="AP224" i="57" s="1"/>
  <c r="AO224" i="57" a="1"/>
  <c r="AO224" i="57" s="1"/>
  <c r="AN224" i="57" a="1"/>
  <c r="AN224" i="57" s="1"/>
  <c r="AM224" i="57" a="1"/>
  <c r="AM224" i="57" s="1"/>
  <c r="AL224" i="57" a="1"/>
  <c r="AL224" i="57" s="1"/>
  <c r="AK224" i="57" a="1"/>
  <c r="AK224" i="57" s="1"/>
  <c r="AJ224" i="57" a="1"/>
  <c r="AJ224" i="57" s="1"/>
  <c r="AI224" i="57" a="1"/>
  <c r="AI224" i="57" s="1"/>
  <c r="AH224" i="57" a="1"/>
  <c r="AH224" i="57" s="1"/>
  <c r="AG224" i="57" a="1"/>
  <c r="AG224" i="57" s="1"/>
  <c r="AF224" i="57" a="1"/>
  <c r="AF224" i="57" s="1"/>
  <c r="AE224" i="57" a="1"/>
  <c r="AE224" i="57" s="1"/>
  <c r="AD224" i="57" a="1"/>
  <c r="AD224" i="57" s="1"/>
  <c r="AC224" i="57" a="1"/>
  <c r="AC224" i="57" s="1"/>
  <c r="AV223" i="57" a="1"/>
  <c r="AV223" i="57" s="1"/>
  <c r="AU223" i="57" a="1"/>
  <c r="AU223" i="57" s="1"/>
  <c r="AT223" i="57" a="1"/>
  <c r="AT223" i="57" s="1"/>
  <c r="AS223" i="57" a="1"/>
  <c r="AS223" i="57" s="1"/>
  <c r="AR223" i="57" a="1"/>
  <c r="AR223" i="57" s="1"/>
  <c r="AQ223" i="57" a="1"/>
  <c r="AQ223" i="57" s="1"/>
  <c r="AP223" i="57" a="1"/>
  <c r="AP223" i="57" s="1"/>
  <c r="AO223" i="57" a="1"/>
  <c r="AO223" i="57" s="1"/>
  <c r="AN223" i="57" a="1"/>
  <c r="AN223" i="57" s="1"/>
  <c r="AM223" i="57" a="1"/>
  <c r="AM223" i="57" s="1"/>
  <c r="AL223" i="57" a="1"/>
  <c r="AL223" i="57" s="1"/>
  <c r="AK223" i="57" a="1"/>
  <c r="AK223" i="57" s="1"/>
  <c r="AJ223" i="57" a="1"/>
  <c r="AJ223" i="57" s="1"/>
  <c r="AI223" i="57" a="1"/>
  <c r="AI223" i="57" s="1"/>
  <c r="AH223" i="57" a="1"/>
  <c r="AH223" i="57" s="1"/>
  <c r="AG223" i="57" a="1"/>
  <c r="AG223" i="57" s="1"/>
  <c r="AF223" i="57" a="1"/>
  <c r="AF223" i="57" s="1"/>
  <c r="AE223" i="57" a="1"/>
  <c r="AE223" i="57" s="1"/>
  <c r="AD223" i="57" a="1"/>
  <c r="AD223" i="57" s="1"/>
  <c r="AC223" i="57" a="1"/>
  <c r="AC223" i="57" s="1"/>
  <c r="AV222" i="57" a="1"/>
  <c r="AV222" i="57" s="1"/>
  <c r="AU222" i="57" a="1"/>
  <c r="AU222" i="57" s="1"/>
  <c r="AT222" i="57" a="1"/>
  <c r="AT222" i="57" s="1"/>
  <c r="AS222" i="57" a="1"/>
  <c r="AS222" i="57" s="1"/>
  <c r="AR222" i="57" a="1"/>
  <c r="AR222" i="57" s="1"/>
  <c r="AQ222" i="57" a="1"/>
  <c r="AQ222" i="57" s="1"/>
  <c r="AP222" i="57" a="1"/>
  <c r="AP222" i="57" s="1"/>
  <c r="AO222" i="57" a="1"/>
  <c r="AO222" i="57" s="1"/>
  <c r="AN222" i="57" a="1"/>
  <c r="AN222" i="57" s="1"/>
  <c r="AM222" i="57" a="1"/>
  <c r="AM222" i="57" s="1"/>
  <c r="AL222" i="57" a="1"/>
  <c r="AL222" i="57" s="1"/>
  <c r="AK222" i="57" a="1"/>
  <c r="AK222" i="57" s="1"/>
  <c r="AJ222" i="57" a="1"/>
  <c r="AJ222" i="57" s="1"/>
  <c r="AI222" i="57" a="1"/>
  <c r="AI222" i="57" s="1"/>
  <c r="AH222" i="57" a="1"/>
  <c r="AH222" i="57" s="1"/>
  <c r="AG222" i="57" a="1"/>
  <c r="AG222" i="57" s="1"/>
  <c r="AF222" i="57" a="1"/>
  <c r="AF222" i="57" s="1"/>
  <c r="AE222" i="57" a="1"/>
  <c r="AE222" i="57" s="1"/>
  <c r="AD222" i="57" a="1"/>
  <c r="AD222" i="57" s="1"/>
  <c r="AC222" i="57" a="1"/>
  <c r="AC222" i="57" s="1"/>
  <c r="AV221" i="57" a="1"/>
  <c r="AV221" i="57" s="1"/>
  <c r="AU221" i="57" a="1"/>
  <c r="AU221" i="57" s="1"/>
  <c r="AT221" i="57" a="1"/>
  <c r="AT221" i="57" s="1"/>
  <c r="AS221" i="57" a="1"/>
  <c r="AS221" i="57" s="1"/>
  <c r="AR221" i="57" a="1"/>
  <c r="AR221" i="57" s="1"/>
  <c r="AQ221" i="57" a="1"/>
  <c r="AQ221" i="57" s="1"/>
  <c r="AP221" i="57" a="1"/>
  <c r="AP221" i="57" s="1"/>
  <c r="AO221" i="57" a="1"/>
  <c r="AO221" i="57" s="1"/>
  <c r="AN221" i="57" a="1"/>
  <c r="AN221" i="57" s="1"/>
  <c r="AM221" i="57" a="1"/>
  <c r="AM221" i="57" s="1"/>
  <c r="AL221" i="57" a="1"/>
  <c r="AL221" i="57" s="1"/>
  <c r="AK221" i="57" a="1"/>
  <c r="AK221" i="57" s="1"/>
  <c r="AJ221" i="57" a="1"/>
  <c r="AJ221" i="57" s="1"/>
  <c r="AI221" i="57" a="1"/>
  <c r="AI221" i="57" s="1"/>
  <c r="AH221" i="57" a="1"/>
  <c r="AH221" i="57" s="1"/>
  <c r="AG221" i="57" a="1"/>
  <c r="AG221" i="57" s="1"/>
  <c r="AF221" i="57" a="1"/>
  <c r="AF221" i="57" s="1"/>
  <c r="AE221" i="57" a="1"/>
  <c r="AE221" i="57" s="1"/>
  <c r="AD221" i="57" a="1"/>
  <c r="AD221" i="57" s="1"/>
  <c r="AC221" i="57" a="1"/>
  <c r="AC221" i="57" s="1"/>
  <c r="AV220" i="57" a="1"/>
  <c r="AV220" i="57" s="1"/>
  <c r="AU220" i="57" a="1"/>
  <c r="AU220" i="57" s="1"/>
  <c r="AT220" i="57" a="1"/>
  <c r="AT220" i="57" s="1"/>
  <c r="AS220" i="57" a="1"/>
  <c r="AS220" i="57" s="1"/>
  <c r="AR220" i="57" a="1"/>
  <c r="AR220" i="57" s="1"/>
  <c r="AQ220" i="57" a="1"/>
  <c r="AQ220" i="57" s="1"/>
  <c r="AP220" i="57" a="1"/>
  <c r="AP220" i="57" s="1"/>
  <c r="AO220" i="57" a="1"/>
  <c r="AO220" i="57" s="1"/>
  <c r="AN220" i="57" a="1"/>
  <c r="AN220" i="57" s="1"/>
  <c r="AM220" i="57" a="1"/>
  <c r="AM220" i="57" s="1"/>
  <c r="AL220" i="57" a="1"/>
  <c r="AL220" i="57" s="1"/>
  <c r="AK220" i="57" a="1"/>
  <c r="AK220" i="57" s="1"/>
  <c r="AJ220" i="57" a="1"/>
  <c r="AJ220" i="57" s="1"/>
  <c r="AI220" i="57" a="1"/>
  <c r="AI220" i="57" s="1"/>
  <c r="AH220" i="57" a="1"/>
  <c r="AH220" i="57" s="1"/>
  <c r="AG220" i="57" a="1"/>
  <c r="AG220" i="57" s="1"/>
  <c r="AF220" i="57" a="1"/>
  <c r="AF220" i="57" s="1"/>
  <c r="AE220" i="57" a="1"/>
  <c r="AE220" i="57" s="1"/>
  <c r="AD220" i="57" a="1"/>
  <c r="AD220" i="57" s="1"/>
  <c r="AC220" i="57" a="1"/>
  <c r="AC220" i="57" s="1"/>
  <c r="AV219" i="57" a="1"/>
  <c r="AV219" i="57" s="1"/>
  <c r="AU219" i="57" a="1"/>
  <c r="AU219" i="57" s="1"/>
  <c r="AT219" i="57" a="1"/>
  <c r="AT219" i="57" s="1"/>
  <c r="AS219" i="57" a="1"/>
  <c r="AS219" i="57" s="1"/>
  <c r="AR219" i="57" a="1"/>
  <c r="AR219" i="57" s="1"/>
  <c r="AQ219" i="57" a="1"/>
  <c r="AQ219" i="57" s="1"/>
  <c r="AP219" i="57" a="1"/>
  <c r="AP219" i="57" s="1"/>
  <c r="AO219" i="57" a="1"/>
  <c r="AO219" i="57" s="1"/>
  <c r="AN219" i="57" a="1"/>
  <c r="AN219" i="57" s="1"/>
  <c r="AM219" i="57" a="1"/>
  <c r="AM219" i="57" s="1"/>
  <c r="AL219" i="57" a="1"/>
  <c r="AL219" i="57" s="1"/>
  <c r="AK219" i="57" a="1"/>
  <c r="AK219" i="57" s="1"/>
  <c r="AJ219" i="57" a="1"/>
  <c r="AJ219" i="57" s="1"/>
  <c r="AI219" i="57" a="1"/>
  <c r="AI219" i="57" s="1"/>
  <c r="AH219" i="57" a="1"/>
  <c r="AH219" i="57" s="1"/>
  <c r="AG219" i="57" a="1"/>
  <c r="AG219" i="57" s="1"/>
  <c r="AF219" i="57" a="1"/>
  <c r="AF219" i="57" s="1"/>
  <c r="AE219" i="57" a="1"/>
  <c r="AE219" i="57" s="1"/>
  <c r="AD219" i="57" a="1"/>
  <c r="AD219" i="57" s="1"/>
  <c r="AC219" i="57" a="1"/>
  <c r="AC219" i="57" s="1"/>
  <c r="AV218" i="57" a="1"/>
  <c r="AV218" i="57" s="1"/>
  <c r="AU218" i="57" a="1"/>
  <c r="AU218" i="57" s="1"/>
  <c r="AT218" i="57" a="1"/>
  <c r="AT218" i="57" s="1"/>
  <c r="AS218" i="57" a="1"/>
  <c r="AS218" i="57" s="1"/>
  <c r="AR218" i="57" a="1"/>
  <c r="AR218" i="57" s="1"/>
  <c r="AQ218" i="57" a="1"/>
  <c r="AQ218" i="57" s="1"/>
  <c r="AP218" i="57" a="1"/>
  <c r="AP218" i="57" s="1"/>
  <c r="AO218" i="57" a="1"/>
  <c r="AO218" i="57" s="1"/>
  <c r="AN218" i="57" a="1"/>
  <c r="AN218" i="57" s="1"/>
  <c r="AM218" i="57" a="1"/>
  <c r="AM218" i="57" s="1"/>
  <c r="AL218" i="57" a="1"/>
  <c r="AL218" i="57" s="1"/>
  <c r="AK218" i="57" a="1"/>
  <c r="AK218" i="57" s="1"/>
  <c r="AJ218" i="57" a="1"/>
  <c r="AJ218" i="57" s="1"/>
  <c r="AI218" i="57" a="1"/>
  <c r="AI218" i="57" s="1"/>
  <c r="AH218" i="57" a="1"/>
  <c r="AH218" i="57" s="1"/>
  <c r="AG218" i="57" a="1"/>
  <c r="AG218" i="57" s="1"/>
  <c r="AF218" i="57" a="1"/>
  <c r="AF218" i="57" s="1"/>
  <c r="AE218" i="57" a="1"/>
  <c r="AE218" i="57" s="1"/>
  <c r="AD218" i="57" a="1"/>
  <c r="AD218" i="57" s="1"/>
  <c r="AC218" i="57" a="1"/>
  <c r="AC218" i="57" s="1"/>
  <c r="AV217" i="57" a="1"/>
  <c r="AV217" i="57" s="1"/>
  <c r="AU217" i="57" a="1"/>
  <c r="AU217" i="57" s="1"/>
  <c r="AT217" i="57" a="1"/>
  <c r="AT217" i="57" s="1"/>
  <c r="AS217" i="57" a="1"/>
  <c r="AS217" i="57" s="1"/>
  <c r="AR217" i="57" a="1"/>
  <c r="AR217" i="57" s="1"/>
  <c r="AQ217" i="57" a="1"/>
  <c r="AQ217" i="57" s="1"/>
  <c r="AP217" i="57" a="1"/>
  <c r="AP217" i="57" s="1"/>
  <c r="AO217" i="57" a="1"/>
  <c r="AO217" i="57" s="1"/>
  <c r="AN217" i="57" a="1"/>
  <c r="AN217" i="57" s="1"/>
  <c r="AM217" i="57" a="1"/>
  <c r="AM217" i="57" s="1"/>
  <c r="AL217" i="57"/>
  <c r="AL217" i="57" a="1"/>
  <c r="AK217" i="57" a="1"/>
  <c r="AK217" i="57" s="1"/>
  <c r="AJ217" i="57" a="1"/>
  <c r="AJ217" i="57" s="1"/>
  <c r="AI217" i="57" a="1"/>
  <c r="AI217" i="57" s="1"/>
  <c r="AH217" i="57" a="1"/>
  <c r="AH217" i="57" s="1"/>
  <c r="AG217" i="57" a="1"/>
  <c r="AG217" i="57" s="1"/>
  <c r="AF217" i="57" a="1"/>
  <c r="AF217" i="57" s="1"/>
  <c r="AE217" i="57" a="1"/>
  <c r="AE217" i="57" s="1"/>
  <c r="AD217" i="57" a="1"/>
  <c r="AD217" i="57" s="1"/>
  <c r="AC217" i="57" a="1"/>
  <c r="AC217" i="57" s="1"/>
  <c r="AV216" i="57" a="1"/>
  <c r="AV216" i="57" s="1"/>
  <c r="AU216" i="57" a="1"/>
  <c r="AU216" i="57" s="1"/>
  <c r="AT216" i="57" a="1"/>
  <c r="AT216" i="57" s="1"/>
  <c r="AS216" i="57" a="1"/>
  <c r="AS216" i="57" s="1"/>
  <c r="AR216" i="57" a="1"/>
  <c r="AR216" i="57" s="1"/>
  <c r="AQ216" i="57" a="1"/>
  <c r="AQ216" i="57" s="1"/>
  <c r="AP216" i="57" a="1"/>
  <c r="AP216" i="57" s="1"/>
  <c r="AO216" i="57" a="1"/>
  <c r="AO216" i="57" s="1"/>
  <c r="AN216" i="57" a="1"/>
  <c r="AN216" i="57" s="1"/>
  <c r="AM216" i="57" a="1"/>
  <c r="AM216" i="57" s="1"/>
  <c r="AL216" i="57" a="1"/>
  <c r="AL216" i="57" s="1"/>
  <c r="AK216" i="57" a="1"/>
  <c r="AK216" i="57" s="1"/>
  <c r="AJ216" i="57" a="1"/>
  <c r="AJ216" i="57" s="1"/>
  <c r="AI216" i="57" a="1"/>
  <c r="AI216" i="57" s="1"/>
  <c r="AH216" i="57" a="1"/>
  <c r="AH216" i="57" s="1"/>
  <c r="AG216" i="57" a="1"/>
  <c r="AG216" i="57" s="1"/>
  <c r="AF216" i="57" a="1"/>
  <c r="AF216" i="57" s="1"/>
  <c r="AE216" i="57" a="1"/>
  <c r="AE216" i="57" s="1"/>
  <c r="AD216" i="57" a="1"/>
  <c r="AD216" i="57" s="1"/>
  <c r="AC216" i="57" a="1"/>
  <c r="AC216" i="57" s="1"/>
  <c r="AV215" i="57" a="1"/>
  <c r="AV215" i="57" s="1"/>
  <c r="AU215" i="57" a="1"/>
  <c r="AU215" i="57" s="1"/>
  <c r="AT215" i="57" a="1"/>
  <c r="AT215" i="57" s="1"/>
  <c r="AS215" i="57" a="1"/>
  <c r="AS215" i="57" s="1"/>
  <c r="AR215" i="57" a="1"/>
  <c r="AR215" i="57" s="1"/>
  <c r="AQ215" i="57" a="1"/>
  <c r="AQ215" i="57" s="1"/>
  <c r="AP215" i="57" a="1"/>
  <c r="AP215" i="57" s="1"/>
  <c r="AO215" i="57" a="1"/>
  <c r="AO215" i="57" s="1"/>
  <c r="AN215" i="57" a="1"/>
  <c r="AN215" i="57" s="1"/>
  <c r="AM215" i="57" a="1"/>
  <c r="AM215" i="57" s="1"/>
  <c r="AL215" i="57" a="1"/>
  <c r="AL215" i="57" s="1"/>
  <c r="AK215" i="57" a="1"/>
  <c r="AK215" i="57" s="1"/>
  <c r="AJ215" i="57" a="1"/>
  <c r="AJ215" i="57" s="1"/>
  <c r="AI215" i="57" a="1"/>
  <c r="AI215" i="57" s="1"/>
  <c r="AH215" i="57" a="1"/>
  <c r="AH215" i="57" s="1"/>
  <c r="AG215" i="57" a="1"/>
  <c r="AG215" i="57" s="1"/>
  <c r="AF215" i="57" a="1"/>
  <c r="AF215" i="57" s="1"/>
  <c r="AE215" i="57" a="1"/>
  <c r="AE215" i="57" s="1"/>
  <c r="AD215" i="57" a="1"/>
  <c r="AD215" i="57" s="1"/>
  <c r="AC215" i="57" a="1"/>
  <c r="AC215" i="57" s="1"/>
  <c r="AV214" i="57" a="1"/>
  <c r="AV214" i="57" s="1"/>
  <c r="AU214" i="57" a="1"/>
  <c r="AU214" i="57" s="1"/>
  <c r="AT214" i="57" a="1"/>
  <c r="AT214" i="57" s="1"/>
  <c r="AS214" i="57" a="1"/>
  <c r="AS214" i="57" s="1"/>
  <c r="AR214" i="57" a="1"/>
  <c r="AR214" i="57" s="1"/>
  <c r="AQ214" i="57" a="1"/>
  <c r="AQ214" i="57" s="1"/>
  <c r="AP214" i="57" a="1"/>
  <c r="AP214" i="57" s="1"/>
  <c r="AO214" i="57" a="1"/>
  <c r="AO214" i="57" s="1"/>
  <c r="AN214" i="57" a="1"/>
  <c r="AN214" i="57" s="1"/>
  <c r="AM214" i="57" a="1"/>
  <c r="AM214" i="57" s="1"/>
  <c r="AL214" i="57" a="1"/>
  <c r="AL214" i="57" s="1"/>
  <c r="AK214" i="57" a="1"/>
  <c r="AK214" i="57" s="1"/>
  <c r="AJ214" i="57" a="1"/>
  <c r="AJ214" i="57" s="1"/>
  <c r="AI214" i="57" a="1"/>
  <c r="AI214" i="57" s="1"/>
  <c r="AH214" i="57" a="1"/>
  <c r="AH214" i="57" s="1"/>
  <c r="AG214" i="57" a="1"/>
  <c r="AG214" i="57" s="1"/>
  <c r="AF214" i="57" a="1"/>
  <c r="AF214" i="57" s="1"/>
  <c r="AE214" i="57" a="1"/>
  <c r="AE214" i="57" s="1"/>
  <c r="AD214" i="57" a="1"/>
  <c r="AD214" i="57" s="1"/>
  <c r="AC214" i="57" a="1"/>
  <c r="AC214" i="57" s="1"/>
  <c r="AB307" i="57" l="1"/>
  <c r="AB308" i="57" s="1"/>
  <c r="AB309" i="57" s="1"/>
  <c r="AB310" i="57" s="1"/>
  <c r="AB311" i="57" s="1"/>
  <c r="AB312" i="57" s="1"/>
  <c r="AB313" i="57" s="1"/>
  <c r="AB314" i="57" s="1"/>
  <c r="AB315" i="57" s="1"/>
  <c r="AB316" i="57" s="1"/>
  <c r="AB306" i="57"/>
  <c r="AW305" i="57"/>
  <c r="AU305" i="57" a="1"/>
  <c r="AU305" i="57" s="1"/>
  <c r="BL305" i="57" s="1"/>
  <c r="AA305" i="57"/>
  <c r="AX305" i="57" s="1"/>
  <c r="AB296" i="57"/>
  <c r="AB297" i="57" s="1"/>
  <c r="AB298" i="57" s="1"/>
  <c r="AB299" i="57" s="1"/>
  <c r="AB300" i="57" s="1"/>
  <c r="AB301" i="57" s="1"/>
  <c r="AB302" i="57" s="1"/>
  <c r="AB303" i="57" s="1"/>
  <c r="AB294" i="57"/>
  <c r="AB295" i="57" s="1"/>
  <c r="AB293" i="57"/>
  <c r="AW292" i="57"/>
  <c r="AS292" i="57" a="1"/>
  <c r="AS292" i="57" s="1"/>
  <c r="BK292" i="57" s="1"/>
  <c r="AI292" i="57" a="1"/>
  <c r="AI292" i="57" s="1"/>
  <c r="AF292" i="57" a="1"/>
  <c r="AF292" i="57" s="1"/>
  <c r="AA292" i="57"/>
  <c r="AX292" i="57" s="1"/>
  <c r="AB283" i="57"/>
  <c r="AB284" i="57" s="1"/>
  <c r="AB285" i="57" s="1"/>
  <c r="AB286" i="57" s="1"/>
  <c r="AB287" i="57" s="1"/>
  <c r="AB288" i="57" s="1"/>
  <c r="AB289" i="57" s="1"/>
  <c r="AB290" i="57" s="1"/>
  <c r="AB281" i="57"/>
  <c r="AB282" i="57" s="1"/>
  <c r="AB280" i="57"/>
  <c r="AW279" i="57"/>
  <c r="AG279" i="57" a="1"/>
  <c r="AG279" i="57" s="1"/>
  <c r="AA279" i="57"/>
  <c r="AX279" i="57" s="1"/>
  <c r="AB267" i="57"/>
  <c r="AB268" i="57" s="1"/>
  <c r="AB269" i="57" s="1"/>
  <c r="AB270" i="57" s="1"/>
  <c r="AB271" i="57" s="1"/>
  <c r="AB272" i="57" s="1"/>
  <c r="AB273" i="57" s="1"/>
  <c r="AB274" i="57" s="1"/>
  <c r="AB275" i="57" s="1"/>
  <c r="AB276" i="57" s="1"/>
  <c r="AB277" i="57" s="1"/>
  <c r="AW266" i="57"/>
  <c r="AD266" i="57" a="1"/>
  <c r="AD266" i="57" s="1"/>
  <c r="AC266" i="57" a="1"/>
  <c r="AC266" i="57" s="1"/>
  <c r="AA266" i="57"/>
  <c r="AV266" i="57" s="1" a="1"/>
  <c r="AV266" i="57" s="1"/>
  <c r="AB254" i="57"/>
  <c r="AB255" i="57" s="1"/>
  <c r="AB256" i="57" s="1"/>
  <c r="AB257" i="57" s="1"/>
  <c r="AB258" i="57" s="1"/>
  <c r="AB259" i="57" s="1"/>
  <c r="AB260" i="57" s="1"/>
  <c r="AB261" i="57" s="1"/>
  <c r="AB262" i="57" s="1"/>
  <c r="AB263" i="57" s="1"/>
  <c r="AB264" i="57" s="1"/>
  <c r="AW253" i="57"/>
  <c r="AA253" i="57"/>
  <c r="AS253" i="57" s="1" a="1"/>
  <c r="AS253" i="57" s="1"/>
  <c r="AB246" i="57"/>
  <c r="AB247" i="57" s="1"/>
  <c r="AB248" i="57" s="1"/>
  <c r="AB249" i="57" s="1"/>
  <c r="AB250" i="57" s="1"/>
  <c r="AB251" i="57" s="1"/>
  <c r="AB242" i="57"/>
  <c r="AB243" i="57" s="1"/>
  <c r="AB244" i="57" s="1"/>
  <c r="AB245" i="57" s="1"/>
  <c r="AB241" i="57"/>
  <c r="AW240" i="57"/>
  <c r="AA240" i="57"/>
  <c r="AB229" i="57"/>
  <c r="AB230" i="57" s="1"/>
  <c r="AB231" i="57" s="1"/>
  <c r="AB232" i="57" s="1"/>
  <c r="AB233" i="57" s="1"/>
  <c r="AB234" i="57" s="1"/>
  <c r="AB235" i="57" s="1"/>
  <c r="AB236" i="57" s="1"/>
  <c r="AB237" i="57" s="1"/>
  <c r="AB238" i="57" s="1"/>
  <c r="AB228" i="57"/>
  <c r="AW227" i="57"/>
  <c r="AD227" i="57" a="1"/>
  <c r="AD227" i="57" s="1"/>
  <c r="AC227" i="57" a="1"/>
  <c r="AC227" i="57" s="1"/>
  <c r="AA227" i="57"/>
  <c r="AX227" i="57" s="1"/>
  <c r="AB215" i="57"/>
  <c r="AB216" i="57" s="1"/>
  <c r="AB217" i="57" s="1"/>
  <c r="AB218" i="57" s="1"/>
  <c r="AB219" i="57" s="1"/>
  <c r="AB220" i="57" s="1"/>
  <c r="AB221" i="57" s="1"/>
  <c r="AB222" i="57" s="1"/>
  <c r="AB223" i="57" s="1"/>
  <c r="AB224" i="57" s="1"/>
  <c r="AB225" i="57" s="1"/>
  <c r="AW214" i="57"/>
  <c r="BF214" i="57"/>
  <c r="BC214" i="57"/>
  <c r="AA214" i="57"/>
  <c r="AA215" i="57" s="1"/>
  <c r="AB203" i="57"/>
  <c r="AB204" i="57" s="1"/>
  <c r="AB205" i="57" s="1"/>
  <c r="AB206" i="57" s="1"/>
  <c r="AB207" i="57" s="1"/>
  <c r="AB208" i="57" s="1"/>
  <c r="AB209" i="57" s="1"/>
  <c r="AB210" i="57" s="1"/>
  <c r="AB211" i="57" s="1"/>
  <c r="AB212" i="57" s="1"/>
  <c r="AB202" i="57"/>
  <c r="AW201" i="57"/>
  <c r="AA201" i="57"/>
  <c r="AX201" i="57" s="1"/>
  <c r="AB191" i="57"/>
  <c r="AB192" i="57" s="1"/>
  <c r="AB193" i="57" s="1"/>
  <c r="AB194" i="57" s="1"/>
  <c r="AB195" i="57" s="1"/>
  <c r="AB196" i="57" s="1"/>
  <c r="AB197" i="57" s="1"/>
  <c r="AB198" i="57" s="1"/>
  <c r="AB199" i="57" s="1"/>
  <c r="AB189" i="57"/>
  <c r="AB190" i="57" s="1"/>
  <c r="AW188" i="57"/>
  <c r="AA188" i="57"/>
  <c r="AX188" i="57" s="1"/>
  <c r="AB176" i="57"/>
  <c r="AB177" i="57" s="1"/>
  <c r="AB178" i="57" s="1"/>
  <c r="AB179" i="57" s="1"/>
  <c r="AB180" i="57" s="1"/>
  <c r="AB181" i="57" s="1"/>
  <c r="AB182" i="57" s="1"/>
  <c r="AB183" i="57" s="1"/>
  <c r="AB184" i="57" s="1"/>
  <c r="AB185" i="57" s="1"/>
  <c r="AB186" i="57" s="1"/>
  <c r="AW175" i="57"/>
  <c r="AE175" i="57" a="1"/>
  <c r="AE175" i="57" s="1"/>
  <c r="AD175" i="57" a="1"/>
  <c r="AD175" i="57" s="1"/>
  <c r="AC175" i="57" a="1"/>
  <c r="AC175" i="57" s="1"/>
  <c r="AA175" i="57"/>
  <c r="AX175" i="57" s="1"/>
  <c r="AB163" i="57"/>
  <c r="AB164" i="57" s="1"/>
  <c r="AB165" i="57" s="1"/>
  <c r="AB166" i="57" s="1"/>
  <c r="AB167" i="57" s="1"/>
  <c r="AB168" i="57" s="1"/>
  <c r="AB169" i="57" s="1"/>
  <c r="AB170" i="57" s="1"/>
  <c r="AB171" i="57" s="1"/>
  <c r="AB172" i="57" s="1"/>
  <c r="AB173" i="57" s="1"/>
  <c r="AW162" i="57"/>
  <c r="AA162" i="57"/>
  <c r="AX162" i="57" s="1"/>
  <c r="AB153" i="57"/>
  <c r="AB154" i="57" s="1"/>
  <c r="AB155" i="57" s="1"/>
  <c r="AB156" i="57" s="1"/>
  <c r="AB157" i="57" s="1"/>
  <c r="AB158" i="57" s="1"/>
  <c r="AB159" i="57" s="1"/>
  <c r="AB160" i="57" s="1"/>
  <c r="AB151" i="57"/>
  <c r="AB152" i="57" s="1"/>
  <c r="AB150" i="57"/>
  <c r="AW149" i="57"/>
  <c r="AG149" i="57" a="1"/>
  <c r="AG149" i="57" s="1"/>
  <c r="AA149" i="57"/>
  <c r="AX149" i="57" s="1"/>
  <c r="AB137" i="57"/>
  <c r="AB138" i="57" s="1"/>
  <c r="AB139" i="57" s="1"/>
  <c r="AB140" i="57" s="1"/>
  <c r="AB141" i="57" s="1"/>
  <c r="AB142" i="57" s="1"/>
  <c r="AB143" i="57" s="1"/>
  <c r="AB144" i="57" s="1"/>
  <c r="AB145" i="57" s="1"/>
  <c r="AB146" i="57" s="1"/>
  <c r="AB147" i="57" s="1"/>
  <c r="AW136" i="57"/>
  <c r="AJ136" i="57" a="1"/>
  <c r="AJ136" i="57" s="1"/>
  <c r="AF136" i="57" a="1"/>
  <c r="AF136" i="57" s="1"/>
  <c r="AA136" i="57"/>
  <c r="AA137" i="57" s="1"/>
  <c r="AB124" i="57"/>
  <c r="AB125" i="57" s="1"/>
  <c r="AB126" i="57" s="1"/>
  <c r="AB127" i="57" s="1"/>
  <c r="AB128" i="57" s="1"/>
  <c r="AB129" i="57" s="1"/>
  <c r="AB130" i="57" s="1"/>
  <c r="AB131" i="57" s="1"/>
  <c r="AB132" i="57" s="1"/>
  <c r="AB133" i="57" s="1"/>
  <c r="AB134" i="57" s="1"/>
  <c r="AW123" i="57"/>
  <c r="AA123" i="57"/>
  <c r="AX123" i="57" s="1"/>
  <c r="AB112" i="57"/>
  <c r="AB113" i="57" s="1"/>
  <c r="AB114" i="57" s="1"/>
  <c r="AB115" i="57" s="1"/>
  <c r="AB116" i="57" s="1"/>
  <c r="AB117" i="57" s="1"/>
  <c r="AB118" i="57" s="1"/>
  <c r="AB119" i="57" s="1"/>
  <c r="AB120" i="57" s="1"/>
  <c r="AB121" i="57" s="1"/>
  <c r="AB111" i="57"/>
  <c r="AW110" i="57"/>
  <c r="AA110" i="57"/>
  <c r="AX110" i="57" s="1"/>
  <c r="AB98" i="57"/>
  <c r="AB99" i="57" s="1"/>
  <c r="AB100" i="57" s="1"/>
  <c r="AB101" i="57" s="1"/>
  <c r="AB102" i="57" s="1"/>
  <c r="AB103" i="57" s="1"/>
  <c r="AB104" i="57" s="1"/>
  <c r="AB105" i="57" s="1"/>
  <c r="AB106" i="57" s="1"/>
  <c r="AB107" i="57" s="1"/>
  <c r="AB108" i="57" s="1"/>
  <c r="AW97" i="57"/>
  <c r="AG97" i="57" a="1"/>
  <c r="AG97" i="57" s="1"/>
  <c r="AE97" i="57" a="1"/>
  <c r="AE97" i="57" s="1"/>
  <c r="AC97" i="57" a="1"/>
  <c r="AC97" i="57" s="1"/>
  <c r="AA97" i="57"/>
  <c r="AR97" i="57" s="1" a="1"/>
  <c r="AR97" i="57" s="1"/>
  <c r="AB86" i="57"/>
  <c r="AB87" i="57" s="1"/>
  <c r="AB88" i="57" s="1"/>
  <c r="AB89" i="57" s="1"/>
  <c r="AB90" i="57" s="1"/>
  <c r="AB91" i="57" s="1"/>
  <c r="AB92" i="57" s="1"/>
  <c r="AB93" i="57" s="1"/>
  <c r="AB94" i="57" s="1"/>
  <c r="AB95" i="57" s="1"/>
  <c r="AB85" i="57"/>
  <c r="AW84" i="57"/>
  <c r="AA84" i="57"/>
  <c r="AB72" i="57"/>
  <c r="AB73" i="57" s="1"/>
  <c r="AB74" i="57" s="1"/>
  <c r="AB75" i="57" s="1"/>
  <c r="AB76" i="57" s="1"/>
  <c r="AB77" i="57" s="1"/>
  <c r="AB78" i="57" s="1"/>
  <c r="AB79" i="57" s="1"/>
  <c r="AB80" i="57" s="1"/>
  <c r="AB81" i="57" s="1"/>
  <c r="AB82" i="57" s="1"/>
  <c r="AW71" i="57"/>
  <c r="AF71" i="57" a="1"/>
  <c r="AF71" i="57" s="1"/>
  <c r="AE71" i="57" a="1"/>
  <c r="AE71" i="57" s="1"/>
  <c r="AA71" i="57"/>
  <c r="AX71" i="57" s="1"/>
  <c r="AB60" i="57"/>
  <c r="AB61" i="57" s="1"/>
  <c r="AB62" i="57" s="1"/>
  <c r="AB63" i="57" s="1"/>
  <c r="AB64" i="57" s="1"/>
  <c r="AB65" i="57" s="1"/>
  <c r="AB66" i="57" s="1"/>
  <c r="AB67" i="57" s="1"/>
  <c r="AB68" i="57" s="1"/>
  <c r="AB69" i="57" s="1"/>
  <c r="AB59" i="57"/>
  <c r="AW58" i="57"/>
  <c r="AA58" i="57"/>
  <c r="AB47" i="57"/>
  <c r="AB48" i="57" s="1"/>
  <c r="AB49" i="57" s="1"/>
  <c r="AB50" i="57" s="1"/>
  <c r="AB51" i="57" s="1"/>
  <c r="AB52" i="57" s="1"/>
  <c r="AB53" i="57" s="1"/>
  <c r="AB54" i="57" s="1"/>
  <c r="AB55" i="57" s="1"/>
  <c r="AB56" i="57" s="1"/>
  <c r="AB46" i="57"/>
  <c r="AW45" i="57"/>
  <c r="AQ45" i="57" a="1"/>
  <c r="AQ45" i="57" s="1"/>
  <c r="AD45" i="57" a="1"/>
  <c r="AD45" i="57" s="1"/>
  <c r="AA45" i="57"/>
  <c r="AX45" i="57" s="1"/>
  <c r="AB33" i="57"/>
  <c r="AB34" i="57" s="1"/>
  <c r="AB35" i="57" s="1"/>
  <c r="AB36" i="57" s="1"/>
  <c r="AB37" i="57" s="1"/>
  <c r="AB38" i="57" s="1"/>
  <c r="AB39" i="57" s="1"/>
  <c r="AB40" i="57" s="1"/>
  <c r="AB41" i="57" s="1"/>
  <c r="AB42" i="57" s="1"/>
  <c r="AB43" i="57" s="1"/>
  <c r="AW32" i="57"/>
  <c r="AA32" i="57"/>
  <c r="AR32" i="57" s="1" a="1"/>
  <c r="AR32" i="57" s="1"/>
  <c r="AB20" i="57"/>
  <c r="AB21" i="57" s="1"/>
  <c r="AB22" i="57" s="1"/>
  <c r="AB23" i="57" s="1"/>
  <c r="AB24" i="57" s="1"/>
  <c r="AB25" i="57" s="1"/>
  <c r="AB26" i="57" s="1"/>
  <c r="AB27" i="57" s="1"/>
  <c r="AB28" i="57" s="1"/>
  <c r="AB29" i="57" s="1"/>
  <c r="AB30" i="57" s="1"/>
  <c r="AW19" i="57"/>
  <c r="AG19" i="57" a="1"/>
  <c r="AG19" i="57" s="1"/>
  <c r="AE19" i="57" a="1"/>
  <c r="AE19" i="57" s="1"/>
  <c r="BD19" i="57" s="1"/>
  <c r="AD19" i="57" a="1"/>
  <c r="AD19" i="57" s="1"/>
  <c r="AA19" i="57"/>
  <c r="AV19" i="57" s="1" a="1"/>
  <c r="AV19" i="57" s="1"/>
  <c r="AB7" i="57"/>
  <c r="AB8" i="57" s="1"/>
  <c r="AB9" i="57" s="1"/>
  <c r="AB10" i="57" s="1"/>
  <c r="AB11" i="57" s="1"/>
  <c r="AB12" i="57" s="1"/>
  <c r="AB13" i="57" s="1"/>
  <c r="AB14" i="57" s="1"/>
  <c r="AB15" i="57" s="1"/>
  <c r="AB16" i="57" s="1"/>
  <c r="AB17" i="57" s="1"/>
  <c r="AW6" i="57"/>
  <c r="AC6" i="57" a="1"/>
  <c r="AC6" i="57" s="1"/>
  <c r="AA6" i="57"/>
  <c r="AA7" i="57" s="1"/>
  <c r="AC292" i="57" l="1" a="1"/>
  <c r="AC292" i="57" s="1"/>
  <c r="AJ292" i="57" a="1"/>
  <c r="AJ292" i="57" s="1"/>
  <c r="AT292" i="57" a="1"/>
  <c r="AT292" i="57" s="1"/>
  <c r="AD292" i="57" a="1"/>
  <c r="AD292" i="57" s="1"/>
  <c r="AN292" i="57" a="1"/>
  <c r="AN292" i="57" s="1"/>
  <c r="AO292" i="57" a="1"/>
  <c r="AO292" i="57" s="1"/>
  <c r="BI292" i="57" s="1"/>
  <c r="AA293" i="57"/>
  <c r="AH266" i="57" a="1"/>
  <c r="AH266" i="57" s="1"/>
  <c r="AP266" i="57" a="1"/>
  <c r="AP266" i="57" s="1"/>
  <c r="AX266" i="57"/>
  <c r="AK266" i="57" a="1"/>
  <c r="AK266" i="57" s="1"/>
  <c r="AS266" i="57" a="1"/>
  <c r="AS266" i="57" s="1"/>
  <c r="AL266" i="57" a="1"/>
  <c r="AL266" i="57" s="1"/>
  <c r="AT266" i="57" a="1"/>
  <c r="AT266" i="57" s="1"/>
  <c r="AG266" i="57" a="1"/>
  <c r="AG266" i="57" s="1"/>
  <c r="AO266" i="57" a="1"/>
  <c r="AO266" i="57" s="1"/>
  <c r="BI266" i="57" s="1"/>
  <c r="AT227" i="57" a="1"/>
  <c r="AT227" i="57" s="1"/>
  <c r="AH227" i="57" a="1"/>
  <c r="AH227" i="57" s="1"/>
  <c r="AL227" i="57" a="1"/>
  <c r="AL227" i="57" s="1"/>
  <c r="AP227" i="57" a="1"/>
  <c r="AP227" i="57" s="1"/>
  <c r="AH188" i="57" a="1"/>
  <c r="AH188" i="57" s="1"/>
  <c r="AU188" i="57" a="1"/>
  <c r="AU188" i="57" s="1"/>
  <c r="AC188" i="57" a="1"/>
  <c r="AC188" i="57" s="1"/>
  <c r="AI188" i="57" a="1"/>
  <c r="AI188" i="57" s="1"/>
  <c r="AD188" i="57" a="1"/>
  <c r="AD188" i="57" s="1"/>
  <c r="AM188" i="57" a="1"/>
  <c r="AM188" i="57" s="1"/>
  <c r="AA189" i="57"/>
  <c r="AV189" i="57" s="1" a="1"/>
  <c r="AV189" i="57" s="1"/>
  <c r="AE188" i="57" a="1"/>
  <c r="AE188" i="57" s="1"/>
  <c r="AQ188" i="57" a="1"/>
  <c r="AQ188" i="57" s="1"/>
  <c r="AU175" i="57" a="1"/>
  <c r="AU175" i="57" s="1"/>
  <c r="AI175" i="57" a="1"/>
  <c r="AI175" i="57" s="1"/>
  <c r="AM175" i="57" a="1"/>
  <c r="AM175" i="57" s="1"/>
  <c r="AA176" i="57"/>
  <c r="AL176" i="57" s="1" a="1"/>
  <c r="AL176" i="57" s="1"/>
  <c r="AQ175" i="57" a="1"/>
  <c r="AQ175" i="57" s="1"/>
  <c r="AC110" i="57" a="1"/>
  <c r="AC110" i="57" s="1"/>
  <c r="AH110" i="57" a="1"/>
  <c r="AH110" i="57" s="1"/>
  <c r="AM110" i="57" a="1"/>
  <c r="AM110" i="57" s="1"/>
  <c r="AD110" i="57" a="1"/>
  <c r="AD110" i="57" s="1"/>
  <c r="AI110" i="57" a="1"/>
  <c r="AI110" i="57" s="1"/>
  <c r="AO110" i="57" a="1"/>
  <c r="AO110" i="57" s="1"/>
  <c r="AA111" i="57"/>
  <c r="AU111" i="57" s="1" a="1"/>
  <c r="AU111" i="57" s="1"/>
  <c r="AE110" i="57" a="1"/>
  <c r="AE110" i="57" s="1"/>
  <c r="AK110" i="57" a="1"/>
  <c r="AK110" i="57" s="1"/>
  <c r="AP110" i="57" a="1"/>
  <c r="AP110" i="57" s="1"/>
  <c r="AG110" i="57" a="1"/>
  <c r="AG110" i="57" s="1"/>
  <c r="AL110" i="57" a="1"/>
  <c r="AL110" i="57" s="1"/>
  <c r="AT110" i="57" a="1"/>
  <c r="AT110" i="57" s="1"/>
  <c r="AQ71" i="57" a="1"/>
  <c r="AQ71" i="57" s="1"/>
  <c r="AU71" i="57" a="1"/>
  <c r="AU71" i="57" s="1"/>
  <c r="AI71" i="57" a="1"/>
  <c r="AI71" i="57" s="1"/>
  <c r="AM71" i="57" a="1"/>
  <c r="AM71" i="57" s="1"/>
  <c r="AA72" i="57"/>
  <c r="AV72" i="57" s="1" a="1"/>
  <c r="AV72" i="57" s="1"/>
  <c r="AC19" i="57" a="1"/>
  <c r="AC19" i="57" s="1"/>
  <c r="BC19" i="57" s="1"/>
  <c r="AK19" i="57" a="1"/>
  <c r="AK19" i="57" s="1"/>
  <c r="BG19" i="57" s="1"/>
  <c r="AO19" i="57" a="1"/>
  <c r="AO19" i="57" s="1"/>
  <c r="BI19" i="57" s="1"/>
  <c r="AS19" i="57" a="1"/>
  <c r="AS19" i="57" s="1"/>
  <c r="BK19" i="57" s="1"/>
  <c r="AH305" i="57" a="1"/>
  <c r="AH305" i="57" s="1"/>
  <c r="AC305" i="57" a="1"/>
  <c r="AC305" i="57" s="1"/>
  <c r="AK305" i="57" a="1"/>
  <c r="AK305" i="57" s="1"/>
  <c r="BG305" i="57" s="1"/>
  <c r="AE305" i="57" a="1"/>
  <c r="AE305" i="57" s="1"/>
  <c r="BD305" i="57" s="1"/>
  <c r="AM305" i="57" a="1"/>
  <c r="AM305" i="57" s="1"/>
  <c r="AF305" i="57" a="1"/>
  <c r="AF305" i="57" s="1"/>
  <c r="AP305" i="57" a="1"/>
  <c r="AP305" i="57" s="1"/>
  <c r="AK292" i="57" a="1"/>
  <c r="AK292" i="57" s="1"/>
  <c r="AQ292" i="57" a="1"/>
  <c r="AQ292" i="57" s="1"/>
  <c r="BJ292" i="57" s="1"/>
  <c r="AV292" i="57" a="1"/>
  <c r="AV292" i="57" s="1"/>
  <c r="AG292" i="57" a="1"/>
  <c r="AG292" i="57" s="1"/>
  <c r="AL292" i="57" a="1"/>
  <c r="AL292" i="57" s="1"/>
  <c r="AR292" i="57" a="1"/>
  <c r="AR292" i="57" s="1"/>
  <c r="AR279" i="57" a="1"/>
  <c r="AR279" i="57" s="1"/>
  <c r="AC279" i="57" a="1"/>
  <c r="AC279" i="57" s="1"/>
  <c r="AN279" i="57" a="1"/>
  <c r="AN279" i="57" s="1"/>
  <c r="AS279" i="57" a="1"/>
  <c r="AS279" i="57" s="1"/>
  <c r="BK279" i="57" s="1"/>
  <c r="AA280" i="57"/>
  <c r="AD279" i="57" a="1"/>
  <c r="AD279" i="57" s="1"/>
  <c r="AJ279" i="57" a="1"/>
  <c r="AJ279" i="57" s="1"/>
  <c r="AO279" i="57" a="1"/>
  <c r="AO279" i="57" s="1"/>
  <c r="BI279" i="57" s="1"/>
  <c r="AT279" i="57" a="1"/>
  <c r="AT279" i="57" s="1"/>
  <c r="AL279" i="57" a="1"/>
  <c r="AL279" i="57" s="1"/>
  <c r="AI279" i="57" a="1"/>
  <c r="AI279" i="57" s="1"/>
  <c r="AF279" i="57" a="1"/>
  <c r="AF279" i="57" s="1"/>
  <c r="AK279" i="57" a="1"/>
  <c r="AK279" i="57" s="1"/>
  <c r="AQ279" i="57" a="1"/>
  <c r="AQ279" i="57" s="1"/>
  <c r="BJ279" i="57" s="1"/>
  <c r="AV279" i="57" a="1"/>
  <c r="AV279" i="57" s="1"/>
  <c r="AE266" i="57" a="1"/>
  <c r="AE266" i="57" s="1"/>
  <c r="AI266" i="57" a="1"/>
  <c r="AI266" i="57" s="1"/>
  <c r="AM266" i="57" a="1"/>
  <c r="AM266" i="57" s="1"/>
  <c r="AQ266" i="57" a="1"/>
  <c r="AQ266" i="57" s="1"/>
  <c r="AU266" i="57" a="1"/>
  <c r="AU266" i="57" s="1"/>
  <c r="AA267" i="57"/>
  <c r="AV267" i="57" s="1" a="1"/>
  <c r="AV267" i="57" s="1"/>
  <c r="AF266" i="57" a="1"/>
  <c r="AF266" i="57" s="1"/>
  <c r="AJ266" i="57" a="1"/>
  <c r="AJ266" i="57" s="1"/>
  <c r="AN266" i="57" a="1"/>
  <c r="AN266" i="57" s="1"/>
  <c r="AR266" i="57" a="1"/>
  <c r="AR266" i="57" s="1"/>
  <c r="AC253" i="57" a="1"/>
  <c r="AC253" i="57" s="1"/>
  <c r="AG253" i="57" a="1"/>
  <c r="AG253" i="57" s="1"/>
  <c r="AU253" i="57" a="1"/>
  <c r="AU253" i="57" s="1"/>
  <c r="AK253" i="57" a="1"/>
  <c r="AK253" i="57" s="1"/>
  <c r="AA228" i="57"/>
  <c r="AV228" i="57" s="1" a="1"/>
  <c r="AV228" i="57" s="1"/>
  <c r="AE227" i="57" a="1"/>
  <c r="AE227" i="57" s="1"/>
  <c r="AI227" i="57" a="1"/>
  <c r="AI227" i="57" s="1"/>
  <c r="AM227" i="57" a="1"/>
  <c r="AM227" i="57" s="1"/>
  <c r="AQ227" i="57" a="1"/>
  <c r="AQ227" i="57" s="1"/>
  <c r="AU227" i="57" a="1"/>
  <c r="AU227" i="57" s="1"/>
  <c r="AF227" i="57" a="1"/>
  <c r="AF227" i="57" s="1"/>
  <c r="AJ227" i="57" a="1"/>
  <c r="AJ227" i="57" s="1"/>
  <c r="AN227" i="57" a="1"/>
  <c r="AN227" i="57" s="1"/>
  <c r="AR227" i="57" a="1"/>
  <c r="AR227" i="57" s="1"/>
  <c r="AV227" i="57" a="1"/>
  <c r="AV227" i="57" s="1"/>
  <c r="AG227" i="57" a="1"/>
  <c r="AG227" i="57" s="1"/>
  <c r="AK227" i="57" a="1"/>
  <c r="AK227" i="57" s="1"/>
  <c r="AO227" i="57" a="1"/>
  <c r="AO227" i="57" s="1"/>
  <c r="AS227" i="57" a="1"/>
  <c r="AS227" i="57" s="1"/>
  <c r="BG214" i="57"/>
  <c r="BK214" i="57"/>
  <c r="AK189" i="57" a="1"/>
  <c r="AK189" i="57" s="1"/>
  <c r="AF188" i="57" a="1"/>
  <c r="AF188" i="57" s="1"/>
  <c r="AJ188" i="57" a="1"/>
  <c r="AJ188" i="57" s="1"/>
  <c r="AN188" i="57" a="1"/>
  <c r="AN188" i="57" s="1"/>
  <c r="AR188" i="57" a="1"/>
  <c r="AR188" i="57" s="1"/>
  <c r="AV188" i="57" a="1"/>
  <c r="AV188" i="57" s="1"/>
  <c r="AG188" i="57" a="1"/>
  <c r="AG188" i="57" s="1"/>
  <c r="AK188" i="57" a="1"/>
  <c r="AK188" i="57" s="1"/>
  <c r="AO188" i="57" a="1"/>
  <c r="AO188" i="57" s="1"/>
  <c r="AS188" i="57" a="1"/>
  <c r="AS188" i="57" s="1"/>
  <c r="AC189" i="57" a="1"/>
  <c r="AC189" i="57" s="1"/>
  <c r="AL188" i="57" a="1"/>
  <c r="AL188" i="57" s="1"/>
  <c r="AP188" i="57" a="1"/>
  <c r="AP188" i="57" s="1"/>
  <c r="AT188" i="57" a="1"/>
  <c r="AT188" i="57" s="1"/>
  <c r="AF189" i="57" a="1"/>
  <c r="AF189" i="57" s="1"/>
  <c r="AF175" i="57" a="1"/>
  <c r="AF175" i="57" s="1"/>
  <c r="AJ175" i="57" a="1"/>
  <c r="AJ175" i="57" s="1"/>
  <c r="AN175" i="57" a="1"/>
  <c r="AN175" i="57" s="1"/>
  <c r="AR175" i="57" a="1"/>
  <c r="AR175" i="57" s="1"/>
  <c r="AV175" i="57" a="1"/>
  <c r="AV175" i="57" s="1"/>
  <c r="AG175" i="57" a="1"/>
  <c r="AG175" i="57" s="1"/>
  <c r="AK175" i="57" a="1"/>
  <c r="AK175" i="57" s="1"/>
  <c r="AO175" i="57" a="1"/>
  <c r="AO175" i="57" s="1"/>
  <c r="AS175" i="57" a="1"/>
  <c r="AS175" i="57" s="1"/>
  <c r="AH175" i="57" a="1"/>
  <c r="AH175" i="57" s="1"/>
  <c r="AL175" i="57" a="1"/>
  <c r="AL175" i="57" s="1"/>
  <c r="AP175" i="57" a="1"/>
  <c r="AP175" i="57" s="1"/>
  <c r="AT175" i="57" a="1"/>
  <c r="AT175" i="57" s="1"/>
  <c r="AJ149" i="57" a="1"/>
  <c r="AJ149" i="57" s="1"/>
  <c r="AA150" i="57"/>
  <c r="AU150" i="57" s="1" a="1"/>
  <c r="AU150" i="57" s="1"/>
  <c r="AO149" i="57" a="1"/>
  <c r="AO149" i="57" s="1"/>
  <c r="AR149" i="57" a="1"/>
  <c r="AR149" i="57" s="1"/>
  <c r="AL137" i="57" a="1"/>
  <c r="AL137" i="57" s="1"/>
  <c r="AT137" i="57" a="1"/>
  <c r="AT137" i="57" s="1"/>
  <c r="AV137" i="57" a="1"/>
  <c r="AV137" i="57" s="1"/>
  <c r="AF137" i="57" a="1"/>
  <c r="AF137" i="57" s="1"/>
  <c r="AD137" i="57" a="1"/>
  <c r="AD137" i="57" s="1"/>
  <c r="AN137" i="57" a="1"/>
  <c r="AN137" i="57" s="1"/>
  <c r="AN136" i="57" a="1"/>
  <c r="AN136" i="57" s="1"/>
  <c r="AK136" i="57" a="1"/>
  <c r="AK136" i="57" s="1"/>
  <c r="AV136" i="57" a="1"/>
  <c r="AV136" i="57" s="1"/>
  <c r="AG136" i="57" a="1"/>
  <c r="AG136" i="57" s="1"/>
  <c r="AS136" i="57" a="1"/>
  <c r="AS136" i="57" s="1"/>
  <c r="AD136" i="57" a="1"/>
  <c r="AD136" i="57" s="1"/>
  <c r="AH136" i="57" a="1"/>
  <c r="AH136" i="57" s="1"/>
  <c r="AL136" i="57" a="1"/>
  <c r="AL136" i="57" s="1"/>
  <c r="AP136" i="57" a="1"/>
  <c r="AP136" i="57" s="1"/>
  <c r="AT136" i="57" a="1"/>
  <c r="AT136" i="57" s="1"/>
  <c r="AX136" i="57"/>
  <c r="AR136" i="57" a="1"/>
  <c r="AR136" i="57" s="1"/>
  <c r="AC136" i="57" a="1"/>
  <c r="AC136" i="57" s="1"/>
  <c r="AO136" i="57" a="1"/>
  <c r="AO136" i="57" s="1"/>
  <c r="AE136" i="57" a="1"/>
  <c r="AE136" i="57" s="1"/>
  <c r="AI136" i="57" a="1"/>
  <c r="AI136" i="57" s="1"/>
  <c r="AM136" i="57" a="1"/>
  <c r="AM136" i="57" s="1"/>
  <c r="AQ136" i="57" a="1"/>
  <c r="AQ136" i="57" s="1"/>
  <c r="AU136" i="57" a="1"/>
  <c r="AU136" i="57" s="1"/>
  <c r="AF111" i="57" a="1"/>
  <c r="AF111" i="57" s="1"/>
  <c r="AK111" i="57" a="1"/>
  <c r="AK111" i="57" s="1"/>
  <c r="AP111" i="57" a="1"/>
  <c r="AP111" i="57" s="1"/>
  <c r="AV111" i="57" a="1"/>
  <c r="AV111" i="57" s="1"/>
  <c r="AQ110" i="57" a="1"/>
  <c r="AQ110" i="57" s="1"/>
  <c r="AU110" i="57" a="1"/>
  <c r="AU110" i="57" s="1"/>
  <c r="AG111" i="57" a="1"/>
  <c r="AG111" i="57" s="1"/>
  <c r="AL111" i="57" a="1"/>
  <c r="AL111" i="57" s="1"/>
  <c r="AR111" i="57" a="1"/>
  <c r="AR111" i="57" s="1"/>
  <c r="AA112" i="57"/>
  <c r="AF110" i="57" a="1"/>
  <c r="AF110" i="57" s="1"/>
  <c r="AJ110" i="57" a="1"/>
  <c r="AJ110" i="57" s="1"/>
  <c r="AN110" i="57" a="1"/>
  <c r="AN110" i="57" s="1"/>
  <c r="AR110" i="57" a="1"/>
  <c r="AR110" i="57" s="1"/>
  <c r="AV110" i="57" a="1"/>
  <c r="AV110" i="57" s="1"/>
  <c r="AC111" i="57" a="1"/>
  <c r="AC111" i="57" s="1"/>
  <c r="AH111" i="57" a="1"/>
  <c r="AH111" i="57" s="1"/>
  <c r="AN111" i="57" a="1"/>
  <c r="AN111" i="57" s="1"/>
  <c r="AS111" i="57" a="1"/>
  <c r="AS111" i="57" s="1"/>
  <c r="AS110" i="57" a="1"/>
  <c r="AS110" i="57" s="1"/>
  <c r="AD111" i="57" a="1"/>
  <c r="AD111" i="57" s="1"/>
  <c r="AJ111" i="57" a="1"/>
  <c r="AJ111" i="57" s="1"/>
  <c r="AO111" i="57" a="1"/>
  <c r="AO111" i="57" s="1"/>
  <c r="AT111" i="57" a="1"/>
  <c r="AT111" i="57" s="1"/>
  <c r="AI97" i="57" a="1"/>
  <c r="AI97" i="57" s="1"/>
  <c r="AN97" i="57" a="1"/>
  <c r="AN97" i="57" s="1"/>
  <c r="AV97" i="57" a="1"/>
  <c r="AV97" i="57" s="1"/>
  <c r="AG72" i="57" a="1"/>
  <c r="AG72" i="57" s="1"/>
  <c r="AO72" i="57" a="1"/>
  <c r="AO72" i="57" s="1"/>
  <c r="AA73" i="57"/>
  <c r="AV73" i="57" s="1" a="1"/>
  <c r="AV73" i="57" s="1"/>
  <c r="AJ71" i="57" a="1"/>
  <c r="AJ71" i="57" s="1"/>
  <c r="AR71" i="57" a="1"/>
  <c r="AR71" i="57" s="1"/>
  <c r="AI72" i="57" a="1"/>
  <c r="AI72" i="57" s="1"/>
  <c r="AC71" i="57" a="1"/>
  <c r="AC71" i="57" s="1"/>
  <c r="AG71" i="57" a="1"/>
  <c r="AG71" i="57" s="1"/>
  <c r="AK71" i="57" a="1"/>
  <c r="AK71" i="57" s="1"/>
  <c r="AO71" i="57" a="1"/>
  <c r="AO71" i="57" s="1"/>
  <c r="AS71" i="57" a="1"/>
  <c r="AS71" i="57" s="1"/>
  <c r="AC72" i="57" a="1"/>
  <c r="AC72" i="57" s="1"/>
  <c r="AK72" i="57" a="1"/>
  <c r="AK72" i="57" s="1"/>
  <c r="AS72" i="57" a="1"/>
  <c r="AS72" i="57" s="1"/>
  <c r="AN71" i="57" a="1"/>
  <c r="AN71" i="57" s="1"/>
  <c r="AV71" i="57" a="1"/>
  <c r="AV71" i="57" s="1"/>
  <c r="AQ72" i="57" a="1"/>
  <c r="AQ72" i="57" s="1"/>
  <c r="AD71" i="57" a="1"/>
  <c r="AD71" i="57" s="1"/>
  <c r="AH71" i="57" a="1"/>
  <c r="AH71" i="57" s="1"/>
  <c r="AL71" i="57" a="1"/>
  <c r="AL71" i="57" s="1"/>
  <c r="AP71" i="57" a="1"/>
  <c r="AP71" i="57" s="1"/>
  <c r="AT71" i="57" a="1"/>
  <c r="AT71" i="57" s="1"/>
  <c r="AE72" i="57" a="1"/>
  <c r="AE72" i="57" s="1"/>
  <c r="AM72" i="57" a="1"/>
  <c r="AM72" i="57" s="1"/>
  <c r="AU72" i="57" a="1"/>
  <c r="AU72" i="57" s="1"/>
  <c r="AT45" i="57" a="1"/>
  <c r="AT45" i="57" s="1"/>
  <c r="AI45" i="57" a="1"/>
  <c r="AI45" i="57" s="1"/>
  <c r="AL45" i="57" a="1"/>
  <c r="AL45" i="57" s="1"/>
  <c r="AH19" i="57" a="1"/>
  <c r="AH19" i="57" s="1"/>
  <c r="AL19" i="57" a="1"/>
  <c r="AL19" i="57" s="1"/>
  <c r="AP19" i="57" a="1"/>
  <c r="AP19" i="57" s="1"/>
  <c r="AT19" i="57" a="1"/>
  <c r="AT19" i="57" s="1"/>
  <c r="AX19" i="57"/>
  <c r="AF19" i="57" a="1"/>
  <c r="AF19" i="57" s="1"/>
  <c r="AI19" i="57" a="1"/>
  <c r="AI19" i="57" s="1"/>
  <c r="BF19" i="57" s="1"/>
  <c r="AM19" i="57" a="1"/>
  <c r="AM19" i="57" s="1"/>
  <c r="BH19" i="57" s="1"/>
  <c r="AQ19" i="57" a="1"/>
  <c r="AQ19" i="57" s="1"/>
  <c r="AU19" i="57" a="1"/>
  <c r="AU19" i="57" s="1"/>
  <c r="BL19" i="57" s="1"/>
  <c r="AA20" i="57"/>
  <c r="AJ19" i="57" a="1"/>
  <c r="AJ19" i="57" s="1"/>
  <c r="AN19" i="57" a="1"/>
  <c r="AN19" i="57" s="1"/>
  <c r="AR19" i="57" a="1"/>
  <c r="AR19" i="57" s="1"/>
  <c r="AX6" i="57"/>
  <c r="AA8" i="57"/>
  <c r="AV7" i="57" a="1"/>
  <c r="AV7" i="57" s="1"/>
  <c r="AT7" i="57" a="1"/>
  <c r="AT7" i="57" s="1"/>
  <c r="AR7" i="57" a="1"/>
  <c r="AR7" i="57" s="1"/>
  <c r="AP7" i="57" a="1"/>
  <c r="AP7" i="57" s="1"/>
  <c r="AN7" i="57" a="1"/>
  <c r="AN7" i="57" s="1"/>
  <c r="AL7" i="57" a="1"/>
  <c r="AL7" i="57" s="1"/>
  <c r="AJ7" i="57" a="1"/>
  <c r="AJ7" i="57" s="1"/>
  <c r="AH7" i="57" a="1"/>
  <c r="AH7" i="57" s="1"/>
  <c r="AF7" i="57" a="1"/>
  <c r="AF7" i="57" s="1"/>
  <c r="AD7" i="57" a="1"/>
  <c r="AD7" i="57" s="1"/>
  <c r="AU7" i="57" a="1"/>
  <c r="AU7" i="57" s="1"/>
  <c r="AS7" i="57" a="1"/>
  <c r="AS7" i="57" s="1"/>
  <c r="AQ7" i="57" a="1"/>
  <c r="AQ7" i="57" s="1"/>
  <c r="AO7" i="57" a="1"/>
  <c r="AO7" i="57" s="1"/>
  <c r="AM7" i="57" a="1"/>
  <c r="AM7" i="57" s="1"/>
  <c r="AK7" i="57" a="1"/>
  <c r="AK7" i="57" s="1"/>
  <c r="AI7" i="57" a="1"/>
  <c r="AI7" i="57" s="1"/>
  <c r="AG7" i="57" a="1"/>
  <c r="AG7" i="57" s="1"/>
  <c r="AE7" i="57" a="1"/>
  <c r="AE7" i="57" s="1"/>
  <c r="AC7" i="57" a="1"/>
  <c r="AC7" i="57" s="1"/>
  <c r="BC6" i="57"/>
  <c r="AD20" i="57" a="1"/>
  <c r="AD20" i="57" s="1"/>
  <c r="AG20" i="57" a="1"/>
  <c r="AG20" i="57" s="1"/>
  <c r="AL20" i="57" a="1"/>
  <c r="AL20" i="57" s="1"/>
  <c r="AO20" i="57" a="1"/>
  <c r="AO20" i="57" s="1"/>
  <c r="AT20" i="57" a="1"/>
  <c r="AT20" i="57" s="1"/>
  <c r="AD32" i="57" a="1"/>
  <c r="AD32" i="57" s="1"/>
  <c r="AL32" i="57" a="1"/>
  <c r="AL32" i="57" s="1"/>
  <c r="AT32" i="57" a="1"/>
  <c r="AT32" i="57" s="1"/>
  <c r="AE45" i="57" a="1"/>
  <c r="AE45" i="57" s="1"/>
  <c r="AH45" i="57" a="1"/>
  <c r="AH45" i="57" s="1"/>
  <c r="AM45" i="57" a="1"/>
  <c r="AM45" i="57" s="1"/>
  <c r="AP45" i="57" a="1"/>
  <c r="AP45" i="57" s="1"/>
  <c r="AU45" i="57" a="1"/>
  <c r="AU45" i="57" s="1"/>
  <c r="AD73" i="57" a="1"/>
  <c r="AD73" i="57" s="1"/>
  <c r="AL73" i="57" a="1"/>
  <c r="AL73" i="57" s="1"/>
  <c r="AT73" i="57" a="1"/>
  <c r="AT73" i="57" s="1"/>
  <c r="AV84" i="57" a="1"/>
  <c r="AV84" i="57" s="1"/>
  <c r="AT84" i="57" a="1"/>
  <c r="AT84" i="57" s="1"/>
  <c r="AR84" i="57" a="1"/>
  <c r="AR84" i="57" s="1"/>
  <c r="AP84" i="57" a="1"/>
  <c r="AP84" i="57" s="1"/>
  <c r="AN84" i="57" a="1"/>
  <c r="AN84" i="57" s="1"/>
  <c r="AL84" i="57" a="1"/>
  <c r="AL84" i="57" s="1"/>
  <c r="AJ84" i="57" a="1"/>
  <c r="AJ84" i="57" s="1"/>
  <c r="AH84" i="57" a="1"/>
  <c r="AH84" i="57" s="1"/>
  <c r="AF84" i="57" a="1"/>
  <c r="AF84" i="57" s="1"/>
  <c r="AD84" i="57" a="1"/>
  <c r="AD84" i="57" s="1"/>
  <c r="AX84" i="57"/>
  <c r="AA85" i="57"/>
  <c r="AU84" i="57" a="1"/>
  <c r="AU84" i="57" s="1"/>
  <c r="AS84" i="57" a="1"/>
  <c r="AS84" i="57" s="1"/>
  <c r="AQ84" i="57" a="1"/>
  <c r="AQ84" i="57" s="1"/>
  <c r="AO84" i="57" a="1"/>
  <c r="AO84" i="57" s="1"/>
  <c r="AM84" i="57" a="1"/>
  <c r="AM84" i="57" s="1"/>
  <c r="AK84" i="57" a="1"/>
  <c r="AK84" i="57" s="1"/>
  <c r="AI84" i="57" a="1"/>
  <c r="AI84" i="57" s="1"/>
  <c r="AG84" i="57" a="1"/>
  <c r="AG84" i="57" s="1"/>
  <c r="AE84" i="57" a="1"/>
  <c r="AE84" i="57" s="1"/>
  <c r="AC84" i="57" a="1"/>
  <c r="AC84" i="57" s="1"/>
  <c r="AE6" i="57" a="1"/>
  <c r="AE6" i="57" s="1"/>
  <c r="BD6" i="57" s="1"/>
  <c r="AG6" i="57" a="1"/>
  <c r="AG6" i="57" s="1"/>
  <c r="AI6" i="57" a="1"/>
  <c r="AI6" i="57" s="1"/>
  <c r="BF6" i="57" s="1"/>
  <c r="AK6" i="57" a="1"/>
  <c r="AK6" i="57" s="1"/>
  <c r="BG6" i="57" s="1"/>
  <c r="AM6" i="57" a="1"/>
  <c r="AM6" i="57" s="1"/>
  <c r="AO6" i="57" a="1"/>
  <c r="AO6" i="57" s="1"/>
  <c r="BI6" i="57" s="1"/>
  <c r="AQ6" i="57" a="1"/>
  <c r="AQ6" i="57" s="1"/>
  <c r="AS6" i="57" a="1"/>
  <c r="AS6" i="57" s="1"/>
  <c r="BK6" i="57" s="1"/>
  <c r="AU6" i="57" a="1"/>
  <c r="AU6" i="57" s="1"/>
  <c r="BL6" i="57" s="1"/>
  <c r="AE20" i="57" a="1"/>
  <c r="AE20" i="57" s="1"/>
  <c r="AJ20" i="57" a="1"/>
  <c r="AJ20" i="57" s="1"/>
  <c r="AM20" i="57" a="1"/>
  <c r="AM20" i="57" s="1"/>
  <c r="AR20" i="57" a="1"/>
  <c r="AR20" i="57" s="1"/>
  <c r="AU20" i="57" a="1"/>
  <c r="AU20" i="57" s="1"/>
  <c r="AJ32" i="57" a="1"/>
  <c r="AJ32" i="57" s="1"/>
  <c r="AC45" i="57" a="1"/>
  <c r="AC45" i="57" s="1"/>
  <c r="AF45" i="57" a="1"/>
  <c r="AF45" i="57" s="1"/>
  <c r="AK45" i="57" a="1"/>
  <c r="AK45" i="57" s="1"/>
  <c r="AN45" i="57" a="1"/>
  <c r="AN45" i="57" s="1"/>
  <c r="AS45" i="57" a="1"/>
  <c r="AS45" i="57" s="1"/>
  <c r="AV45" i="57" a="1"/>
  <c r="AV45" i="57" s="1"/>
  <c r="AA59" i="57"/>
  <c r="AU58" i="57" a="1"/>
  <c r="AU58" i="57" s="1"/>
  <c r="AS58" i="57" a="1"/>
  <c r="AS58" i="57" s="1"/>
  <c r="AQ58" i="57" a="1"/>
  <c r="AQ58" i="57" s="1"/>
  <c r="AO58" i="57" a="1"/>
  <c r="AO58" i="57" s="1"/>
  <c r="AM58" i="57" a="1"/>
  <c r="AM58" i="57" s="1"/>
  <c r="AK58" i="57" a="1"/>
  <c r="AK58" i="57" s="1"/>
  <c r="AI58" i="57" a="1"/>
  <c r="AI58" i="57" s="1"/>
  <c r="AG58" i="57" a="1"/>
  <c r="AG58" i="57" s="1"/>
  <c r="AE58" i="57" a="1"/>
  <c r="AE58" i="57" s="1"/>
  <c r="AC58" i="57" a="1"/>
  <c r="AC58" i="57" s="1"/>
  <c r="AV58" i="57" a="1"/>
  <c r="AV58" i="57" s="1"/>
  <c r="AT58" i="57" a="1"/>
  <c r="AT58" i="57" s="1"/>
  <c r="AR58" i="57" a="1"/>
  <c r="AR58" i="57" s="1"/>
  <c r="AP58" i="57" a="1"/>
  <c r="AP58" i="57" s="1"/>
  <c r="AN58" i="57" a="1"/>
  <c r="AN58" i="57" s="1"/>
  <c r="AL58" i="57" a="1"/>
  <c r="AL58" i="57" s="1"/>
  <c r="AJ58" i="57" a="1"/>
  <c r="AJ58" i="57" s="1"/>
  <c r="AH58" i="57" a="1"/>
  <c r="AH58" i="57" s="1"/>
  <c r="AF58" i="57" a="1"/>
  <c r="AF58" i="57" s="1"/>
  <c r="AD58" i="57" a="1"/>
  <c r="AD58" i="57" s="1"/>
  <c r="AF73" i="57" a="1"/>
  <c r="AF73" i="57" s="1"/>
  <c r="AN73" i="57" a="1"/>
  <c r="AN73" i="57" s="1"/>
  <c r="AA33" i="57"/>
  <c r="AU32" i="57" a="1"/>
  <c r="AU32" i="57" s="1"/>
  <c r="AS32" i="57" a="1"/>
  <c r="AS32" i="57" s="1"/>
  <c r="AQ32" i="57" a="1"/>
  <c r="AQ32" i="57" s="1"/>
  <c r="AO32" i="57" a="1"/>
  <c r="AO32" i="57" s="1"/>
  <c r="AM32" i="57" a="1"/>
  <c r="AM32" i="57" s="1"/>
  <c r="AK32" i="57" a="1"/>
  <c r="AK32" i="57" s="1"/>
  <c r="AI32" i="57" a="1"/>
  <c r="AI32" i="57" s="1"/>
  <c r="AG32" i="57" a="1"/>
  <c r="AG32" i="57" s="1"/>
  <c r="AE32" i="57" a="1"/>
  <c r="AE32" i="57" s="1"/>
  <c r="AC32" i="57" a="1"/>
  <c r="AC32" i="57" s="1"/>
  <c r="AH32" i="57" a="1"/>
  <c r="AH32" i="57" s="1"/>
  <c r="AP32" i="57" a="1"/>
  <c r="AP32" i="57" s="1"/>
  <c r="AX32" i="57"/>
  <c r="AH73" i="57" a="1"/>
  <c r="AH73" i="57" s="1"/>
  <c r="AP73" i="57" a="1"/>
  <c r="AP73" i="57" s="1"/>
  <c r="AD6" i="57" a="1"/>
  <c r="AD6" i="57" s="1"/>
  <c r="AF6" i="57" a="1"/>
  <c r="AF6" i="57" s="1"/>
  <c r="AH6" i="57" a="1"/>
  <c r="AH6" i="57" s="1"/>
  <c r="AJ6" i="57" a="1"/>
  <c r="AJ6" i="57" s="1"/>
  <c r="AL6" i="57" a="1"/>
  <c r="AL6" i="57" s="1"/>
  <c r="AN6" i="57" a="1"/>
  <c r="AN6" i="57" s="1"/>
  <c r="AP6" i="57" a="1"/>
  <c r="AP6" i="57" s="1"/>
  <c r="AR6" i="57" a="1"/>
  <c r="AR6" i="57" s="1"/>
  <c r="AT6" i="57" a="1"/>
  <c r="AT6" i="57" s="1"/>
  <c r="AV6" i="57" a="1"/>
  <c r="AV6" i="57" s="1"/>
  <c r="AF20" i="57" a="1"/>
  <c r="AF20" i="57" s="1"/>
  <c r="AI20" i="57" a="1"/>
  <c r="AI20" i="57" s="1"/>
  <c r="AN20" i="57" a="1"/>
  <c r="AN20" i="57" s="1"/>
  <c r="AQ20" i="57" a="1"/>
  <c r="AQ20" i="57" s="1"/>
  <c r="AV20" i="57" a="1"/>
  <c r="AV20" i="57" s="1"/>
  <c r="AF32" i="57" a="1"/>
  <c r="AF32" i="57" s="1"/>
  <c r="AN32" i="57" a="1"/>
  <c r="AN32" i="57" s="1"/>
  <c r="AV32" i="57" a="1"/>
  <c r="AV32" i="57" s="1"/>
  <c r="AG45" i="57" a="1"/>
  <c r="AG45" i="57" s="1"/>
  <c r="AJ45" i="57" a="1"/>
  <c r="AJ45" i="57" s="1"/>
  <c r="AO45" i="57" a="1"/>
  <c r="AO45" i="57" s="1"/>
  <c r="AR45" i="57" a="1"/>
  <c r="AR45" i="57" s="1"/>
  <c r="AA46" i="57"/>
  <c r="AX58" i="57"/>
  <c r="AA74" i="57"/>
  <c r="AU73" i="57" a="1"/>
  <c r="AU73" i="57" s="1"/>
  <c r="AS73" i="57" a="1"/>
  <c r="AS73" i="57" s="1"/>
  <c r="AQ73" i="57" a="1"/>
  <c r="AQ73" i="57" s="1"/>
  <c r="AO73" i="57" a="1"/>
  <c r="AO73" i="57" s="1"/>
  <c r="AM73" i="57" a="1"/>
  <c r="AM73" i="57" s="1"/>
  <c r="AK73" i="57" a="1"/>
  <c r="AK73" i="57" s="1"/>
  <c r="AI73" i="57" a="1"/>
  <c r="AI73" i="57" s="1"/>
  <c r="AG73" i="57" a="1"/>
  <c r="AG73" i="57" s="1"/>
  <c r="AE73" i="57" a="1"/>
  <c r="AE73" i="57" s="1"/>
  <c r="AC73" i="57" a="1"/>
  <c r="AC73" i="57" s="1"/>
  <c r="AJ73" i="57" a="1"/>
  <c r="AJ73" i="57" s="1"/>
  <c r="AR73" i="57" a="1"/>
  <c r="AR73" i="57" s="1"/>
  <c r="AL97" i="57" a="1"/>
  <c r="AL97" i="57" s="1"/>
  <c r="AT97" i="57" a="1"/>
  <c r="AT97" i="57" s="1"/>
  <c r="AE111" i="57" a="1"/>
  <c r="AE111" i="57" s="1"/>
  <c r="AI111" i="57" a="1"/>
  <c r="AI111" i="57" s="1"/>
  <c r="AM111" i="57" a="1"/>
  <c r="AM111" i="57" s="1"/>
  <c r="AQ111" i="57" a="1"/>
  <c r="AQ111" i="57" s="1"/>
  <c r="AC112" i="57" a="1"/>
  <c r="AC112" i="57" s="1"/>
  <c r="AG112" i="57" a="1"/>
  <c r="AG112" i="57" s="1"/>
  <c r="AK112" i="57" a="1"/>
  <c r="AK112" i="57" s="1"/>
  <c r="AO112" i="57" a="1"/>
  <c r="AO112" i="57" s="1"/>
  <c r="AS112" i="57" a="1"/>
  <c r="AS112" i="57" s="1"/>
  <c r="AA113" i="57"/>
  <c r="AA138" i="57"/>
  <c r="AU137" i="57" a="1"/>
  <c r="AU137" i="57" s="1"/>
  <c r="AS137" i="57" a="1"/>
  <c r="AS137" i="57" s="1"/>
  <c r="AQ137" i="57" a="1"/>
  <c r="AQ137" i="57" s="1"/>
  <c r="AO137" i="57" a="1"/>
  <c r="AO137" i="57" s="1"/>
  <c r="AM137" i="57" a="1"/>
  <c r="AM137" i="57" s="1"/>
  <c r="AK137" i="57" a="1"/>
  <c r="AK137" i="57" s="1"/>
  <c r="AI137" i="57" a="1"/>
  <c r="AI137" i="57" s="1"/>
  <c r="AG137" i="57" a="1"/>
  <c r="AG137" i="57" s="1"/>
  <c r="AE137" i="57" a="1"/>
  <c r="AE137" i="57" s="1"/>
  <c r="AC137" i="57" a="1"/>
  <c r="AC137" i="57" s="1"/>
  <c r="AH137" i="57" a="1"/>
  <c r="AH137" i="57" s="1"/>
  <c r="AP137" i="57" a="1"/>
  <c r="AP137" i="57" s="1"/>
  <c r="AD72" i="57" a="1"/>
  <c r="AD72" i="57" s="1"/>
  <c r="AF72" i="57" a="1"/>
  <c r="AF72" i="57" s="1"/>
  <c r="AH72" i="57" a="1"/>
  <c r="AH72" i="57" s="1"/>
  <c r="AJ72" i="57" a="1"/>
  <c r="AJ72" i="57" s="1"/>
  <c r="AL72" i="57" a="1"/>
  <c r="AL72" i="57" s="1"/>
  <c r="AN72" i="57" a="1"/>
  <c r="AN72" i="57" s="1"/>
  <c r="AP72" i="57" a="1"/>
  <c r="AP72" i="57" s="1"/>
  <c r="AR72" i="57" a="1"/>
  <c r="AR72" i="57" s="1"/>
  <c r="AT72" i="57" a="1"/>
  <c r="AT72" i="57" s="1"/>
  <c r="AD97" i="57" a="1"/>
  <c r="AD97" i="57" s="1"/>
  <c r="AF97" i="57" a="1"/>
  <c r="AF97" i="57" s="1"/>
  <c r="AH97" i="57" a="1"/>
  <c r="AH97" i="57" s="1"/>
  <c r="AJ97" i="57" a="1"/>
  <c r="AJ97" i="57" s="1"/>
  <c r="AD112" i="57" a="1"/>
  <c r="AD112" i="57" s="1"/>
  <c r="AH112" i="57" a="1"/>
  <c r="AH112" i="57" s="1"/>
  <c r="AL112" i="57" a="1"/>
  <c r="AL112" i="57" s="1"/>
  <c r="AP112" i="57" a="1"/>
  <c r="AP112" i="57" s="1"/>
  <c r="AT112" i="57" a="1"/>
  <c r="AT112" i="57" s="1"/>
  <c r="AA124" i="57"/>
  <c r="AU123" i="57" a="1"/>
  <c r="AU123" i="57" s="1"/>
  <c r="AS123" i="57" a="1"/>
  <c r="AS123" i="57" s="1"/>
  <c r="AQ123" i="57" a="1"/>
  <c r="AQ123" i="57" s="1"/>
  <c r="AO123" i="57" a="1"/>
  <c r="AO123" i="57" s="1"/>
  <c r="AM123" i="57" a="1"/>
  <c r="AM123" i="57" s="1"/>
  <c r="AK123" i="57" a="1"/>
  <c r="AK123" i="57" s="1"/>
  <c r="AI123" i="57" a="1"/>
  <c r="AI123" i="57" s="1"/>
  <c r="AG123" i="57" a="1"/>
  <c r="AG123" i="57" s="1"/>
  <c r="AE123" i="57" a="1"/>
  <c r="AE123" i="57" s="1"/>
  <c r="AC123" i="57" a="1"/>
  <c r="AC123" i="57" s="1"/>
  <c r="AV123" i="57" a="1"/>
  <c r="AV123" i="57" s="1"/>
  <c r="AT123" i="57" a="1"/>
  <c r="AT123" i="57" s="1"/>
  <c r="AR123" i="57" a="1"/>
  <c r="AR123" i="57" s="1"/>
  <c r="AP123" i="57" a="1"/>
  <c r="AP123" i="57" s="1"/>
  <c r="AN123" i="57" a="1"/>
  <c r="AN123" i="57" s="1"/>
  <c r="AL123" i="57" a="1"/>
  <c r="AL123" i="57" s="1"/>
  <c r="AJ123" i="57" a="1"/>
  <c r="AJ123" i="57" s="1"/>
  <c r="AH123" i="57" a="1"/>
  <c r="AH123" i="57" s="1"/>
  <c r="AF123" i="57" a="1"/>
  <c r="AF123" i="57" s="1"/>
  <c r="AD123" i="57" a="1"/>
  <c r="AD123" i="57" s="1"/>
  <c r="AJ137" i="57" a="1"/>
  <c r="AJ137" i="57" s="1"/>
  <c r="AR137" i="57" a="1"/>
  <c r="AR137" i="57" s="1"/>
  <c r="AA98" i="57"/>
  <c r="AU97" i="57" a="1"/>
  <c r="AU97" i="57" s="1"/>
  <c r="AS97" i="57" a="1"/>
  <c r="AS97" i="57" s="1"/>
  <c r="AQ97" i="57" a="1"/>
  <c r="AQ97" i="57" s="1"/>
  <c r="AO97" i="57" a="1"/>
  <c r="AO97" i="57" s="1"/>
  <c r="AM97" i="57" a="1"/>
  <c r="AM97" i="57" s="1"/>
  <c r="AK97" i="57" a="1"/>
  <c r="AK97" i="57" s="1"/>
  <c r="AP97" i="57" a="1"/>
  <c r="AP97" i="57" s="1"/>
  <c r="AX97" i="57"/>
  <c r="AE112" i="57" a="1"/>
  <c r="AE112" i="57" s="1"/>
  <c r="AI112" i="57" a="1"/>
  <c r="AI112" i="57" s="1"/>
  <c r="AM112" i="57" a="1"/>
  <c r="AM112" i="57" s="1"/>
  <c r="AQ112" i="57" a="1"/>
  <c r="AQ112" i="57" s="1"/>
  <c r="AC149" i="57" a="1"/>
  <c r="AC149" i="57" s="1"/>
  <c r="AF149" i="57" a="1"/>
  <c r="AF149" i="57" s="1"/>
  <c r="AK149" i="57" a="1"/>
  <c r="AK149" i="57" s="1"/>
  <c r="AN149" i="57" a="1"/>
  <c r="AN149" i="57" s="1"/>
  <c r="AS149" i="57" a="1"/>
  <c r="AS149" i="57" s="1"/>
  <c r="AV149" i="57" a="1"/>
  <c r="AV149" i="57" s="1"/>
  <c r="AC150" i="57" a="1"/>
  <c r="AC150" i="57" s="1"/>
  <c r="AH150" i="57" a="1"/>
  <c r="AH150" i="57" s="1"/>
  <c r="AK150" i="57" a="1"/>
  <c r="AK150" i="57" s="1"/>
  <c r="AP150" i="57" a="1"/>
  <c r="AP150" i="57" s="1"/>
  <c r="AS150" i="57" a="1"/>
  <c r="AS150" i="57" s="1"/>
  <c r="AA177" i="57"/>
  <c r="AU176" i="57" a="1"/>
  <c r="AU176" i="57" s="1"/>
  <c r="AQ176" i="57" a="1"/>
  <c r="AQ176" i="57" s="1"/>
  <c r="AO176" i="57" a="1"/>
  <c r="AO176" i="57" s="1"/>
  <c r="AM176" i="57" a="1"/>
  <c r="AM176" i="57" s="1"/>
  <c r="AI176" i="57" a="1"/>
  <c r="AI176" i="57" s="1"/>
  <c r="AG176" i="57" a="1"/>
  <c r="AG176" i="57" s="1"/>
  <c r="AE176" i="57" a="1"/>
  <c r="AE176" i="57" s="1"/>
  <c r="AC176" i="57" a="1"/>
  <c r="AC176" i="57" s="1"/>
  <c r="AH176" i="57" a="1"/>
  <c r="AH176" i="57" s="1"/>
  <c r="AP176" i="57" a="1"/>
  <c r="AP176" i="57" s="1"/>
  <c r="AD149" i="57" a="1"/>
  <c r="AD149" i="57" s="1"/>
  <c r="AI149" i="57" a="1"/>
  <c r="AI149" i="57" s="1"/>
  <c r="AL149" i="57" a="1"/>
  <c r="AL149" i="57" s="1"/>
  <c r="AQ149" i="57" a="1"/>
  <c r="AQ149" i="57" s="1"/>
  <c r="AT149" i="57" a="1"/>
  <c r="AT149" i="57" s="1"/>
  <c r="AF150" i="57" a="1"/>
  <c r="AF150" i="57" s="1"/>
  <c r="AI150" i="57" a="1"/>
  <c r="AI150" i="57" s="1"/>
  <c r="AN150" i="57" a="1"/>
  <c r="AN150" i="57" s="1"/>
  <c r="AQ150" i="57" a="1"/>
  <c r="AQ150" i="57" s="1"/>
  <c r="AV150" i="57" a="1"/>
  <c r="AV150" i="57" s="1"/>
  <c r="AV162" i="57" a="1"/>
  <c r="AV162" i="57" s="1"/>
  <c r="AT162" i="57" a="1"/>
  <c r="AT162" i="57" s="1"/>
  <c r="AR162" i="57" a="1"/>
  <c r="AR162" i="57" s="1"/>
  <c r="AP162" i="57" a="1"/>
  <c r="AP162" i="57" s="1"/>
  <c r="AN162" i="57" a="1"/>
  <c r="AN162" i="57" s="1"/>
  <c r="AL162" i="57" a="1"/>
  <c r="AL162" i="57" s="1"/>
  <c r="AJ162" i="57" a="1"/>
  <c r="AJ162" i="57" s="1"/>
  <c r="AH162" i="57" a="1"/>
  <c r="AH162" i="57" s="1"/>
  <c r="AF162" i="57" a="1"/>
  <c r="AF162" i="57" s="1"/>
  <c r="AD162" i="57" a="1"/>
  <c r="AD162" i="57" s="1"/>
  <c r="AA163" i="57"/>
  <c r="AU162" i="57" a="1"/>
  <c r="AU162" i="57" s="1"/>
  <c r="AS162" i="57" a="1"/>
  <c r="AS162" i="57" s="1"/>
  <c r="AQ162" i="57" a="1"/>
  <c r="AQ162" i="57" s="1"/>
  <c r="AO162" i="57" a="1"/>
  <c r="AO162" i="57" s="1"/>
  <c r="AM162" i="57" a="1"/>
  <c r="AM162" i="57" s="1"/>
  <c r="AK162" i="57" a="1"/>
  <c r="AK162" i="57" s="1"/>
  <c r="AI162" i="57" a="1"/>
  <c r="AI162" i="57" s="1"/>
  <c r="AG162" i="57" a="1"/>
  <c r="AG162" i="57" s="1"/>
  <c r="AE162" i="57" a="1"/>
  <c r="AE162" i="57" s="1"/>
  <c r="AC162" i="57" a="1"/>
  <c r="AC162" i="57" s="1"/>
  <c r="AJ176" i="57" a="1"/>
  <c r="AJ176" i="57" s="1"/>
  <c r="AR176" i="57" a="1"/>
  <c r="AR176" i="57" s="1"/>
  <c r="AD150" i="57" a="1"/>
  <c r="AD150" i="57" s="1"/>
  <c r="AG150" i="57" a="1"/>
  <c r="AG150" i="57" s="1"/>
  <c r="AL150" i="57" a="1"/>
  <c r="AL150" i="57" s="1"/>
  <c r="AO150" i="57" a="1"/>
  <c r="AO150" i="57" s="1"/>
  <c r="AT150" i="57" a="1"/>
  <c r="AT150" i="57" s="1"/>
  <c r="AA151" i="57"/>
  <c r="AE149" i="57" a="1"/>
  <c r="AE149" i="57" s="1"/>
  <c r="AH149" i="57" a="1"/>
  <c r="AH149" i="57" s="1"/>
  <c r="AM149" i="57" a="1"/>
  <c r="AM149" i="57" s="1"/>
  <c r="AP149" i="57" a="1"/>
  <c r="AP149" i="57" s="1"/>
  <c r="AU149" i="57" a="1"/>
  <c r="AU149" i="57" s="1"/>
  <c r="AE150" i="57" a="1"/>
  <c r="AE150" i="57" s="1"/>
  <c r="AJ150" i="57" a="1"/>
  <c r="AJ150" i="57" s="1"/>
  <c r="AM150" i="57" a="1"/>
  <c r="AM150" i="57" s="1"/>
  <c r="AR150" i="57" a="1"/>
  <c r="AR150" i="57" s="1"/>
  <c r="AF176" i="57" a="1"/>
  <c r="AF176" i="57" s="1"/>
  <c r="AN176" i="57" a="1"/>
  <c r="AN176" i="57" s="1"/>
  <c r="AV176" i="57" a="1"/>
  <c r="AV176" i="57" s="1"/>
  <c r="AD189" i="57" a="1"/>
  <c r="AD189" i="57" s="1"/>
  <c r="AI189" i="57" a="1"/>
  <c r="AI189" i="57" s="1"/>
  <c r="AL189" i="57" a="1"/>
  <c r="AL189" i="57" s="1"/>
  <c r="AQ189" i="57" a="1"/>
  <c r="AQ189" i="57" s="1"/>
  <c r="AT189" i="57" a="1"/>
  <c r="AT189" i="57" s="1"/>
  <c r="AA216" i="57"/>
  <c r="AG189" i="57" a="1"/>
  <c r="AG189" i="57" s="1"/>
  <c r="AJ189" i="57" a="1"/>
  <c r="AJ189" i="57" s="1"/>
  <c r="AO189" i="57" a="1"/>
  <c r="AO189" i="57" s="1"/>
  <c r="AR189" i="57" a="1"/>
  <c r="AR189" i="57" s="1"/>
  <c r="AA190" i="57"/>
  <c r="AE189" i="57" a="1"/>
  <c r="AE189" i="57" s="1"/>
  <c r="AH189" i="57" a="1"/>
  <c r="AH189" i="57" s="1"/>
  <c r="AM189" i="57" a="1"/>
  <c r="AM189" i="57" s="1"/>
  <c r="AP189" i="57" a="1"/>
  <c r="AP189" i="57" s="1"/>
  <c r="AU189" i="57" a="1"/>
  <c r="AU189" i="57" s="1"/>
  <c r="BJ214" i="57"/>
  <c r="AN189" i="57" a="1"/>
  <c r="AN189" i="57" s="1"/>
  <c r="AS189" i="57" a="1"/>
  <c r="AS189" i="57" s="1"/>
  <c r="AG201" i="57" a="1"/>
  <c r="AG201" i="57" s="1"/>
  <c r="AJ201" i="57" a="1"/>
  <c r="AJ201" i="57" s="1"/>
  <c r="AO201" i="57" a="1"/>
  <c r="AO201" i="57" s="1"/>
  <c r="AR201" i="57" a="1"/>
  <c r="AR201" i="57" s="1"/>
  <c r="AA202" i="57"/>
  <c r="AE201" i="57" a="1"/>
  <c r="AE201" i="57" s="1"/>
  <c r="AH201" i="57" a="1"/>
  <c r="AH201" i="57" s="1"/>
  <c r="AM201" i="57" a="1"/>
  <c r="AM201" i="57" s="1"/>
  <c r="AP201" i="57" a="1"/>
  <c r="AP201" i="57" s="1"/>
  <c r="AU201" i="57" a="1"/>
  <c r="AU201" i="57" s="1"/>
  <c r="AC201" i="57" a="1"/>
  <c r="AC201" i="57" s="1"/>
  <c r="AF201" i="57" a="1"/>
  <c r="AF201" i="57" s="1"/>
  <c r="AK201" i="57" a="1"/>
  <c r="AK201" i="57" s="1"/>
  <c r="AN201" i="57" a="1"/>
  <c r="AN201" i="57" s="1"/>
  <c r="AS201" i="57" a="1"/>
  <c r="AS201" i="57" s="1"/>
  <c r="AV201" i="57" a="1"/>
  <c r="AV201" i="57" s="1"/>
  <c r="BI214" i="57"/>
  <c r="AD201" i="57" a="1"/>
  <c r="AD201" i="57" s="1"/>
  <c r="AI201" i="57" a="1"/>
  <c r="AI201" i="57" s="1"/>
  <c r="AL201" i="57" a="1"/>
  <c r="AL201" i="57" s="1"/>
  <c r="AQ201" i="57" a="1"/>
  <c r="AQ201" i="57" s="1"/>
  <c r="AT201" i="57" a="1"/>
  <c r="AT201" i="57" s="1"/>
  <c r="BD214" i="57"/>
  <c r="BL214" i="57"/>
  <c r="AX214" i="57"/>
  <c r="AC228" i="57" a="1"/>
  <c r="AC228" i="57" s="1"/>
  <c r="AG228" i="57" a="1"/>
  <c r="AG228" i="57" s="1"/>
  <c r="AK228" i="57" a="1"/>
  <c r="AK228" i="57" s="1"/>
  <c r="AO228" i="57" a="1"/>
  <c r="AO228" i="57" s="1"/>
  <c r="AS228" i="57" a="1"/>
  <c r="AS228" i="57" s="1"/>
  <c r="AA229" i="57"/>
  <c r="AD228" i="57" a="1"/>
  <c r="AD228" i="57" s="1"/>
  <c r="AH228" i="57" a="1"/>
  <c r="AH228" i="57" s="1"/>
  <c r="AL228" i="57" a="1"/>
  <c r="AL228" i="57" s="1"/>
  <c r="AP228" i="57" a="1"/>
  <c r="AP228" i="57" s="1"/>
  <c r="AT228" i="57" a="1"/>
  <c r="AT228" i="57" s="1"/>
  <c r="AE228" i="57" a="1"/>
  <c r="AE228" i="57" s="1"/>
  <c r="AI228" i="57" a="1"/>
  <c r="AI228" i="57" s="1"/>
  <c r="AM228" i="57" a="1"/>
  <c r="AM228" i="57" s="1"/>
  <c r="AQ228" i="57" a="1"/>
  <c r="AQ228" i="57" s="1"/>
  <c r="AU228" i="57" a="1"/>
  <c r="AU228" i="57" s="1"/>
  <c r="AV240" i="57" a="1"/>
  <c r="AV240" i="57" s="1"/>
  <c r="AT240" i="57" a="1"/>
  <c r="AT240" i="57" s="1"/>
  <c r="AR240" i="57" a="1"/>
  <c r="AR240" i="57" s="1"/>
  <c r="AP240" i="57" a="1"/>
  <c r="AP240" i="57" s="1"/>
  <c r="AN240" i="57" a="1"/>
  <c r="AN240" i="57" s="1"/>
  <c r="AL240" i="57" a="1"/>
  <c r="AL240" i="57" s="1"/>
  <c r="AJ240" i="57" a="1"/>
  <c r="AJ240" i="57" s="1"/>
  <c r="AH240" i="57" a="1"/>
  <c r="AH240" i="57" s="1"/>
  <c r="AF240" i="57" a="1"/>
  <c r="AF240" i="57" s="1"/>
  <c r="AD240" i="57" a="1"/>
  <c r="AD240" i="57" s="1"/>
  <c r="AX240" i="57"/>
  <c r="AA241" i="57"/>
  <c r="AU240" i="57" a="1"/>
  <c r="AU240" i="57" s="1"/>
  <c r="AS240" i="57" a="1"/>
  <c r="AS240" i="57" s="1"/>
  <c r="AQ240" i="57" a="1"/>
  <c r="AQ240" i="57" s="1"/>
  <c r="AO240" i="57" a="1"/>
  <c r="AO240" i="57" s="1"/>
  <c r="AM240" i="57" a="1"/>
  <c r="AM240" i="57" s="1"/>
  <c r="AK240" i="57" a="1"/>
  <c r="AK240" i="57" s="1"/>
  <c r="AI240" i="57" a="1"/>
  <c r="AI240" i="57" s="1"/>
  <c r="AG240" i="57" a="1"/>
  <c r="AG240" i="57" s="1"/>
  <c r="AE240" i="57" a="1"/>
  <c r="AE240" i="57" s="1"/>
  <c r="AC240" i="57" a="1"/>
  <c r="AC240" i="57" s="1"/>
  <c r="AF228" i="57" a="1"/>
  <c r="AF228" i="57" s="1"/>
  <c r="AJ228" i="57" a="1"/>
  <c r="AJ228" i="57" s="1"/>
  <c r="AN228" i="57" a="1"/>
  <c r="AN228" i="57" s="1"/>
  <c r="AR228" i="57" a="1"/>
  <c r="AR228" i="57" s="1"/>
  <c r="AO253" i="57" a="1"/>
  <c r="AO253" i="57" s="1"/>
  <c r="AE253" i="57" a="1"/>
  <c r="AE253" i="57" s="1"/>
  <c r="AV253" i="57" a="1"/>
  <c r="AV253" i="57" s="1"/>
  <c r="AT253" i="57" a="1"/>
  <c r="AT253" i="57" s="1"/>
  <c r="AR253" i="57" a="1"/>
  <c r="AR253" i="57" s="1"/>
  <c r="AP253" i="57" a="1"/>
  <c r="AP253" i="57" s="1"/>
  <c r="AN253" i="57" a="1"/>
  <c r="AN253" i="57" s="1"/>
  <c r="AL253" i="57" a="1"/>
  <c r="AL253" i="57" s="1"/>
  <c r="AJ253" i="57" a="1"/>
  <c r="AJ253" i="57" s="1"/>
  <c r="AH253" i="57" a="1"/>
  <c r="AH253" i="57" s="1"/>
  <c r="AF253" i="57" a="1"/>
  <c r="AF253" i="57" s="1"/>
  <c r="AD253" i="57" a="1"/>
  <c r="AD253" i="57" s="1"/>
  <c r="AQ253" i="57" a="1"/>
  <c r="AQ253" i="57" s="1"/>
  <c r="AI253" i="57" a="1"/>
  <c r="AI253" i="57" s="1"/>
  <c r="AM253" i="57" a="1"/>
  <c r="AM253" i="57" s="1"/>
  <c r="AX253" i="57"/>
  <c r="AA254" i="57"/>
  <c r="AD267" i="57" a="1"/>
  <c r="AD267" i="57" s="1"/>
  <c r="AI267" i="57" a="1"/>
  <c r="AI267" i="57" s="1"/>
  <c r="AL267" i="57" a="1"/>
  <c r="AL267" i="57" s="1"/>
  <c r="AQ267" i="57" a="1"/>
  <c r="AQ267" i="57" s="1"/>
  <c r="AT267" i="57" a="1"/>
  <c r="AT267" i="57" s="1"/>
  <c r="AG267" i="57" a="1"/>
  <c r="AG267" i="57" s="1"/>
  <c r="AJ267" i="57" a="1"/>
  <c r="AJ267" i="57" s="1"/>
  <c r="AO267" i="57" a="1"/>
  <c r="AO267" i="57" s="1"/>
  <c r="AR267" i="57" a="1"/>
  <c r="AR267" i="57" s="1"/>
  <c r="AA268" i="57"/>
  <c r="AE267" i="57" a="1"/>
  <c r="AE267" i="57" s="1"/>
  <c r="AH267" i="57" a="1"/>
  <c r="AH267" i="57" s="1"/>
  <c r="AM267" i="57" a="1"/>
  <c r="AM267" i="57" s="1"/>
  <c r="AP267" i="57" a="1"/>
  <c r="AP267" i="57" s="1"/>
  <c r="AU267" i="57" a="1"/>
  <c r="AU267" i="57" s="1"/>
  <c r="AC267" i="57" a="1"/>
  <c r="AC267" i="57" s="1"/>
  <c r="AF267" i="57" a="1"/>
  <c r="AF267" i="57" s="1"/>
  <c r="AK267" i="57" a="1"/>
  <c r="AK267" i="57" s="1"/>
  <c r="AN267" i="57" a="1"/>
  <c r="AN267" i="57" s="1"/>
  <c r="AS267" i="57" a="1"/>
  <c r="AS267" i="57" s="1"/>
  <c r="AF280" i="57" a="1"/>
  <c r="AF280" i="57" s="1"/>
  <c r="AI280" i="57" a="1"/>
  <c r="AI280" i="57" s="1"/>
  <c r="AN280" i="57" a="1"/>
  <c r="AN280" i="57" s="1"/>
  <c r="AQ280" i="57" a="1"/>
  <c r="AQ280" i="57" s="1"/>
  <c r="AV280" i="57" a="1"/>
  <c r="AV280" i="57" s="1"/>
  <c r="AD280" i="57" a="1"/>
  <c r="AD280" i="57" s="1"/>
  <c r="AG280" i="57" a="1"/>
  <c r="AG280" i="57" s="1"/>
  <c r="AL280" i="57" a="1"/>
  <c r="AL280" i="57" s="1"/>
  <c r="AO280" i="57" a="1"/>
  <c r="AO280" i="57" s="1"/>
  <c r="AT280" i="57" a="1"/>
  <c r="AT280" i="57" s="1"/>
  <c r="AA281" i="57"/>
  <c r="AE279" i="57" a="1"/>
  <c r="AE279" i="57" s="1"/>
  <c r="AH279" i="57" a="1"/>
  <c r="AH279" i="57" s="1"/>
  <c r="AM279" i="57" a="1"/>
  <c r="AM279" i="57" s="1"/>
  <c r="AP279" i="57" a="1"/>
  <c r="AP279" i="57" s="1"/>
  <c r="AU279" i="57" a="1"/>
  <c r="AU279" i="57" s="1"/>
  <c r="BL279" i="57" s="1"/>
  <c r="AE280" i="57" a="1"/>
  <c r="AE280" i="57" s="1"/>
  <c r="AJ280" i="57" a="1"/>
  <c r="AJ280" i="57" s="1"/>
  <c r="AM280" i="57" a="1"/>
  <c r="AM280" i="57" s="1"/>
  <c r="AR280" i="57" a="1"/>
  <c r="AR280" i="57" s="1"/>
  <c r="AU280" i="57" a="1"/>
  <c r="AU280" i="57" s="1"/>
  <c r="AK280" i="57" a="1"/>
  <c r="AK280" i="57" s="1"/>
  <c r="AP280" i="57" a="1"/>
  <c r="AP280" i="57" s="1"/>
  <c r="AS293" i="57" a="1"/>
  <c r="AS293" i="57" s="1"/>
  <c r="AP293" i="57" a="1"/>
  <c r="AP293" i="57" s="1"/>
  <c r="AK293" i="57" a="1"/>
  <c r="AK293" i="57" s="1"/>
  <c r="AH293" i="57" a="1"/>
  <c r="AH293" i="57" s="1"/>
  <c r="AC293" i="57" a="1"/>
  <c r="AC293" i="57" s="1"/>
  <c r="AU293" i="57" a="1"/>
  <c r="AU293" i="57" s="1"/>
  <c r="AR293" i="57" a="1"/>
  <c r="AR293" i="57" s="1"/>
  <c r="AM293" i="57" a="1"/>
  <c r="AM293" i="57" s="1"/>
  <c r="AJ293" i="57" a="1"/>
  <c r="AJ293" i="57" s="1"/>
  <c r="AE293" i="57" a="1"/>
  <c r="AE293" i="57" s="1"/>
  <c r="AV293" i="57" a="1"/>
  <c r="AV293" i="57" s="1"/>
  <c r="AQ293" i="57" a="1"/>
  <c r="AQ293" i="57" s="1"/>
  <c r="AN293" i="57" a="1"/>
  <c r="AN293" i="57" s="1"/>
  <c r="AI293" i="57" a="1"/>
  <c r="AI293" i="57" s="1"/>
  <c r="AF293" i="57" a="1"/>
  <c r="AF293" i="57" s="1"/>
  <c r="AT293" i="57" a="1"/>
  <c r="AT293" i="57" s="1"/>
  <c r="AL293" i="57" a="1"/>
  <c r="AL293" i="57" s="1"/>
  <c r="AA294" i="57"/>
  <c r="BC305" i="57"/>
  <c r="AD293" i="57" a="1"/>
  <c r="AD293" i="57" s="1"/>
  <c r="AO293" i="57" a="1"/>
  <c r="AO293" i="57" s="1"/>
  <c r="AG293" i="57" a="1"/>
  <c r="AG293" i="57" s="1"/>
  <c r="BH305" i="57"/>
  <c r="AE292" i="57" a="1"/>
  <c r="AE292" i="57" s="1"/>
  <c r="AH292" i="57" a="1"/>
  <c r="AH292" i="57" s="1"/>
  <c r="AM292" i="57" a="1"/>
  <c r="AM292" i="57" s="1"/>
  <c r="AP292" i="57" a="1"/>
  <c r="AP292" i="57" s="1"/>
  <c r="AU292" i="57" a="1"/>
  <c r="AU292" i="57" s="1"/>
  <c r="BL292" i="57" s="1"/>
  <c r="AN305" i="57" a="1"/>
  <c r="AN305" i="57" s="1"/>
  <c r="AS305" i="57" a="1"/>
  <c r="AS305" i="57" s="1"/>
  <c r="BK305" i="57" s="1"/>
  <c r="AV305" i="57" a="1"/>
  <c r="AV305" i="57" s="1"/>
  <c r="AD305" i="57" a="1"/>
  <c r="AD305" i="57" s="1"/>
  <c r="AI305" i="57" a="1"/>
  <c r="AI305" i="57" s="1"/>
  <c r="BF305" i="57" s="1"/>
  <c r="AL305" i="57" a="1"/>
  <c r="AL305" i="57" s="1"/>
  <c r="AQ305" i="57" a="1"/>
  <c r="AQ305" i="57" s="1"/>
  <c r="AT305" i="57" a="1"/>
  <c r="AT305" i="57" s="1"/>
  <c r="AG305" i="57" a="1"/>
  <c r="AG305" i="57" s="1"/>
  <c r="AJ305" i="57" a="1"/>
  <c r="AJ305" i="57" s="1"/>
  <c r="AO305" i="57" a="1"/>
  <c r="AO305" i="57" s="1"/>
  <c r="BI305" i="57" s="1"/>
  <c r="AR305" i="57" a="1"/>
  <c r="AR305" i="57" s="1"/>
  <c r="AA306" i="57"/>
  <c r="AT176" i="57" l="1" a="1"/>
  <c r="AT176" i="57" s="1"/>
  <c r="AK176" i="57" a="1"/>
  <c r="AK176" i="57" s="1"/>
  <c r="AS176" i="57" a="1"/>
  <c r="AS176" i="57" s="1"/>
  <c r="AD176" i="57" a="1"/>
  <c r="AD176" i="57" s="1"/>
  <c r="AS280" i="57" a="1"/>
  <c r="AS280" i="57" s="1"/>
  <c r="AC280" i="57" a="1"/>
  <c r="AC280" i="57" s="1"/>
  <c r="AH280" i="57" a="1"/>
  <c r="AH280" i="57" s="1"/>
  <c r="AU112" i="57" a="1"/>
  <c r="AU112" i="57" s="1"/>
  <c r="AV112" i="57" a="1"/>
  <c r="AV112" i="57" s="1"/>
  <c r="AF112" i="57" a="1"/>
  <c r="AF112" i="57" s="1"/>
  <c r="AR112" i="57" a="1"/>
  <c r="AR112" i="57" s="1"/>
  <c r="AN112" i="57" a="1"/>
  <c r="AN112" i="57" s="1"/>
  <c r="AJ112" i="57" a="1"/>
  <c r="AJ112" i="57" s="1"/>
  <c r="AA21" i="57"/>
  <c r="AP20" i="57" a="1"/>
  <c r="AP20" i="57" s="1"/>
  <c r="AK20" i="57" a="1"/>
  <c r="AK20" i="57" s="1"/>
  <c r="AS20" i="57" a="1"/>
  <c r="AS20" i="57" s="1"/>
  <c r="AC20" i="57" a="1"/>
  <c r="AC20" i="57" s="1"/>
  <c r="AH20" i="57" a="1"/>
  <c r="AH20" i="57" s="1"/>
  <c r="BE214" i="57"/>
  <c r="AA217" i="57"/>
  <c r="AU151" i="57" a="1"/>
  <c r="AU151" i="57" s="1"/>
  <c r="AP151" i="57" a="1"/>
  <c r="AP151" i="57" s="1"/>
  <c r="AM151" i="57" a="1"/>
  <c r="AM151" i="57" s="1"/>
  <c r="AH151" i="57" a="1"/>
  <c r="AH151" i="57" s="1"/>
  <c r="AE151" i="57" a="1"/>
  <c r="AE151" i="57" s="1"/>
  <c r="AA152" i="57"/>
  <c r="AR151" i="57" a="1"/>
  <c r="AR151" i="57" s="1"/>
  <c r="AO151" i="57" a="1"/>
  <c r="AO151" i="57" s="1"/>
  <c r="AJ151" i="57" a="1"/>
  <c r="AJ151" i="57" s="1"/>
  <c r="AG151" i="57" a="1"/>
  <c r="AG151" i="57" s="1"/>
  <c r="AT151" i="57" a="1"/>
  <c r="AT151" i="57" s="1"/>
  <c r="AQ151" i="57" a="1"/>
  <c r="AQ151" i="57" s="1"/>
  <c r="AL151" i="57" a="1"/>
  <c r="AL151" i="57" s="1"/>
  <c r="AI151" i="57" a="1"/>
  <c r="AI151" i="57" s="1"/>
  <c r="AD151" i="57" a="1"/>
  <c r="AD151" i="57" s="1"/>
  <c r="AV151" i="57" a="1"/>
  <c r="AV151" i="57" s="1"/>
  <c r="AS151" i="57" a="1"/>
  <c r="AS151" i="57" s="1"/>
  <c r="AN151" i="57" a="1"/>
  <c r="AN151" i="57" s="1"/>
  <c r="AK151" i="57" a="1"/>
  <c r="AK151" i="57" s="1"/>
  <c r="AF151" i="57" a="1"/>
  <c r="AF151" i="57" s="1"/>
  <c r="AC151" i="57" a="1"/>
  <c r="AC151" i="57" s="1"/>
  <c r="BY8" i="57"/>
  <c r="BY7" i="57"/>
  <c r="BY6" i="57"/>
  <c r="CA8" i="57"/>
  <c r="BW8" i="57"/>
  <c r="CA7" i="57"/>
  <c r="BW7" i="57"/>
  <c r="BS7" i="57"/>
  <c r="CA6" i="57"/>
  <c r="BW6" i="57"/>
  <c r="BS6" i="57"/>
  <c r="BV8" i="57"/>
  <c r="BZ7" i="57"/>
  <c r="BV7" i="57"/>
  <c r="BV6" i="57"/>
  <c r="CB8" i="57"/>
  <c r="BT8" i="57"/>
  <c r="CB7" i="57"/>
  <c r="BX7" i="57"/>
  <c r="BT6" i="57"/>
  <c r="BT7" i="57"/>
  <c r="CB6" i="57"/>
  <c r="AV98" i="57" a="1"/>
  <c r="AV98" i="57" s="1"/>
  <c r="AT98" i="57" a="1"/>
  <c r="AT98" i="57" s="1"/>
  <c r="AR98" i="57" a="1"/>
  <c r="AR98" i="57" s="1"/>
  <c r="AP98" i="57" a="1"/>
  <c r="AP98" i="57" s="1"/>
  <c r="AN98" i="57" a="1"/>
  <c r="AN98" i="57" s="1"/>
  <c r="AL98" i="57" a="1"/>
  <c r="AL98" i="57" s="1"/>
  <c r="AJ98" i="57" a="1"/>
  <c r="AJ98" i="57" s="1"/>
  <c r="AH98" i="57" a="1"/>
  <c r="AH98" i="57" s="1"/>
  <c r="AF98" i="57" a="1"/>
  <c r="AF98" i="57" s="1"/>
  <c r="AD98" i="57" a="1"/>
  <c r="AD98" i="57" s="1"/>
  <c r="AU98" i="57" a="1"/>
  <c r="AU98" i="57" s="1"/>
  <c r="AM98" i="57" a="1"/>
  <c r="AM98" i="57" s="1"/>
  <c r="AE98" i="57" a="1"/>
  <c r="AE98" i="57" s="1"/>
  <c r="AA99" i="57"/>
  <c r="AO98" i="57" a="1"/>
  <c r="AO98" i="57" s="1"/>
  <c r="AG98" i="57" a="1"/>
  <c r="AG98" i="57" s="1"/>
  <c r="AQ98" i="57" a="1"/>
  <c r="AQ98" i="57" s="1"/>
  <c r="AI98" i="57" a="1"/>
  <c r="AI98" i="57" s="1"/>
  <c r="AC98" i="57" a="1"/>
  <c r="AC98" i="57" s="1"/>
  <c r="AK98" i="57" a="1"/>
  <c r="AK98" i="57" s="1"/>
  <c r="AS98" i="57" a="1"/>
  <c r="AS98" i="57" s="1"/>
  <c r="AV294" i="57" a="1"/>
  <c r="AV294" i="57" s="1"/>
  <c r="AS294" i="57" a="1"/>
  <c r="AS294" i="57" s="1"/>
  <c r="AN294" i="57" a="1"/>
  <c r="AN294" i="57" s="1"/>
  <c r="AK294" i="57" a="1"/>
  <c r="AK294" i="57" s="1"/>
  <c r="AF294" i="57" a="1"/>
  <c r="AF294" i="57" s="1"/>
  <c r="AC294" i="57" a="1"/>
  <c r="AC294" i="57" s="1"/>
  <c r="AU294" i="57" a="1"/>
  <c r="AU294" i="57" s="1"/>
  <c r="AP294" i="57" a="1"/>
  <c r="AP294" i="57" s="1"/>
  <c r="AM294" i="57" a="1"/>
  <c r="AM294" i="57" s="1"/>
  <c r="AH294" i="57" a="1"/>
  <c r="AH294" i="57" s="1"/>
  <c r="AE294" i="57" a="1"/>
  <c r="AE294" i="57" s="1"/>
  <c r="AT294" i="57" a="1"/>
  <c r="AT294" i="57" s="1"/>
  <c r="AQ294" i="57" a="1"/>
  <c r="AQ294" i="57" s="1"/>
  <c r="AL294" i="57" a="1"/>
  <c r="AL294" i="57" s="1"/>
  <c r="AI294" i="57" a="1"/>
  <c r="AI294" i="57" s="1"/>
  <c r="AD294" i="57" a="1"/>
  <c r="AD294" i="57" s="1"/>
  <c r="AO294" i="57" a="1"/>
  <c r="AO294" i="57" s="1"/>
  <c r="AA295" i="57"/>
  <c r="AJ294" i="57" a="1"/>
  <c r="AJ294" i="57" s="1"/>
  <c r="AR294" i="57" a="1"/>
  <c r="AR294" i="57" s="1"/>
  <c r="AG294" i="57" a="1"/>
  <c r="AG294" i="57" s="1"/>
  <c r="AA242" i="57"/>
  <c r="AU241" i="57" a="1"/>
  <c r="AU241" i="57" s="1"/>
  <c r="AS241" i="57" a="1"/>
  <c r="AS241" i="57" s="1"/>
  <c r="AQ241" i="57" a="1"/>
  <c r="AQ241" i="57" s="1"/>
  <c r="AO241" i="57" a="1"/>
  <c r="AO241" i="57" s="1"/>
  <c r="AM241" i="57" a="1"/>
  <c r="AM241" i="57" s="1"/>
  <c r="AK241" i="57" a="1"/>
  <c r="AK241" i="57" s="1"/>
  <c r="AI241" i="57" a="1"/>
  <c r="AI241" i="57" s="1"/>
  <c r="AG241" i="57" a="1"/>
  <c r="AG241" i="57" s="1"/>
  <c r="AE241" i="57" a="1"/>
  <c r="AE241" i="57" s="1"/>
  <c r="AC241" i="57" a="1"/>
  <c r="AC241" i="57" s="1"/>
  <c r="AV241" i="57" a="1"/>
  <c r="AV241" i="57" s="1"/>
  <c r="AT241" i="57" a="1"/>
  <c r="AT241" i="57" s="1"/>
  <c r="AR241" i="57" a="1"/>
  <c r="AR241" i="57" s="1"/>
  <c r="AP241" i="57" a="1"/>
  <c r="AP241" i="57" s="1"/>
  <c r="AN241" i="57" a="1"/>
  <c r="AN241" i="57" s="1"/>
  <c r="AL241" i="57" a="1"/>
  <c r="AL241" i="57" s="1"/>
  <c r="AJ241" i="57" a="1"/>
  <c r="AJ241" i="57" s="1"/>
  <c r="AH241" i="57" a="1"/>
  <c r="AH241" i="57" s="1"/>
  <c r="AF241" i="57" a="1"/>
  <c r="AF241" i="57" s="1"/>
  <c r="AD241" i="57" a="1"/>
  <c r="AD241" i="57" s="1"/>
  <c r="AA47" i="57"/>
  <c r="AT46" i="57" a="1"/>
  <c r="AT46" i="57" s="1"/>
  <c r="AO46" i="57" a="1"/>
  <c r="AO46" i="57" s="1"/>
  <c r="AL46" i="57" a="1"/>
  <c r="AL46" i="57" s="1"/>
  <c r="AG46" i="57" a="1"/>
  <c r="AG46" i="57" s="1"/>
  <c r="AD46" i="57" a="1"/>
  <c r="AD46" i="57" s="1"/>
  <c r="AV46" i="57" a="1"/>
  <c r="AV46" i="57" s="1"/>
  <c r="AQ46" i="57" a="1"/>
  <c r="AQ46" i="57" s="1"/>
  <c r="AN46" i="57" a="1"/>
  <c r="AN46" i="57" s="1"/>
  <c r="AI46" i="57" a="1"/>
  <c r="AI46" i="57" s="1"/>
  <c r="AF46" i="57" a="1"/>
  <c r="AF46" i="57" s="1"/>
  <c r="AS46" i="57" a="1"/>
  <c r="AS46" i="57" s="1"/>
  <c r="AP46" i="57" a="1"/>
  <c r="AP46" i="57" s="1"/>
  <c r="AK46" i="57" a="1"/>
  <c r="AK46" i="57" s="1"/>
  <c r="AH46" i="57" a="1"/>
  <c r="AH46" i="57" s="1"/>
  <c r="AC46" i="57" a="1"/>
  <c r="AC46" i="57" s="1"/>
  <c r="AU46" i="57" a="1"/>
  <c r="AU46" i="57" s="1"/>
  <c r="AR46" i="57" a="1"/>
  <c r="AR46" i="57" s="1"/>
  <c r="AM46" i="57" a="1"/>
  <c r="AM46" i="57" s="1"/>
  <c r="AJ46" i="57" a="1"/>
  <c r="AJ46" i="57" s="1"/>
  <c r="AE46" i="57" a="1"/>
  <c r="AE46" i="57" s="1"/>
  <c r="AA307" i="57"/>
  <c r="AT306" i="57" a="1"/>
  <c r="AT306" i="57" s="1"/>
  <c r="AO306" i="57" a="1"/>
  <c r="AO306" i="57" s="1"/>
  <c r="AL306" i="57" a="1"/>
  <c r="AL306" i="57" s="1"/>
  <c r="AG306" i="57" a="1"/>
  <c r="AG306" i="57" s="1"/>
  <c r="AD306" i="57" a="1"/>
  <c r="AD306" i="57" s="1"/>
  <c r="AV306" i="57" a="1"/>
  <c r="AV306" i="57" s="1"/>
  <c r="AQ306" i="57" a="1"/>
  <c r="AQ306" i="57" s="1"/>
  <c r="AN306" i="57" a="1"/>
  <c r="AN306" i="57" s="1"/>
  <c r="AI306" i="57" a="1"/>
  <c r="AI306" i="57" s="1"/>
  <c r="AF306" i="57" a="1"/>
  <c r="AF306" i="57" s="1"/>
  <c r="AS306" i="57" a="1"/>
  <c r="AS306" i="57" s="1"/>
  <c r="AP306" i="57" a="1"/>
  <c r="AP306" i="57" s="1"/>
  <c r="AK306" i="57" a="1"/>
  <c r="AK306" i="57" s="1"/>
  <c r="AH306" i="57" a="1"/>
  <c r="AH306" i="57" s="1"/>
  <c r="AC306" i="57" a="1"/>
  <c r="AC306" i="57" s="1"/>
  <c r="AU306" i="57" a="1"/>
  <c r="AU306" i="57" s="1"/>
  <c r="AR306" i="57" a="1"/>
  <c r="AR306" i="57" s="1"/>
  <c r="AM306" i="57" a="1"/>
  <c r="AM306" i="57" s="1"/>
  <c r="AJ306" i="57" a="1"/>
  <c r="AJ306" i="57" s="1"/>
  <c r="AE306" i="57" a="1"/>
  <c r="AE306" i="57" s="1"/>
  <c r="BJ305" i="57"/>
  <c r="BH279" i="57"/>
  <c r="AV281" i="57" a="1"/>
  <c r="AV281" i="57" s="1"/>
  <c r="AS281" i="57" a="1"/>
  <c r="AS281" i="57" s="1"/>
  <c r="AN281" i="57" a="1"/>
  <c r="AN281" i="57" s="1"/>
  <c r="AK281" i="57" a="1"/>
  <c r="AK281" i="57" s="1"/>
  <c r="AF281" i="57" a="1"/>
  <c r="AF281" i="57" s="1"/>
  <c r="AC281" i="57" a="1"/>
  <c r="AC281" i="57" s="1"/>
  <c r="AU281" i="57" a="1"/>
  <c r="AU281" i="57" s="1"/>
  <c r="AP281" i="57" a="1"/>
  <c r="AP281" i="57" s="1"/>
  <c r="AM281" i="57" a="1"/>
  <c r="AM281" i="57" s="1"/>
  <c r="AH281" i="57" a="1"/>
  <c r="AH281" i="57" s="1"/>
  <c r="AE281" i="57" a="1"/>
  <c r="AE281" i="57" s="1"/>
  <c r="AA282" i="57"/>
  <c r="AR281" i="57" a="1"/>
  <c r="AR281" i="57" s="1"/>
  <c r="AO281" i="57" a="1"/>
  <c r="AO281" i="57" s="1"/>
  <c r="AJ281" i="57" a="1"/>
  <c r="AJ281" i="57" s="1"/>
  <c r="AG281" i="57" a="1"/>
  <c r="AG281" i="57" s="1"/>
  <c r="AT281" i="57" a="1"/>
  <c r="AT281" i="57" s="1"/>
  <c r="AQ281" i="57" a="1"/>
  <c r="AQ281" i="57" s="1"/>
  <c r="AL281" i="57" a="1"/>
  <c r="AL281" i="57" s="1"/>
  <c r="AI281" i="57" a="1"/>
  <c r="AI281" i="57" s="1"/>
  <c r="AD281" i="57" a="1"/>
  <c r="AD281" i="57" s="1"/>
  <c r="AV268" i="57" a="1"/>
  <c r="AV268" i="57" s="1"/>
  <c r="AQ268" i="57" a="1"/>
  <c r="AQ268" i="57" s="1"/>
  <c r="AN268" i="57" a="1"/>
  <c r="AN268" i="57" s="1"/>
  <c r="AI268" i="57" a="1"/>
  <c r="AI268" i="57" s="1"/>
  <c r="AF268" i="57" a="1"/>
  <c r="AF268" i="57" s="1"/>
  <c r="AS268" i="57" a="1"/>
  <c r="AS268" i="57" s="1"/>
  <c r="AP268" i="57" a="1"/>
  <c r="AP268" i="57" s="1"/>
  <c r="AK268" i="57" a="1"/>
  <c r="AK268" i="57" s="1"/>
  <c r="AH268" i="57" a="1"/>
  <c r="AH268" i="57" s="1"/>
  <c r="AC268" i="57" a="1"/>
  <c r="AC268" i="57" s="1"/>
  <c r="AU268" i="57" a="1"/>
  <c r="AU268" i="57" s="1"/>
  <c r="AR268" i="57" a="1"/>
  <c r="AR268" i="57" s="1"/>
  <c r="AM268" i="57" a="1"/>
  <c r="AM268" i="57" s="1"/>
  <c r="AJ268" i="57" a="1"/>
  <c r="AJ268" i="57" s="1"/>
  <c r="AE268" i="57" a="1"/>
  <c r="AE268" i="57" s="1"/>
  <c r="AA269" i="57"/>
  <c r="AT268" i="57" a="1"/>
  <c r="AT268" i="57" s="1"/>
  <c r="AO268" i="57" a="1"/>
  <c r="AO268" i="57" s="1"/>
  <c r="AL268" i="57" a="1"/>
  <c r="AL268" i="57" s="1"/>
  <c r="AG268" i="57" a="1"/>
  <c r="AG268" i="57" s="1"/>
  <c r="AD268" i="57" a="1"/>
  <c r="AD268" i="57" s="1"/>
  <c r="AA255" i="57"/>
  <c r="AU254" i="57" a="1"/>
  <c r="AU254" i="57" s="1"/>
  <c r="AS254" i="57" a="1"/>
  <c r="AS254" i="57" s="1"/>
  <c r="AQ254" i="57" a="1"/>
  <c r="AQ254" i="57" s="1"/>
  <c r="AO254" i="57" a="1"/>
  <c r="AO254" i="57" s="1"/>
  <c r="AM254" i="57" a="1"/>
  <c r="AM254" i="57" s="1"/>
  <c r="AK254" i="57" a="1"/>
  <c r="AK254" i="57" s="1"/>
  <c r="AI254" i="57" a="1"/>
  <c r="AI254" i="57" s="1"/>
  <c r="AG254" i="57" a="1"/>
  <c r="AG254" i="57" s="1"/>
  <c r="AE254" i="57" a="1"/>
  <c r="AE254" i="57" s="1"/>
  <c r="AC254" i="57" a="1"/>
  <c r="AC254" i="57" s="1"/>
  <c r="AR254" i="57" a="1"/>
  <c r="AR254" i="57" s="1"/>
  <c r="AJ254" i="57" a="1"/>
  <c r="AJ254" i="57" s="1"/>
  <c r="AN254" i="57" a="1"/>
  <c r="AN254" i="57" s="1"/>
  <c r="AD254" i="57" a="1"/>
  <c r="AD254" i="57" s="1"/>
  <c r="AV254" i="57" a="1"/>
  <c r="AV254" i="57" s="1"/>
  <c r="AL254" i="57" a="1"/>
  <c r="AL254" i="57" s="1"/>
  <c r="AH254" i="57" a="1"/>
  <c r="AH254" i="57" s="1"/>
  <c r="AT254" i="57" a="1"/>
  <c r="AT254" i="57" s="1"/>
  <c r="AP254" i="57" a="1"/>
  <c r="AP254" i="57" s="1"/>
  <c r="AF254" i="57" a="1"/>
  <c r="AF254" i="57" s="1"/>
  <c r="BH214" i="57"/>
  <c r="AV202" i="57" a="1"/>
  <c r="AV202" i="57" s="1"/>
  <c r="AQ202" i="57" a="1"/>
  <c r="AQ202" i="57" s="1"/>
  <c r="AN202" i="57" a="1"/>
  <c r="AN202" i="57" s="1"/>
  <c r="AI202" i="57" a="1"/>
  <c r="AI202" i="57" s="1"/>
  <c r="AF202" i="57" a="1"/>
  <c r="AF202" i="57" s="1"/>
  <c r="AS202" i="57" a="1"/>
  <c r="AS202" i="57" s="1"/>
  <c r="AP202" i="57" a="1"/>
  <c r="AP202" i="57" s="1"/>
  <c r="AK202" i="57" a="1"/>
  <c r="AK202" i="57" s="1"/>
  <c r="AH202" i="57" a="1"/>
  <c r="AH202" i="57" s="1"/>
  <c r="AC202" i="57" a="1"/>
  <c r="AC202" i="57" s="1"/>
  <c r="AU202" i="57" a="1"/>
  <c r="AU202" i="57" s="1"/>
  <c r="AR202" i="57" a="1"/>
  <c r="AR202" i="57" s="1"/>
  <c r="AM202" i="57" a="1"/>
  <c r="AM202" i="57" s="1"/>
  <c r="AJ202" i="57" a="1"/>
  <c r="AJ202" i="57" s="1"/>
  <c r="AE202" i="57" a="1"/>
  <c r="AE202" i="57" s="1"/>
  <c r="AA203" i="57"/>
  <c r="AT202" i="57" a="1"/>
  <c r="AT202" i="57" s="1"/>
  <c r="AO202" i="57" a="1"/>
  <c r="AO202" i="57" s="1"/>
  <c r="AL202" i="57" a="1"/>
  <c r="AL202" i="57" s="1"/>
  <c r="AG202" i="57" a="1"/>
  <c r="AG202" i="57" s="1"/>
  <c r="AD202" i="57" a="1"/>
  <c r="AD202" i="57" s="1"/>
  <c r="AV138" i="57" a="1"/>
  <c r="AV138" i="57" s="1"/>
  <c r="AT138" i="57" a="1"/>
  <c r="AT138" i="57" s="1"/>
  <c r="AR138" i="57" a="1"/>
  <c r="AR138" i="57" s="1"/>
  <c r="AP138" i="57" a="1"/>
  <c r="AP138" i="57" s="1"/>
  <c r="AN138" i="57" a="1"/>
  <c r="AN138" i="57" s="1"/>
  <c r="AL138" i="57" a="1"/>
  <c r="AL138" i="57" s="1"/>
  <c r="AJ138" i="57" a="1"/>
  <c r="AJ138" i="57" s="1"/>
  <c r="AH138" i="57" a="1"/>
  <c r="AH138" i="57" s="1"/>
  <c r="AF138" i="57" a="1"/>
  <c r="AF138" i="57" s="1"/>
  <c r="AD138" i="57" a="1"/>
  <c r="AD138" i="57" s="1"/>
  <c r="AA139" i="57"/>
  <c r="AO138" i="57" a="1"/>
  <c r="AO138" i="57" s="1"/>
  <c r="AG138" i="57" a="1"/>
  <c r="AG138" i="57" s="1"/>
  <c r="AU138" i="57" a="1"/>
  <c r="AU138" i="57" s="1"/>
  <c r="AM138" i="57" a="1"/>
  <c r="AM138" i="57" s="1"/>
  <c r="AE138" i="57" a="1"/>
  <c r="AE138" i="57" s="1"/>
  <c r="AS138" i="57" a="1"/>
  <c r="AS138" i="57" s="1"/>
  <c r="AK138" i="57" a="1"/>
  <c r="AK138" i="57" s="1"/>
  <c r="AC138" i="57" a="1"/>
  <c r="AC138" i="57" s="1"/>
  <c r="AQ138" i="57" a="1"/>
  <c r="AQ138" i="57" s="1"/>
  <c r="AI138" i="57" a="1"/>
  <c r="AI138" i="57" s="1"/>
  <c r="AV74" i="57" a="1"/>
  <c r="AV74" i="57" s="1"/>
  <c r="AT74" i="57" a="1"/>
  <c r="AT74" i="57" s="1"/>
  <c r="AR74" i="57" a="1"/>
  <c r="AR74" i="57" s="1"/>
  <c r="AP74" i="57" a="1"/>
  <c r="AP74" i="57" s="1"/>
  <c r="AN74" i="57" a="1"/>
  <c r="AN74" i="57" s="1"/>
  <c r="AL74" i="57" a="1"/>
  <c r="AL74" i="57" s="1"/>
  <c r="AJ74" i="57" a="1"/>
  <c r="AJ74" i="57" s="1"/>
  <c r="AH74" i="57" a="1"/>
  <c r="AH74" i="57" s="1"/>
  <c r="AF74" i="57" a="1"/>
  <c r="AF74" i="57" s="1"/>
  <c r="AD74" i="57" a="1"/>
  <c r="AD74" i="57" s="1"/>
  <c r="AU74" i="57" a="1"/>
  <c r="AU74" i="57" s="1"/>
  <c r="AM74" i="57" a="1"/>
  <c r="AM74" i="57" s="1"/>
  <c r="AE74" i="57" a="1"/>
  <c r="AE74" i="57" s="1"/>
  <c r="AS74" i="57" a="1"/>
  <c r="AS74" i="57" s="1"/>
  <c r="AK74" i="57" a="1"/>
  <c r="AK74" i="57" s="1"/>
  <c r="AC74" i="57" a="1"/>
  <c r="AC74" i="57" s="1"/>
  <c r="AQ74" i="57" a="1"/>
  <c r="AQ74" i="57" s="1"/>
  <c r="AI74" i="57" a="1"/>
  <c r="AI74" i="57" s="1"/>
  <c r="AA75" i="57"/>
  <c r="AO74" i="57" a="1"/>
  <c r="AO74" i="57" s="1"/>
  <c r="AG74" i="57" a="1"/>
  <c r="AG74" i="57" s="1"/>
  <c r="AV33" i="57" a="1"/>
  <c r="AV33" i="57" s="1"/>
  <c r="AT33" i="57" a="1"/>
  <c r="AT33" i="57" s="1"/>
  <c r="AR33" i="57" a="1"/>
  <c r="AR33" i="57" s="1"/>
  <c r="AP33" i="57" a="1"/>
  <c r="AP33" i="57" s="1"/>
  <c r="AN33" i="57" a="1"/>
  <c r="AN33" i="57" s="1"/>
  <c r="AL33" i="57" a="1"/>
  <c r="AL33" i="57" s="1"/>
  <c r="AJ33" i="57" a="1"/>
  <c r="AJ33" i="57" s="1"/>
  <c r="AH33" i="57" a="1"/>
  <c r="AH33" i="57" s="1"/>
  <c r="AF33" i="57" a="1"/>
  <c r="AF33" i="57" s="1"/>
  <c r="AD33" i="57" a="1"/>
  <c r="AD33" i="57" s="1"/>
  <c r="AS33" i="57" a="1"/>
  <c r="AS33" i="57" s="1"/>
  <c r="AK33" i="57" a="1"/>
  <c r="AK33" i="57" s="1"/>
  <c r="AC33" i="57" a="1"/>
  <c r="AC33" i="57" s="1"/>
  <c r="AU33" i="57" a="1"/>
  <c r="AU33" i="57" s="1"/>
  <c r="AM33" i="57" a="1"/>
  <c r="AM33" i="57" s="1"/>
  <c r="AE33" i="57" a="1"/>
  <c r="AE33" i="57" s="1"/>
  <c r="AA34" i="57"/>
  <c r="AO33" i="57" a="1"/>
  <c r="AO33" i="57" s="1"/>
  <c r="AG33" i="57" a="1"/>
  <c r="AG33" i="57" s="1"/>
  <c r="AQ33" i="57" a="1"/>
  <c r="AQ33" i="57" s="1"/>
  <c r="AI33" i="57" a="1"/>
  <c r="AI33" i="57" s="1"/>
  <c r="AV59" i="57" a="1"/>
  <c r="AV59" i="57" s="1"/>
  <c r="AT59" i="57" a="1"/>
  <c r="AT59" i="57" s="1"/>
  <c r="AR59" i="57" a="1"/>
  <c r="AR59" i="57" s="1"/>
  <c r="AP59" i="57" a="1"/>
  <c r="AP59" i="57" s="1"/>
  <c r="AN59" i="57" a="1"/>
  <c r="AN59" i="57" s="1"/>
  <c r="AL59" i="57" a="1"/>
  <c r="AL59" i="57" s="1"/>
  <c r="AJ59" i="57" a="1"/>
  <c r="AJ59" i="57" s="1"/>
  <c r="AH59" i="57" a="1"/>
  <c r="AH59" i="57" s="1"/>
  <c r="AF59" i="57" a="1"/>
  <c r="AF59" i="57" s="1"/>
  <c r="AD59" i="57" a="1"/>
  <c r="AD59" i="57" s="1"/>
  <c r="AA60" i="57"/>
  <c r="AU59" i="57" a="1"/>
  <c r="AU59" i="57" s="1"/>
  <c r="AS59" i="57" a="1"/>
  <c r="AS59" i="57" s="1"/>
  <c r="AQ59" i="57" a="1"/>
  <c r="AQ59" i="57" s="1"/>
  <c r="AO59" i="57" a="1"/>
  <c r="AO59" i="57" s="1"/>
  <c r="AM59" i="57" a="1"/>
  <c r="AM59" i="57" s="1"/>
  <c r="AK59" i="57" a="1"/>
  <c r="AK59" i="57" s="1"/>
  <c r="AI59" i="57" a="1"/>
  <c r="AI59" i="57" s="1"/>
  <c r="AG59" i="57" a="1"/>
  <c r="AG59" i="57" s="1"/>
  <c r="AE59" i="57" a="1"/>
  <c r="AE59" i="57" s="1"/>
  <c r="AC59" i="57" a="1"/>
  <c r="AC59" i="57" s="1"/>
  <c r="BE305" i="57"/>
  <c r="BH292" i="57"/>
  <c r="AT229" i="57" a="1"/>
  <c r="AT229" i="57" s="1"/>
  <c r="AP229" i="57" a="1"/>
  <c r="AP229" i="57" s="1"/>
  <c r="AL229" i="57" a="1"/>
  <c r="AL229" i="57" s="1"/>
  <c r="AH229" i="57" a="1"/>
  <c r="AH229" i="57" s="1"/>
  <c r="AD229" i="57" a="1"/>
  <c r="AD229" i="57" s="1"/>
  <c r="AA230" i="57"/>
  <c r="AS229" i="57" a="1"/>
  <c r="AS229" i="57" s="1"/>
  <c r="AO229" i="57" a="1"/>
  <c r="AO229" i="57" s="1"/>
  <c r="AK229" i="57" a="1"/>
  <c r="AK229" i="57" s="1"/>
  <c r="AG229" i="57" a="1"/>
  <c r="AG229" i="57" s="1"/>
  <c r="AC229" i="57" a="1"/>
  <c r="AC229" i="57" s="1"/>
  <c r="AV229" i="57" a="1"/>
  <c r="AV229" i="57" s="1"/>
  <c r="AR229" i="57" a="1"/>
  <c r="AR229" i="57" s="1"/>
  <c r="AN229" i="57" a="1"/>
  <c r="AN229" i="57" s="1"/>
  <c r="AJ229" i="57" a="1"/>
  <c r="AJ229" i="57" s="1"/>
  <c r="AF229" i="57" a="1"/>
  <c r="AF229" i="57" s="1"/>
  <c r="AU229" i="57" a="1"/>
  <c r="AU229" i="57" s="1"/>
  <c r="AQ229" i="57" a="1"/>
  <c r="AQ229" i="57" s="1"/>
  <c r="AM229" i="57" a="1"/>
  <c r="AM229" i="57" s="1"/>
  <c r="AI229" i="57" a="1"/>
  <c r="AI229" i="57" s="1"/>
  <c r="AE229" i="57" a="1"/>
  <c r="AE229" i="57" s="1"/>
  <c r="AV190" i="57" a="1"/>
  <c r="AV190" i="57" s="1"/>
  <c r="AQ190" i="57" a="1"/>
  <c r="AQ190" i="57" s="1"/>
  <c r="AN190" i="57" a="1"/>
  <c r="AN190" i="57" s="1"/>
  <c r="AI190" i="57" a="1"/>
  <c r="AI190" i="57" s="1"/>
  <c r="AF190" i="57" a="1"/>
  <c r="AF190" i="57" s="1"/>
  <c r="AS190" i="57" a="1"/>
  <c r="AS190" i="57" s="1"/>
  <c r="AP190" i="57" a="1"/>
  <c r="AP190" i="57" s="1"/>
  <c r="AK190" i="57" a="1"/>
  <c r="AK190" i="57" s="1"/>
  <c r="AH190" i="57" a="1"/>
  <c r="AH190" i="57" s="1"/>
  <c r="AC190" i="57" a="1"/>
  <c r="AC190" i="57" s="1"/>
  <c r="AU190" i="57" a="1"/>
  <c r="AU190" i="57" s="1"/>
  <c r="AR190" i="57" a="1"/>
  <c r="AR190" i="57" s="1"/>
  <c r="AM190" i="57" a="1"/>
  <c r="AM190" i="57" s="1"/>
  <c r="AJ190" i="57" a="1"/>
  <c r="AJ190" i="57" s="1"/>
  <c r="AE190" i="57" a="1"/>
  <c r="AE190" i="57" s="1"/>
  <c r="AA191" i="57"/>
  <c r="AT190" i="57" a="1"/>
  <c r="AT190" i="57" s="1"/>
  <c r="AO190" i="57" a="1"/>
  <c r="AO190" i="57" s="1"/>
  <c r="AL190" i="57" a="1"/>
  <c r="AL190" i="57" s="1"/>
  <c r="AG190" i="57" a="1"/>
  <c r="AG190" i="57" s="1"/>
  <c r="AD190" i="57" a="1"/>
  <c r="AD190" i="57" s="1"/>
  <c r="AA164" i="57"/>
  <c r="AU163" i="57" a="1"/>
  <c r="AU163" i="57" s="1"/>
  <c r="AS163" i="57" a="1"/>
  <c r="AS163" i="57" s="1"/>
  <c r="AQ163" i="57" a="1"/>
  <c r="AQ163" i="57" s="1"/>
  <c r="AO163" i="57" a="1"/>
  <c r="AO163" i="57" s="1"/>
  <c r="AM163" i="57" a="1"/>
  <c r="AM163" i="57" s="1"/>
  <c r="AK163" i="57" a="1"/>
  <c r="AK163" i="57" s="1"/>
  <c r="AI163" i="57" a="1"/>
  <c r="AI163" i="57" s="1"/>
  <c r="AG163" i="57" a="1"/>
  <c r="AG163" i="57" s="1"/>
  <c r="AE163" i="57" a="1"/>
  <c r="AE163" i="57" s="1"/>
  <c r="AC163" i="57" a="1"/>
  <c r="AC163" i="57" s="1"/>
  <c r="AV163" i="57" a="1"/>
  <c r="AV163" i="57" s="1"/>
  <c r="AT163" i="57" a="1"/>
  <c r="AT163" i="57" s="1"/>
  <c r="AR163" i="57" a="1"/>
  <c r="AR163" i="57" s="1"/>
  <c r="AP163" i="57" a="1"/>
  <c r="AP163" i="57" s="1"/>
  <c r="AN163" i="57" a="1"/>
  <c r="AN163" i="57" s="1"/>
  <c r="AL163" i="57" a="1"/>
  <c r="AL163" i="57" s="1"/>
  <c r="AJ163" i="57" a="1"/>
  <c r="AJ163" i="57" s="1"/>
  <c r="AH163" i="57" a="1"/>
  <c r="AH163" i="57" s="1"/>
  <c r="AF163" i="57" a="1"/>
  <c r="AF163" i="57" s="1"/>
  <c r="AD163" i="57" a="1"/>
  <c r="AD163" i="57" s="1"/>
  <c r="AV177" i="57" a="1"/>
  <c r="AV177" i="57" s="1"/>
  <c r="AT177" i="57" a="1"/>
  <c r="AT177" i="57" s="1"/>
  <c r="AR177" i="57" a="1"/>
  <c r="AR177" i="57" s="1"/>
  <c r="AP177" i="57" a="1"/>
  <c r="AP177" i="57" s="1"/>
  <c r="AN177" i="57" a="1"/>
  <c r="AN177" i="57" s="1"/>
  <c r="AL177" i="57" a="1"/>
  <c r="AL177" i="57" s="1"/>
  <c r="AJ177" i="57" a="1"/>
  <c r="AJ177" i="57" s="1"/>
  <c r="AH177" i="57" a="1"/>
  <c r="AH177" i="57" s="1"/>
  <c r="AF177" i="57" a="1"/>
  <c r="AF177" i="57" s="1"/>
  <c r="AD177" i="57" a="1"/>
  <c r="AD177" i="57" s="1"/>
  <c r="AQ177" i="57" a="1"/>
  <c r="AQ177" i="57" s="1"/>
  <c r="AI177" i="57" a="1"/>
  <c r="AI177" i="57" s="1"/>
  <c r="AA178" i="57"/>
  <c r="AO177" i="57" a="1"/>
  <c r="AO177" i="57" s="1"/>
  <c r="AG177" i="57" a="1"/>
  <c r="AG177" i="57" s="1"/>
  <c r="AU177" i="57" a="1"/>
  <c r="AU177" i="57" s="1"/>
  <c r="AM177" i="57" a="1"/>
  <c r="AM177" i="57" s="1"/>
  <c r="AE177" i="57" a="1"/>
  <c r="AE177" i="57" s="1"/>
  <c r="AS177" i="57" a="1"/>
  <c r="AS177" i="57" s="1"/>
  <c r="AK177" i="57" a="1"/>
  <c r="AK177" i="57" s="1"/>
  <c r="AC177" i="57" a="1"/>
  <c r="AC177" i="57" s="1"/>
  <c r="AV124" i="57" a="1"/>
  <c r="AV124" i="57" s="1"/>
  <c r="AT124" i="57" a="1"/>
  <c r="AT124" i="57" s="1"/>
  <c r="AR124" i="57" a="1"/>
  <c r="AR124" i="57" s="1"/>
  <c r="AP124" i="57" a="1"/>
  <c r="AP124" i="57" s="1"/>
  <c r="AN124" i="57" a="1"/>
  <c r="AN124" i="57" s="1"/>
  <c r="AL124" i="57" a="1"/>
  <c r="AL124" i="57" s="1"/>
  <c r="AJ124" i="57" a="1"/>
  <c r="AJ124" i="57" s="1"/>
  <c r="AH124" i="57" a="1"/>
  <c r="AH124" i="57" s="1"/>
  <c r="AF124" i="57" a="1"/>
  <c r="AF124" i="57" s="1"/>
  <c r="AD124" i="57" a="1"/>
  <c r="AD124" i="57" s="1"/>
  <c r="AA125" i="57"/>
  <c r="AU124" i="57" a="1"/>
  <c r="AU124" i="57" s="1"/>
  <c r="AS124" i="57" a="1"/>
  <c r="AS124" i="57" s="1"/>
  <c r="AQ124" i="57" a="1"/>
  <c r="AQ124" i="57" s="1"/>
  <c r="AO124" i="57" a="1"/>
  <c r="AO124" i="57" s="1"/>
  <c r="AM124" i="57" a="1"/>
  <c r="AM124" i="57" s="1"/>
  <c r="AK124" i="57" a="1"/>
  <c r="AK124" i="57" s="1"/>
  <c r="AI124" i="57" a="1"/>
  <c r="AI124" i="57" s="1"/>
  <c r="AG124" i="57" a="1"/>
  <c r="AG124" i="57" s="1"/>
  <c r="AE124" i="57" a="1"/>
  <c r="AE124" i="57" s="1"/>
  <c r="AC124" i="57" a="1"/>
  <c r="AC124" i="57" s="1"/>
  <c r="AT113" i="57" a="1"/>
  <c r="AT113" i="57" s="1"/>
  <c r="AP113" i="57" a="1"/>
  <c r="AP113" i="57" s="1"/>
  <c r="AL113" i="57" a="1"/>
  <c r="AL113" i="57" s="1"/>
  <c r="AH113" i="57" a="1"/>
  <c r="AH113" i="57" s="1"/>
  <c r="AD113" i="57" a="1"/>
  <c r="AD113" i="57" s="1"/>
  <c r="AA114" i="57"/>
  <c r="AS113" i="57" a="1"/>
  <c r="AS113" i="57" s="1"/>
  <c r="AO113" i="57" a="1"/>
  <c r="AO113" i="57" s="1"/>
  <c r="AK113" i="57" a="1"/>
  <c r="AK113" i="57" s="1"/>
  <c r="AG113" i="57" a="1"/>
  <c r="AG113" i="57" s="1"/>
  <c r="AC113" i="57" a="1"/>
  <c r="AC113" i="57" s="1"/>
  <c r="AV113" i="57" a="1"/>
  <c r="AV113" i="57" s="1"/>
  <c r="AR113" i="57" a="1"/>
  <c r="AR113" i="57" s="1"/>
  <c r="AN113" i="57" a="1"/>
  <c r="AN113" i="57" s="1"/>
  <c r="AJ113" i="57" a="1"/>
  <c r="AJ113" i="57" s="1"/>
  <c r="AF113" i="57" a="1"/>
  <c r="AF113" i="57" s="1"/>
  <c r="AU113" i="57" a="1"/>
  <c r="AU113" i="57" s="1"/>
  <c r="AQ113" i="57" a="1"/>
  <c r="AQ113" i="57" s="1"/>
  <c r="AM113" i="57" a="1"/>
  <c r="AM113" i="57" s="1"/>
  <c r="AI113" i="57" a="1"/>
  <c r="AI113" i="57" s="1"/>
  <c r="AE113" i="57" a="1"/>
  <c r="AE113" i="57" s="1"/>
  <c r="BH6" i="57"/>
  <c r="BX6" i="57" s="1"/>
  <c r="AA86" i="57"/>
  <c r="AU85" i="57" a="1"/>
  <c r="AU85" i="57" s="1"/>
  <c r="AS85" i="57" a="1"/>
  <c r="AS85" i="57" s="1"/>
  <c r="AQ85" i="57" a="1"/>
  <c r="AQ85" i="57" s="1"/>
  <c r="AO85" i="57" a="1"/>
  <c r="AO85" i="57" s="1"/>
  <c r="AM85" i="57" a="1"/>
  <c r="AM85" i="57" s="1"/>
  <c r="AK85" i="57" a="1"/>
  <c r="AK85" i="57" s="1"/>
  <c r="AI85" i="57" a="1"/>
  <c r="AI85" i="57" s="1"/>
  <c r="AG85" i="57" a="1"/>
  <c r="AG85" i="57" s="1"/>
  <c r="AE85" i="57" a="1"/>
  <c r="AE85" i="57" s="1"/>
  <c r="AC85" i="57" a="1"/>
  <c r="AC85" i="57" s="1"/>
  <c r="AV85" i="57" a="1"/>
  <c r="AV85" i="57" s="1"/>
  <c r="AT85" i="57" a="1"/>
  <c r="AT85" i="57" s="1"/>
  <c r="AR85" i="57" a="1"/>
  <c r="AR85" i="57" s="1"/>
  <c r="AP85" i="57" a="1"/>
  <c r="AP85" i="57" s="1"/>
  <c r="AN85" i="57" a="1"/>
  <c r="AN85" i="57" s="1"/>
  <c r="AL85" i="57" a="1"/>
  <c r="AL85" i="57" s="1"/>
  <c r="AJ85" i="57" a="1"/>
  <c r="AJ85" i="57" s="1"/>
  <c r="AH85" i="57" a="1"/>
  <c r="AH85" i="57" s="1"/>
  <c r="AF85" i="57" a="1"/>
  <c r="AF85" i="57" s="1"/>
  <c r="AD85" i="57" a="1"/>
  <c r="AD85" i="57" s="1"/>
  <c r="AA9" i="57"/>
  <c r="AV8" i="57" a="1"/>
  <c r="AV8" i="57" s="1"/>
  <c r="AT8" i="57" a="1"/>
  <c r="AT8" i="57" s="1"/>
  <c r="AR8" i="57" a="1"/>
  <c r="AR8" i="57" s="1"/>
  <c r="AP8" i="57" a="1"/>
  <c r="AP8" i="57" s="1"/>
  <c r="AN8" i="57" a="1"/>
  <c r="AN8" i="57" s="1"/>
  <c r="AL8" i="57" a="1"/>
  <c r="AL8" i="57" s="1"/>
  <c r="AJ8" i="57" a="1"/>
  <c r="AJ8" i="57" s="1"/>
  <c r="AH8" i="57" a="1"/>
  <c r="AH8" i="57" s="1"/>
  <c r="AF8" i="57" a="1"/>
  <c r="AF8" i="57" s="1"/>
  <c r="AD8" i="57" a="1"/>
  <c r="AD8" i="57" s="1"/>
  <c r="AU8" i="57" a="1"/>
  <c r="AU8" i="57" s="1"/>
  <c r="AS8" i="57" a="1"/>
  <c r="AS8" i="57" s="1"/>
  <c r="AQ8" i="57" a="1"/>
  <c r="AQ8" i="57" s="1"/>
  <c r="AO8" i="57" a="1"/>
  <c r="AO8" i="57" s="1"/>
  <c r="AM8" i="57" a="1"/>
  <c r="AM8" i="57" s="1"/>
  <c r="AK8" i="57" a="1"/>
  <c r="AK8" i="57" s="1"/>
  <c r="AI8" i="57" a="1"/>
  <c r="AI8" i="57" s="1"/>
  <c r="AG8" i="57" a="1"/>
  <c r="AG8" i="57" s="1"/>
  <c r="AE8" i="57" a="1"/>
  <c r="AE8" i="57" s="1"/>
  <c r="AC8" i="57" a="1"/>
  <c r="AC8" i="57" s="1"/>
  <c r="AM21" i="57" l="1" a="1"/>
  <c r="AM21" i="57" s="1"/>
  <c r="AL21" i="57" a="1"/>
  <c r="AL21" i="57" s="1"/>
  <c r="AA22" i="57"/>
  <c r="AI21" i="57" a="1"/>
  <c r="AI21" i="57" s="1"/>
  <c r="AK21" i="57" a="1"/>
  <c r="AK21" i="57" s="1"/>
  <c r="AJ21" i="57" a="1"/>
  <c r="AJ21" i="57" s="1"/>
  <c r="AD21" i="57" a="1"/>
  <c r="AD21" i="57" s="1"/>
  <c r="AV21" i="57" a="1"/>
  <c r="AV21" i="57" s="1"/>
  <c r="AF21" i="57" a="1"/>
  <c r="AF21" i="57" s="1"/>
  <c r="AH21" i="57" a="1"/>
  <c r="AH21" i="57" s="1"/>
  <c r="AU21" i="57" a="1"/>
  <c r="AU21" i="57" s="1"/>
  <c r="AE21" i="57" a="1"/>
  <c r="AE21" i="57" s="1"/>
  <c r="AO21" i="57" a="1"/>
  <c r="AO21" i="57" s="1"/>
  <c r="AQ21" i="57" a="1"/>
  <c r="AQ21" i="57" s="1"/>
  <c r="AS21" i="57" a="1"/>
  <c r="AS21" i="57" s="1"/>
  <c r="AC21" i="57" a="1"/>
  <c r="AC21" i="57" s="1"/>
  <c r="AR21" i="57" a="1"/>
  <c r="AR21" i="57" s="1"/>
  <c r="AT21" i="57" a="1"/>
  <c r="AT21" i="57" s="1"/>
  <c r="AG21" i="57" a="1"/>
  <c r="AG21" i="57" s="1"/>
  <c r="AN21" i="57" a="1"/>
  <c r="AN21" i="57" s="1"/>
  <c r="AP21" i="57" a="1"/>
  <c r="AP21" i="57" s="1"/>
  <c r="AV164" i="57" a="1"/>
  <c r="AV164" i="57" s="1"/>
  <c r="AT164" i="57" a="1"/>
  <c r="AT164" i="57" s="1"/>
  <c r="AR164" i="57" a="1"/>
  <c r="AR164" i="57" s="1"/>
  <c r="AP164" i="57" a="1"/>
  <c r="AP164" i="57" s="1"/>
  <c r="AN164" i="57" a="1"/>
  <c r="AN164" i="57" s="1"/>
  <c r="AL164" i="57" a="1"/>
  <c r="AL164" i="57" s="1"/>
  <c r="AJ164" i="57" a="1"/>
  <c r="AJ164" i="57" s="1"/>
  <c r="AH164" i="57" a="1"/>
  <c r="AH164" i="57" s="1"/>
  <c r="AF164" i="57" a="1"/>
  <c r="AF164" i="57" s="1"/>
  <c r="AD164" i="57" a="1"/>
  <c r="AD164" i="57" s="1"/>
  <c r="AA165" i="57"/>
  <c r="AU164" i="57" a="1"/>
  <c r="AU164" i="57" s="1"/>
  <c r="AS164" i="57" a="1"/>
  <c r="AS164" i="57" s="1"/>
  <c r="AQ164" i="57" a="1"/>
  <c r="AQ164" i="57" s="1"/>
  <c r="AO164" i="57" a="1"/>
  <c r="AO164" i="57" s="1"/>
  <c r="AM164" i="57" a="1"/>
  <c r="AM164" i="57" s="1"/>
  <c r="AK164" i="57" a="1"/>
  <c r="AK164" i="57" s="1"/>
  <c r="AI164" i="57" a="1"/>
  <c r="AI164" i="57" s="1"/>
  <c r="AG164" i="57" a="1"/>
  <c r="AG164" i="57" s="1"/>
  <c r="AE164" i="57" a="1"/>
  <c r="AE164" i="57" s="1"/>
  <c r="AC164" i="57" a="1"/>
  <c r="AC164" i="57" s="1"/>
  <c r="AA35" i="57"/>
  <c r="AU34" i="57" a="1"/>
  <c r="AU34" i="57" s="1"/>
  <c r="AS34" i="57" a="1"/>
  <c r="AS34" i="57" s="1"/>
  <c r="AQ34" i="57" a="1"/>
  <c r="AQ34" i="57" s="1"/>
  <c r="AO34" i="57" a="1"/>
  <c r="AO34" i="57" s="1"/>
  <c r="AM34" i="57" a="1"/>
  <c r="AM34" i="57" s="1"/>
  <c r="AK34" i="57" a="1"/>
  <c r="AK34" i="57" s="1"/>
  <c r="AI34" i="57" a="1"/>
  <c r="AI34" i="57" s="1"/>
  <c r="AG34" i="57" a="1"/>
  <c r="AG34" i="57" s="1"/>
  <c r="AE34" i="57" a="1"/>
  <c r="AE34" i="57" s="1"/>
  <c r="AC34" i="57" a="1"/>
  <c r="AC34" i="57" s="1"/>
  <c r="AV34" i="57" a="1"/>
  <c r="AV34" i="57" s="1"/>
  <c r="AN34" i="57" a="1"/>
  <c r="AN34" i="57" s="1"/>
  <c r="AF34" i="57" a="1"/>
  <c r="AF34" i="57" s="1"/>
  <c r="AP34" i="57" a="1"/>
  <c r="AP34" i="57" s="1"/>
  <c r="AH34" i="57" a="1"/>
  <c r="AH34" i="57" s="1"/>
  <c r="AR34" i="57" a="1"/>
  <c r="AR34" i="57" s="1"/>
  <c r="AJ34" i="57" a="1"/>
  <c r="AJ34" i="57" s="1"/>
  <c r="AT34" i="57" a="1"/>
  <c r="AT34" i="57" s="1"/>
  <c r="AL34" i="57" a="1"/>
  <c r="AL34" i="57" s="1"/>
  <c r="AD34" i="57" a="1"/>
  <c r="AD34" i="57" s="1"/>
  <c r="AA140" i="57"/>
  <c r="AU139" i="57" a="1"/>
  <c r="AU139" i="57" s="1"/>
  <c r="AS139" i="57" a="1"/>
  <c r="AS139" i="57" s="1"/>
  <c r="AQ139" i="57" a="1"/>
  <c r="AQ139" i="57" s="1"/>
  <c r="AO139" i="57" a="1"/>
  <c r="AO139" i="57" s="1"/>
  <c r="AM139" i="57" a="1"/>
  <c r="AM139" i="57" s="1"/>
  <c r="AK139" i="57" a="1"/>
  <c r="AK139" i="57" s="1"/>
  <c r="AI139" i="57" a="1"/>
  <c r="AI139" i="57" s="1"/>
  <c r="AG139" i="57" a="1"/>
  <c r="AG139" i="57" s="1"/>
  <c r="AE139" i="57" a="1"/>
  <c r="AE139" i="57" s="1"/>
  <c r="AC139" i="57" a="1"/>
  <c r="AC139" i="57" s="1"/>
  <c r="AR139" i="57" a="1"/>
  <c r="AR139" i="57" s="1"/>
  <c r="AJ139" i="57" a="1"/>
  <c r="AJ139" i="57" s="1"/>
  <c r="AP139" i="57" a="1"/>
  <c r="AP139" i="57" s="1"/>
  <c r="AH139" i="57" a="1"/>
  <c r="AH139" i="57" s="1"/>
  <c r="AV139" i="57" a="1"/>
  <c r="AV139" i="57" s="1"/>
  <c r="AN139" i="57" a="1"/>
  <c r="AN139" i="57" s="1"/>
  <c r="AF139" i="57" a="1"/>
  <c r="AF139" i="57" s="1"/>
  <c r="AT139" i="57" a="1"/>
  <c r="AT139" i="57" s="1"/>
  <c r="AL139" i="57" a="1"/>
  <c r="AL139" i="57" s="1"/>
  <c r="AD139" i="57" a="1"/>
  <c r="AD139" i="57" s="1"/>
  <c r="AA48" i="57"/>
  <c r="AR47" i="57" a="1"/>
  <c r="AR47" i="57" s="1"/>
  <c r="AO47" i="57" a="1"/>
  <c r="AO47" i="57" s="1"/>
  <c r="AJ47" i="57" a="1"/>
  <c r="AJ47" i="57" s="1"/>
  <c r="AG47" i="57" a="1"/>
  <c r="AG47" i="57" s="1"/>
  <c r="AT47" i="57" a="1"/>
  <c r="AT47" i="57" s="1"/>
  <c r="AQ47" i="57" a="1"/>
  <c r="AQ47" i="57" s="1"/>
  <c r="AL47" i="57" a="1"/>
  <c r="AL47" i="57" s="1"/>
  <c r="AI47" i="57" a="1"/>
  <c r="AI47" i="57" s="1"/>
  <c r="AD47" i="57" a="1"/>
  <c r="AD47" i="57" s="1"/>
  <c r="AV47" i="57" a="1"/>
  <c r="AV47" i="57" s="1"/>
  <c r="AS47" i="57" a="1"/>
  <c r="AS47" i="57" s="1"/>
  <c r="AN47" i="57" a="1"/>
  <c r="AN47" i="57" s="1"/>
  <c r="AK47" i="57" a="1"/>
  <c r="AK47" i="57" s="1"/>
  <c r="AF47" i="57" a="1"/>
  <c r="AF47" i="57" s="1"/>
  <c r="AC47" i="57" a="1"/>
  <c r="AC47" i="57" s="1"/>
  <c r="AU47" i="57" a="1"/>
  <c r="AU47" i="57" s="1"/>
  <c r="AP47" i="57" a="1"/>
  <c r="AP47" i="57" s="1"/>
  <c r="AM47" i="57" a="1"/>
  <c r="AM47" i="57" s="1"/>
  <c r="AH47" i="57" a="1"/>
  <c r="AH47" i="57" s="1"/>
  <c r="AE47" i="57" a="1"/>
  <c r="AE47" i="57" s="1"/>
  <c r="AV242" i="57" a="1"/>
  <c r="AV242" i="57" s="1"/>
  <c r="AS242" i="57" a="1"/>
  <c r="AS242" i="57" s="1"/>
  <c r="AN242" i="57" a="1"/>
  <c r="AN242" i="57" s="1"/>
  <c r="AL242" i="57" a="1"/>
  <c r="AL242" i="57" s="1"/>
  <c r="AJ242" i="57" a="1"/>
  <c r="AJ242" i="57" s="1"/>
  <c r="AH242" i="57" a="1"/>
  <c r="AH242" i="57" s="1"/>
  <c r="AF242" i="57" a="1"/>
  <c r="AF242" i="57" s="1"/>
  <c r="AD242" i="57" a="1"/>
  <c r="AD242" i="57" s="1"/>
  <c r="AU242" i="57" a="1"/>
  <c r="AU242" i="57" s="1"/>
  <c r="AP242" i="57" a="1"/>
  <c r="AP242" i="57" s="1"/>
  <c r="AA243" i="57"/>
  <c r="AR242" i="57" a="1"/>
  <c r="AR242" i="57" s="1"/>
  <c r="AO242" i="57" a="1"/>
  <c r="AO242" i="57" s="1"/>
  <c r="AM242" i="57" a="1"/>
  <c r="AM242" i="57" s="1"/>
  <c r="AK242" i="57" a="1"/>
  <c r="AK242" i="57" s="1"/>
  <c r="AI242" i="57" a="1"/>
  <c r="AI242" i="57" s="1"/>
  <c r="AG242" i="57" a="1"/>
  <c r="AG242" i="57" s="1"/>
  <c r="AE242" i="57" a="1"/>
  <c r="AE242" i="57" s="1"/>
  <c r="AC242" i="57" a="1"/>
  <c r="AC242" i="57" s="1"/>
  <c r="AT242" i="57" a="1"/>
  <c r="AT242" i="57" s="1"/>
  <c r="AQ242" i="57" a="1"/>
  <c r="AQ242" i="57" s="1"/>
  <c r="AV295" i="57" a="1"/>
  <c r="AV295" i="57" s="1"/>
  <c r="AQ295" i="57" a="1"/>
  <c r="AQ295" i="57" s="1"/>
  <c r="AN295" i="57" a="1"/>
  <c r="AN295" i="57" s="1"/>
  <c r="AI295" i="57" a="1"/>
  <c r="AI295" i="57" s="1"/>
  <c r="AF295" i="57" a="1"/>
  <c r="AF295" i="57" s="1"/>
  <c r="AS295" i="57" a="1"/>
  <c r="AS295" i="57" s="1"/>
  <c r="AP295" i="57" a="1"/>
  <c r="AP295" i="57" s="1"/>
  <c r="AK295" i="57" a="1"/>
  <c r="AK295" i="57" s="1"/>
  <c r="AH295" i="57" a="1"/>
  <c r="AH295" i="57" s="1"/>
  <c r="AC295" i="57" a="1"/>
  <c r="AC295" i="57" s="1"/>
  <c r="AA296" i="57"/>
  <c r="AT295" i="57" a="1"/>
  <c r="AT295" i="57" s="1"/>
  <c r="AO295" i="57" a="1"/>
  <c r="AO295" i="57" s="1"/>
  <c r="AL295" i="57" a="1"/>
  <c r="AL295" i="57" s="1"/>
  <c r="AG295" i="57" a="1"/>
  <c r="AG295" i="57" s="1"/>
  <c r="AD295" i="57" a="1"/>
  <c r="AD295" i="57" s="1"/>
  <c r="AE295" i="57" a="1"/>
  <c r="AE295" i="57" s="1"/>
  <c r="AM295" i="57" a="1"/>
  <c r="AM295" i="57" s="1"/>
  <c r="AU295" i="57" a="1"/>
  <c r="AU295" i="57" s="1"/>
  <c r="AJ295" i="57" a="1"/>
  <c r="AJ295" i="57" s="1"/>
  <c r="AR295" i="57" a="1"/>
  <c r="AR295" i="57" s="1"/>
  <c r="AA10" i="57"/>
  <c r="AV9" i="57" a="1"/>
  <c r="AV9" i="57" s="1"/>
  <c r="AT9" i="57" a="1"/>
  <c r="AT9" i="57" s="1"/>
  <c r="AR9" i="57" a="1"/>
  <c r="AR9" i="57" s="1"/>
  <c r="AP9" i="57" a="1"/>
  <c r="AP9" i="57" s="1"/>
  <c r="AN9" i="57" a="1"/>
  <c r="AN9" i="57" s="1"/>
  <c r="AL9" i="57" a="1"/>
  <c r="AL9" i="57" s="1"/>
  <c r="AJ9" i="57" a="1"/>
  <c r="AJ9" i="57" s="1"/>
  <c r="AH9" i="57" a="1"/>
  <c r="AH9" i="57" s="1"/>
  <c r="AF9" i="57" a="1"/>
  <c r="AF9" i="57" s="1"/>
  <c r="AD9" i="57" a="1"/>
  <c r="AD9" i="57" s="1"/>
  <c r="AU9" i="57" a="1"/>
  <c r="AU9" i="57" s="1"/>
  <c r="AS9" i="57" a="1"/>
  <c r="AS9" i="57" s="1"/>
  <c r="AQ9" i="57" a="1"/>
  <c r="AQ9" i="57" s="1"/>
  <c r="AO9" i="57" a="1"/>
  <c r="AO9" i="57" s="1"/>
  <c r="AM9" i="57" a="1"/>
  <c r="AM9" i="57" s="1"/>
  <c r="AK9" i="57" a="1"/>
  <c r="AK9" i="57" s="1"/>
  <c r="AI9" i="57" a="1"/>
  <c r="AI9" i="57" s="1"/>
  <c r="AG9" i="57" a="1"/>
  <c r="AG9" i="57" s="1"/>
  <c r="AE9" i="57" a="1"/>
  <c r="AE9" i="57" s="1"/>
  <c r="AC9" i="57" a="1"/>
  <c r="AC9" i="57" s="1"/>
  <c r="AA192" i="57"/>
  <c r="AU191" i="57" a="1"/>
  <c r="AU191" i="57" s="1"/>
  <c r="AS191" i="57" a="1"/>
  <c r="AS191" i="57" s="1"/>
  <c r="AQ191" i="57" a="1"/>
  <c r="AQ191" i="57" s="1"/>
  <c r="AO191" i="57" a="1"/>
  <c r="AO191" i="57" s="1"/>
  <c r="AM191" i="57" a="1"/>
  <c r="AM191" i="57" s="1"/>
  <c r="AK191" i="57" a="1"/>
  <c r="AK191" i="57" s="1"/>
  <c r="AI191" i="57" a="1"/>
  <c r="AI191" i="57" s="1"/>
  <c r="AG191" i="57" a="1"/>
  <c r="AG191" i="57" s="1"/>
  <c r="AE191" i="57" a="1"/>
  <c r="AE191" i="57" s="1"/>
  <c r="AT191" i="57" a="1"/>
  <c r="AT191" i="57" s="1"/>
  <c r="AP191" i="57" a="1"/>
  <c r="AP191" i="57" s="1"/>
  <c r="AL191" i="57" a="1"/>
  <c r="AL191" i="57" s="1"/>
  <c r="AH191" i="57" a="1"/>
  <c r="AH191" i="57" s="1"/>
  <c r="AD191" i="57" a="1"/>
  <c r="AD191" i="57" s="1"/>
  <c r="AC191" i="57" a="1"/>
  <c r="AC191" i="57" s="1"/>
  <c r="AV191" i="57" a="1"/>
  <c r="AV191" i="57" s="1"/>
  <c r="AR191" i="57" a="1"/>
  <c r="AR191" i="57" s="1"/>
  <c r="AN191" i="57" a="1"/>
  <c r="AN191" i="57" s="1"/>
  <c r="AJ191" i="57" a="1"/>
  <c r="AJ191" i="57" s="1"/>
  <c r="AF191" i="57" a="1"/>
  <c r="AF191" i="57" s="1"/>
  <c r="AA61" i="57"/>
  <c r="AU60" i="57" a="1"/>
  <c r="AU60" i="57" s="1"/>
  <c r="AS60" i="57" a="1"/>
  <c r="AS60" i="57" s="1"/>
  <c r="AQ60" i="57" a="1"/>
  <c r="AQ60" i="57" s="1"/>
  <c r="AO60" i="57" a="1"/>
  <c r="AO60" i="57" s="1"/>
  <c r="AM60" i="57" a="1"/>
  <c r="AM60" i="57" s="1"/>
  <c r="AK60" i="57" a="1"/>
  <c r="AK60" i="57" s="1"/>
  <c r="AI60" i="57" a="1"/>
  <c r="AI60" i="57" s="1"/>
  <c r="AG60" i="57" a="1"/>
  <c r="AG60" i="57" s="1"/>
  <c r="AE60" i="57" a="1"/>
  <c r="AE60" i="57" s="1"/>
  <c r="AC60" i="57" a="1"/>
  <c r="AC60" i="57" s="1"/>
  <c r="AV60" i="57" a="1"/>
  <c r="AV60" i="57" s="1"/>
  <c r="AT60" i="57" a="1"/>
  <c r="AT60" i="57" s="1"/>
  <c r="AR60" i="57" a="1"/>
  <c r="AR60" i="57" s="1"/>
  <c r="AP60" i="57" a="1"/>
  <c r="AP60" i="57" s="1"/>
  <c r="AN60" i="57" a="1"/>
  <c r="AN60" i="57" s="1"/>
  <c r="AL60" i="57" a="1"/>
  <c r="AL60" i="57" s="1"/>
  <c r="AJ60" i="57" a="1"/>
  <c r="AJ60" i="57" s="1"/>
  <c r="AH60" i="57" a="1"/>
  <c r="AH60" i="57" s="1"/>
  <c r="AF60" i="57" a="1"/>
  <c r="AF60" i="57" s="1"/>
  <c r="AD60" i="57" a="1"/>
  <c r="AD60" i="57" s="1"/>
  <c r="AT203" i="57" a="1"/>
  <c r="AT203" i="57" s="1"/>
  <c r="AQ203" i="57" a="1"/>
  <c r="AQ203" i="57" s="1"/>
  <c r="AL203" i="57" a="1"/>
  <c r="AL203" i="57" s="1"/>
  <c r="AI203" i="57" a="1"/>
  <c r="AI203" i="57" s="1"/>
  <c r="AD203" i="57" a="1"/>
  <c r="AD203" i="57" s="1"/>
  <c r="AV203" i="57" a="1"/>
  <c r="AV203" i="57" s="1"/>
  <c r="AS203" i="57" a="1"/>
  <c r="AS203" i="57" s="1"/>
  <c r="AN203" i="57" a="1"/>
  <c r="AN203" i="57" s="1"/>
  <c r="AK203" i="57" a="1"/>
  <c r="AK203" i="57" s="1"/>
  <c r="AF203" i="57" a="1"/>
  <c r="AF203" i="57" s="1"/>
  <c r="AC203" i="57" a="1"/>
  <c r="AC203" i="57" s="1"/>
  <c r="AU203" i="57" a="1"/>
  <c r="AU203" i="57" s="1"/>
  <c r="AP203" i="57" a="1"/>
  <c r="AP203" i="57" s="1"/>
  <c r="AM203" i="57" a="1"/>
  <c r="AM203" i="57" s="1"/>
  <c r="AH203" i="57" a="1"/>
  <c r="AH203" i="57" s="1"/>
  <c r="AE203" i="57" a="1"/>
  <c r="AE203" i="57" s="1"/>
  <c r="AA204" i="57"/>
  <c r="AR203" i="57" a="1"/>
  <c r="AR203" i="57" s="1"/>
  <c r="AO203" i="57" a="1"/>
  <c r="AO203" i="57" s="1"/>
  <c r="AJ203" i="57" a="1"/>
  <c r="AJ203" i="57" s="1"/>
  <c r="AG203" i="57" a="1"/>
  <c r="AG203" i="57" s="1"/>
  <c r="AA308" i="57"/>
  <c r="AR307" i="57" a="1"/>
  <c r="AR307" i="57" s="1"/>
  <c r="AO307" i="57" a="1"/>
  <c r="AO307" i="57" s="1"/>
  <c r="AJ307" i="57" a="1"/>
  <c r="AJ307" i="57" s="1"/>
  <c r="AG307" i="57" a="1"/>
  <c r="AG307" i="57" s="1"/>
  <c r="AT307" i="57" a="1"/>
  <c r="AT307" i="57" s="1"/>
  <c r="AQ307" i="57" a="1"/>
  <c r="AQ307" i="57" s="1"/>
  <c r="AL307" i="57" a="1"/>
  <c r="AL307" i="57" s="1"/>
  <c r="AI307" i="57" a="1"/>
  <c r="AI307" i="57" s="1"/>
  <c r="AD307" i="57" a="1"/>
  <c r="AD307" i="57" s="1"/>
  <c r="AV307" i="57" a="1"/>
  <c r="AV307" i="57" s="1"/>
  <c r="AS307" i="57" a="1"/>
  <c r="AS307" i="57" s="1"/>
  <c r="AN307" i="57" a="1"/>
  <c r="AN307" i="57" s="1"/>
  <c r="AK307" i="57" a="1"/>
  <c r="AK307" i="57" s="1"/>
  <c r="AF307" i="57" a="1"/>
  <c r="AF307" i="57" s="1"/>
  <c r="AC307" i="57" a="1"/>
  <c r="AC307" i="57" s="1"/>
  <c r="AU307" i="57" a="1"/>
  <c r="AU307" i="57" s="1"/>
  <c r="AP307" i="57" a="1"/>
  <c r="AP307" i="57" s="1"/>
  <c r="AM307" i="57" a="1"/>
  <c r="AM307" i="57" s="1"/>
  <c r="AH307" i="57" a="1"/>
  <c r="AH307" i="57" s="1"/>
  <c r="AE307" i="57" a="1"/>
  <c r="AE307" i="57" s="1"/>
  <c r="AV86" i="57" a="1"/>
  <c r="AV86" i="57" s="1"/>
  <c r="AT86" i="57" a="1"/>
  <c r="AT86" i="57" s="1"/>
  <c r="AR86" i="57" a="1"/>
  <c r="AR86" i="57" s="1"/>
  <c r="AP86" i="57" a="1"/>
  <c r="AP86" i="57" s="1"/>
  <c r="AN86" i="57" a="1"/>
  <c r="AN86" i="57" s="1"/>
  <c r="AL86" i="57" a="1"/>
  <c r="AL86" i="57" s="1"/>
  <c r="AJ86" i="57" a="1"/>
  <c r="AJ86" i="57" s="1"/>
  <c r="AH86" i="57" a="1"/>
  <c r="AH86" i="57" s="1"/>
  <c r="AF86" i="57" a="1"/>
  <c r="AF86" i="57" s="1"/>
  <c r="AD86" i="57" a="1"/>
  <c r="AD86" i="57" s="1"/>
  <c r="AA87" i="57"/>
  <c r="AU86" i="57" a="1"/>
  <c r="AU86" i="57" s="1"/>
  <c r="AS86" i="57" a="1"/>
  <c r="AS86" i="57" s="1"/>
  <c r="AQ86" i="57" a="1"/>
  <c r="AQ86" i="57" s="1"/>
  <c r="AO86" i="57" a="1"/>
  <c r="AO86" i="57" s="1"/>
  <c r="AM86" i="57" a="1"/>
  <c r="AM86" i="57" s="1"/>
  <c r="AK86" i="57" a="1"/>
  <c r="AK86" i="57" s="1"/>
  <c r="AI86" i="57" a="1"/>
  <c r="AI86" i="57" s="1"/>
  <c r="AG86" i="57" a="1"/>
  <c r="AG86" i="57" s="1"/>
  <c r="AE86" i="57" a="1"/>
  <c r="AE86" i="57" s="1"/>
  <c r="AC86" i="57" a="1"/>
  <c r="AC86" i="57" s="1"/>
  <c r="AT269" i="57" a="1"/>
  <c r="AT269" i="57" s="1"/>
  <c r="AQ269" i="57" a="1"/>
  <c r="AQ269" i="57" s="1"/>
  <c r="AL269" i="57" a="1"/>
  <c r="AL269" i="57" s="1"/>
  <c r="AI269" i="57" a="1"/>
  <c r="AI269" i="57" s="1"/>
  <c r="AD269" i="57" a="1"/>
  <c r="AD269" i="57" s="1"/>
  <c r="AV269" i="57" a="1"/>
  <c r="AV269" i="57" s="1"/>
  <c r="AS269" i="57" a="1"/>
  <c r="AS269" i="57" s="1"/>
  <c r="AN269" i="57" a="1"/>
  <c r="AN269" i="57" s="1"/>
  <c r="AK269" i="57" a="1"/>
  <c r="AK269" i="57" s="1"/>
  <c r="AF269" i="57" a="1"/>
  <c r="AF269" i="57" s="1"/>
  <c r="AC269" i="57" a="1"/>
  <c r="AC269" i="57" s="1"/>
  <c r="AU269" i="57" a="1"/>
  <c r="AU269" i="57" s="1"/>
  <c r="AP269" i="57" a="1"/>
  <c r="AP269" i="57" s="1"/>
  <c r="AM269" i="57" a="1"/>
  <c r="AM269" i="57" s="1"/>
  <c r="AH269" i="57" a="1"/>
  <c r="AH269" i="57" s="1"/>
  <c r="AE269" i="57" a="1"/>
  <c r="AE269" i="57" s="1"/>
  <c r="AA270" i="57"/>
  <c r="AR269" i="57" a="1"/>
  <c r="AR269" i="57" s="1"/>
  <c r="AO269" i="57" a="1"/>
  <c r="AO269" i="57" s="1"/>
  <c r="AJ269" i="57" a="1"/>
  <c r="AJ269" i="57" s="1"/>
  <c r="AG269" i="57" a="1"/>
  <c r="AG269" i="57" s="1"/>
  <c r="AS152" i="57" a="1"/>
  <c r="AS152" i="57" s="1"/>
  <c r="AP152" i="57" a="1"/>
  <c r="AP152" i="57" s="1"/>
  <c r="AK152" i="57" a="1"/>
  <c r="AK152" i="57" s="1"/>
  <c r="AH152" i="57" a="1"/>
  <c r="AH152" i="57" s="1"/>
  <c r="AC152" i="57" a="1"/>
  <c r="AC152" i="57" s="1"/>
  <c r="AU152" i="57" a="1"/>
  <c r="AU152" i="57" s="1"/>
  <c r="AR152" i="57" a="1"/>
  <c r="AR152" i="57" s="1"/>
  <c r="AM152" i="57" a="1"/>
  <c r="AM152" i="57" s="1"/>
  <c r="AJ152" i="57" a="1"/>
  <c r="AJ152" i="57" s="1"/>
  <c r="AE152" i="57" a="1"/>
  <c r="AE152" i="57" s="1"/>
  <c r="AA153" i="57"/>
  <c r="AT152" i="57" a="1"/>
  <c r="AT152" i="57" s="1"/>
  <c r="AO152" i="57" a="1"/>
  <c r="AO152" i="57" s="1"/>
  <c r="AL152" i="57" a="1"/>
  <c r="AL152" i="57" s="1"/>
  <c r="AG152" i="57" a="1"/>
  <c r="AG152" i="57" s="1"/>
  <c r="AD152" i="57" a="1"/>
  <c r="AD152" i="57" s="1"/>
  <c r="AV152" i="57" a="1"/>
  <c r="AV152" i="57" s="1"/>
  <c r="AQ152" i="57" a="1"/>
  <c r="AQ152" i="57" s="1"/>
  <c r="AN152" i="57" a="1"/>
  <c r="AN152" i="57" s="1"/>
  <c r="AI152" i="57" a="1"/>
  <c r="AI152" i="57" s="1"/>
  <c r="AF152" i="57" a="1"/>
  <c r="AF152" i="57" s="1"/>
  <c r="AA218" i="57"/>
  <c r="AA115" i="57"/>
  <c r="AS114" i="57" a="1"/>
  <c r="AS114" i="57" s="1"/>
  <c r="AO114" i="57" a="1"/>
  <c r="AO114" i="57" s="1"/>
  <c r="AK114" i="57" a="1"/>
  <c r="AK114" i="57" s="1"/>
  <c r="AG114" i="57" a="1"/>
  <c r="AG114" i="57" s="1"/>
  <c r="AC114" i="57" a="1"/>
  <c r="AC114" i="57" s="1"/>
  <c r="AV114" i="57" a="1"/>
  <c r="AV114" i="57" s="1"/>
  <c r="AR114" i="57" a="1"/>
  <c r="AR114" i="57" s="1"/>
  <c r="AN114" i="57" a="1"/>
  <c r="AN114" i="57" s="1"/>
  <c r="AJ114" i="57" a="1"/>
  <c r="AJ114" i="57" s="1"/>
  <c r="AF114" i="57" a="1"/>
  <c r="AF114" i="57" s="1"/>
  <c r="AU114" i="57" a="1"/>
  <c r="AU114" i="57" s="1"/>
  <c r="AQ114" i="57" a="1"/>
  <c r="AQ114" i="57" s="1"/>
  <c r="AM114" i="57" a="1"/>
  <c r="AM114" i="57" s="1"/>
  <c r="AI114" i="57" a="1"/>
  <c r="AI114" i="57" s="1"/>
  <c r="AE114" i="57" a="1"/>
  <c r="AE114" i="57" s="1"/>
  <c r="AT114" i="57" a="1"/>
  <c r="AT114" i="57" s="1"/>
  <c r="AP114" i="57" a="1"/>
  <c r="AP114" i="57" s="1"/>
  <c r="AL114" i="57" a="1"/>
  <c r="AL114" i="57" s="1"/>
  <c r="AH114" i="57" a="1"/>
  <c r="AH114" i="57" s="1"/>
  <c r="AD114" i="57" a="1"/>
  <c r="AD114" i="57" s="1"/>
  <c r="AA126" i="57"/>
  <c r="AU125" i="57" a="1"/>
  <c r="AU125" i="57" s="1"/>
  <c r="AS125" i="57" a="1"/>
  <c r="AS125" i="57" s="1"/>
  <c r="AQ125" i="57" a="1"/>
  <c r="AQ125" i="57" s="1"/>
  <c r="AO125" i="57" a="1"/>
  <c r="AO125" i="57" s="1"/>
  <c r="AM125" i="57" a="1"/>
  <c r="AM125" i="57" s="1"/>
  <c r="AK125" i="57" a="1"/>
  <c r="AK125" i="57" s="1"/>
  <c r="AI125" i="57" a="1"/>
  <c r="AI125" i="57" s="1"/>
  <c r="AG125" i="57" a="1"/>
  <c r="AG125" i="57" s="1"/>
  <c r="AE125" i="57" a="1"/>
  <c r="AE125" i="57" s="1"/>
  <c r="AC125" i="57" a="1"/>
  <c r="AC125" i="57" s="1"/>
  <c r="AV125" i="57" a="1"/>
  <c r="AV125" i="57" s="1"/>
  <c r="AT125" i="57" a="1"/>
  <c r="AT125" i="57" s="1"/>
  <c r="AR125" i="57" a="1"/>
  <c r="AR125" i="57" s="1"/>
  <c r="AP125" i="57" a="1"/>
  <c r="AP125" i="57" s="1"/>
  <c r="AN125" i="57" a="1"/>
  <c r="AN125" i="57" s="1"/>
  <c r="AL125" i="57" a="1"/>
  <c r="AL125" i="57" s="1"/>
  <c r="AJ125" i="57" a="1"/>
  <c r="AJ125" i="57" s="1"/>
  <c r="AH125" i="57" a="1"/>
  <c r="AH125" i="57" s="1"/>
  <c r="AF125" i="57" a="1"/>
  <c r="AF125" i="57" s="1"/>
  <c r="AD125" i="57" a="1"/>
  <c r="AD125" i="57" s="1"/>
  <c r="AA179" i="57"/>
  <c r="AU178" i="57" a="1"/>
  <c r="AU178" i="57" s="1"/>
  <c r="AS178" i="57" a="1"/>
  <c r="AS178" i="57" s="1"/>
  <c r="AQ178" i="57" a="1"/>
  <c r="AQ178" i="57" s="1"/>
  <c r="AO178" i="57" a="1"/>
  <c r="AO178" i="57" s="1"/>
  <c r="AM178" i="57" a="1"/>
  <c r="AM178" i="57" s="1"/>
  <c r="AK178" i="57" a="1"/>
  <c r="AK178" i="57" s="1"/>
  <c r="AI178" i="57" a="1"/>
  <c r="AI178" i="57" s="1"/>
  <c r="AG178" i="57" a="1"/>
  <c r="AG178" i="57" s="1"/>
  <c r="AE178" i="57" a="1"/>
  <c r="AE178" i="57" s="1"/>
  <c r="AC178" i="57" a="1"/>
  <c r="AC178" i="57" s="1"/>
  <c r="AT178" i="57" a="1"/>
  <c r="AT178" i="57" s="1"/>
  <c r="AL178" i="57" a="1"/>
  <c r="AL178" i="57" s="1"/>
  <c r="AD178" i="57" a="1"/>
  <c r="AD178" i="57" s="1"/>
  <c r="AR178" i="57" a="1"/>
  <c r="AR178" i="57" s="1"/>
  <c r="AJ178" i="57" a="1"/>
  <c r="AJ178" i="57" s="1"/>
  <c r="AP178" i="57" a="1"/>
  <c r="AP178" i="57" s="1"/>
  <c r="AH178" i="57" a="1"/>
  <c r="AH178" i="57" s="1"/>
  <c r="AV178" i="57" a="1"/>
  <c r="AV178" i="57" s="1"/>
  <c r="AN178" i="57" a="1"/>
  <c r="AN178" i="57" s="1"/>
  <c r="AF178" i="57" a="1"/>
  <c r="AF178" i="57" s="1"/>
  <c r="AA231" i="57"/>
  <c r="AS230" i="57" a="1"/>
  <c r="AS230" i="57" s="1"/>
  <c r="AO230" i="57" a="1"/>
  <c r="AO230" i="57" s="1"/>
  <c r="AK230" i="57" a="1"/>
  <c r="AK230" i="57" s="1"/>
  <c r="AG230" i="57" a="1"/>
  <c r="AG230" i="57" s="1"/>
  <c r="AC230" i="57" a="1"/>
  <c r="AC230" i="57" s="1"/>
  <c r="AV230" i="57" a="1"/>
  <c r="AV230" i="57" s="1"/>
  <c r="AR230" i="57" a="1"/>
  <c r="AR230" i="57" s="1"/>
  <c r="AN230" i="57" a="1"/>
  <c r="AN230" i="57" s="1"/>
  <c r="AJ230" i="57" a="1"/>
  <c r="AJ230" i="57" s="1"/>
  <c r="AF230" i="57" a="1"/>
  <c r="AF230" i="57" s="1"/>
  <c r="AU230" i="57" a="1"/>
  <c r="AU230" i="57" s="1"/>
  <c r="AQ230" i="57" a="1"/>
  <c r="AQ230" i="57" s="1"/>
  <c r="AM230" i="57" a="1"/>
  <c r="AM230" i="57" s="1"/>
  <c r="AI230" i="57" a="1"/>
  <c r="AI230" i="57" s="1"/>
  <c r="AE230" i="57" a="1"/>
  <c r="AE230" i="57" s="1"/>
  <c r="AT230" i="57" a="1"/>
  <c r="AT230" i="57" s="1"/>
  <c r="AP230" i="57" a="1"/>
  <c r="AP230" i="57" s="1"/>
  <c r="AL230" i="57" a="1"/>
  <c r="AL230" i="57" s="1"/>
  <c r="AH230" i="57" a="1"/>
  <c r="AH230" i="57" s="1"/>
  <c r="AD230" i="57" a="1"/>
  <c r="AD230" i="57" s="1"/>
  <c r="AA76" i="57"/>
  <c r="AU75" i="57" a="1"/>
  <c r="AU75" i="57" s="1"/>
  <c r="AS75" i="57" a="1"/>
  <c r="AS75" i="57" s="1"/>
  <c r="AQ75" i="57" a="1"/>
  <c r="AQ75" i="57" s="1"/>
  <c r="AO75" i="57" a="1"/>
  <c r="AO75" i="57" s="1"/>
  <c r="AM75" i="57" a="1"/>
  <c r="AM75" i="57" s="1"/>
  <c r="AK75" i="57" a="1"/>
  <c r="AK75" i="57" s="1"/>
  <c r="AI75" i="57" a="1"/>
  <c r="AI75" i="57" s="1"/>
  <c r="AG75" i="57" a="1"/>
  <c r="AG75" i="57" s="1"/>
  <c r="AE75" i="57" a="1"/>
  <c r="AE75" i="57" s="1"/>
  <c r="AC75" i="57" a="1"/>
  <c r="AC75" i="57" s="1"/>
  <c r="AP75" i="57" a="1"/>
  <c r="AP75" i="57" s="1"/>
  <c r="AH75" i="57" a="1"/>
  <c r="AH75" i="57" s="1"/>
  <c r="AV75" i="57" a="1"/>
  <c r="AV75" i="57" s="1"/>
  <c r="AN75" i="57" a="1"/>
  <c r="AN75" i="57" s="1"/>
  <c r="AF75" i="57" a="1"/>
  <c r="AF75" i="57" s="1"/>
  <c r="AT75" i="57" a="1"/>
  <c r="AT75" i="57" s="1"/>
  <c r="AL75" i="57" a="1"/>
  <c r="AL75" i="57" s="1"/>
  <c r="AD75" i="57" a="1"/>
  <c r="AD75" i="57" s="1"/>
  <c r="AR75" i="57" a="1"/>
  <c r="AR75" i="57" s="1"/>
  <c r="AJ75" i="57" a="1"/>
  <c r="AJ75" i="57" s="1"/>
  <c r="AV255" i="57" a="1"/>
  <c r="AV255" i="57" s="1"/>
  <c r="AT255" i="57" a="1"/>
  <c r="AT255" i="57" s="1"/>
  <c r="AR255" i="57" a="1"/>
  <c r="AR255" i="57" s="1"/>
  <c r="AP255" i="57" a="1"/>
  <c r="AP255" i="57" s="1"/>
  <c r="AN255" i="57" a="1"/>
  <c r="AN255" i="57" s="1"/>
  <c r="AL255" i="57" a="1"/>
  <c r="AL255" i="57" s="1"/>
  <c r="AJ255" i="57" a="1"/>
  <c r="AJ255" i="57" s="1"/>
  <c r="AH255" i="57" a="1"/>
  <c r="AH255" i="57" s="1"/>
  <c r="AF255" i="57" a="1"/>
  <c r="AF255" i="57" s="1"/>
  <c r="AD255" i="57" a="1"/>
  <c r="AD255" i="57" s="1"/>
  <c r="AU255" i="57" a="1"/>
  <c r="AU255" i="57" s="1"/>
  <c r="AM255" i="57" a="1"/>
  <c r="AM255" i="57" s="1"/>
  <c r="AE255" i="57" a="1"/>
  <c r="AE255" i="57" s="1"/>
  <c r="AK255" i="57" a="1"/>
  <c r="AK255" i="57" s="1"/>
  <c r="AG255" i="57" a="1"/>
  <c r="AG255" i="57" s="1"/>
  <c r="AQ255" i="57" a="1"/>
  <c r="AQ255" i="57" s="1"/>
  <c r="AC255" i="57" a="1"/>
  <c r="AC255" i="57" s="1"/>
  <c r="AO255" i="57" a="1"/>
  <c r="AO255" i="57" s="1"/>
  <c r="AA256" i="57"/>
  <c r="AS255" i="57" a="1"/>
  <c r="AS255" i="57" s="1"/>
  <c r="AI255" i="57" a="1"/>
  <c r="AI255" i="57" s="1"/>
  <c r="AV282" i="57" a="1"/>
  <c r="AV282" i="57" s="1"/>
  <c r="AQ282" i="57" a="1"/>
  <c r="AQ282" i="57" s="1"/>
  <c r="AN282" i="57" a="1"/>
  <c r="AN282" i="57" s="1"/>
  <c r="AI282" i="57" a="1"/>
  <c r="AI282" i="57" s="1"/>
  <c r="AF282" i="57" a="1"/>
  <c r="AF282" i="57" s="1"/>
  <c r="AS282" i="57" a="1"/>
  <c r="AS282" i="57" s="1"/>
  <c r="AP282" i="57" a="1"/>
  <c r="AP282" i="57" s="1"/>
  <c r="AK282" i="57" a="1"/>
  <c r="AK282" i="57" s="1"/>
  <c r="AH282" i="57" a="1"/>
  <c r="AH282" i="57" s="1"/>
  <c r="AC282" i="57" a="1"/>
  <c r="AC282" i="57" s="1"/>
  <c r="AU282" i="57" a="1"/>
  <c r="AU282" i="57" s="1"/>
  <c r="AR282" i="57" a="1"/>
  <c r="AR282" i="57" s="1"/>
  <c r="AM282" i="57" a="1"/>
  <c r="AM282" i="57" s="1"/>
  <c r="AJ282" i="57" a="1"/>
  <c r="AJ282" i="57" s="1"/>
  <c r="AE282" i="57" a="1"/>
  <c r="AE282" i="57" s="1"/>
  <c r="AA283" i="57"/>
  <c r="AT282" i="57" a="1"/>
  <c r="AT282" i="57" s="1"/>
  <c r="AO282" i="57" a="1"/>
  <c r="AO282" i="57" s="1"/>
  <c r="AL282" i="57" a="1"/>
  <c r="AL282" i="57" s="1"/>
  <c r="AG282" i="57" a="1"/>
  <c r="AG282" i="57" s="1"/>
  <c r="AD282" i="57" a="1"/>
  <c r="AD282" i="57" s="1"/>
  <c r="AV99" i="57" a="1"/>
  <c r="AV99" i="57" s="1"/>
  <c r="AT99" i="57" a="1"/>
  <c r="AT99" i="57" s="1"/>
  <c r="AR99" i="57" a="1"/>
  <c r="AR99" i="57" s="1"/>
  <c r="AA100" i="57"/>
  <c r="AU99" i="57" a="1"/>
  <c r="AU99" i="57" s="1"/>
  <c r="AS99" i="57" a="1"/>
  <c r="AS99" i="57" s="1"/>
  <c r="AQ99" i="57" a="1"/>
  <c r="AQ99" i="57" s="1"/>
  <c r="AO99" i="57" a="1"/>
  <c r="AO99" i="57" s="1"/>
  <c r="AM99" i="57" a="1"/>
  <c r="AM99" i="57" s="1"/>
  <c r="AK99" i="57" a="1"/>
  <c r="AK99" i="57" s="1"/>
  <c r="AI99" i="57" a="1"/>
  <c r="AI99" i="57" s="1"/>
  <c r="AG99" i="57" a="1"/>
  <c r="AG99" i="57" s="1"/>
  <c r="AE99" i="57" a="1"/>
  <c r="AE99" i="57" s="1"/>
  <c r="AC99" i="57" a="1"/>
  <c r="AC99" i="57" s="1"/>
  <c r="AP99" i="57" a="1"/>
  <c r="AP99" i="57" s="1"/>
  <c r="AH99" i="57" a="1"/>
  <c r="AH99" i="57" s="1"/>
  <c r="AJ99" i="57" a="1"/>
  <c r="AJ99" i="57" s="1"/>
  <c r="AL99" i="57" a="1"/>
  <c r="AL99" i="57" s="1"/>
  <c r="AD99" i="57" a="1"/>
  <c r="AD99" i="57" s="1"/>
  <c r="AN99" i="57" a="1"/>
  <c r="AN99" i="57" s="1"/>
  <c r="AF99" i="57" a="1"/>
  <c r="AF99" i="57" s="1"/>
  <c r="AA23" i="57" l="1"/>
  <c r="AI22" i="57" a="1"/>
  <c r="AI22" i="57" s="1"/>
  <c r="AS22" i="57" a="1"/>
  <c r="AS22" i="57" s="1"/>
  <c r="AR22" i="57" a="1"/>
  <c r="AR22" i="57" s="1"/>
  <c r="AT22" i="57" a="1"/>
  <c r="AT22" i="57" s="1"/>
  <c r="AD22" i="57" a="1"/>
  <c r="AD22" i="57" s="1"/>
  <c r="AV22" i="57" a="1"/>
  <c r="AV22" i="57" s="1"/>
  <c r="AF22" i="57" a="1"/>
  <c r="AF22" i="57" s="1"/>
  <c r="AK22" i="57" a="1"/>
  <c r="AK22" i="57" s="1"/>
  <c r="AM22" i="57" a="1"/>
  <c r="AM22" i="57" s="1"/>
  <c r="AO22" i="57" a="1"/>
  <c r="AO22" i="57" s="1"/>
  <c r="AQ22" i="57" a="1"/>
  <c r="AQ22" i="57" s="1"/>
  <c r="AC22" i="57" a="1"/>
  <c r="AC22" i="57" s="1"/>
  <c r="AL22" i="57" a="1"/>
  <c r="AL22" i="57" s="1"/>
  <c r="AE22" i="57" a="1"/>
  <c r="AE22" i="57" s="1"/>
  <c r="AP22" i="57" a="1"/>
  <c r="AP22" i="57" s="1"/>
  <c r="AJ22" i="57" a="1"/>
  <c r="AJ22" i="57" s="1"/>
  <c r="AG22" i="57" a="1"/>
  <c r="AG22" i="57" s="1"/>
  <c r="AN22" i="57" a="1"/>
  <c r="AN22" i="57" s="1"/>
  <c r="AH22" i="57" a="1"/>
  <c r="AH22" i="57" s="1"/>
  <c r="AU22" i="57" a="1"/>
  <c r="AU22" i="57" s="1"/>
  <c r="AT283" i="57" a="1"/>
  <c r="AT283" i="57" s="1"/>
  <c r="AQ283" i="57" a="1"/>
  <c r="AQ283" i="57" s="1"/>
  <c r="AL283" i="57" a="1"/>
  <c r="AL283" i="57" s="1"/>
  <c r="AI283" i="57" a="1"/>
  <c r="AI283" i="57" s="1"/>
  <c r="AD283" i="57" a="1"/>
  <c r="AD283" i="57" s="1"/>
  <c r="AV283" i="57" a="1"/>
  <c r="AV283" i="57" s="1"/>
  <c r="AS283" i="57" a="1"/>
  <c r="AS283" i="57" s="1"/>
  <c r="AN283" i="57" a="1"/>
  <c r="AN283" i="57" s="1"/>
  <c r="AK283" i="57" a="1"/>
  <c r="AK283" i="57" s="1"/>
  <c r="AF283" i="57" a="1"/>
  <c r="AF283" i="57" s="1"/>
  <c r="AC283" i="57" a="1"/>
  <c r="AC283" i="57" s="1"/>
  <c r="AU283" i="57" a="1"/>
  <c r="AU283" i="57" s="1"/>
  <c r="AP283" i="57" a="1"/>
  <c r="AP283" i="57" s="1"/>
  <c r="AM283" i="57" a="1"/>
  <c r="AM283" i="57" s="1"/>
  <c r="AH283" i="57" a="1"/>
  <c r="AH283" i="57" s="1"/>
  <c r="AE283" i="57" a="1"/>
  <c r="AE283" i="57" s="1"/>
  <c r="AA284" i="57"/>
  <c r="AR283" i="57" a="1"/>
  <c r="AR283" i="57" s="1"/>
  <c r="AO283" i="57" a="1"/>
  <c r="AO283" i="57" s="1"/>
  <c r="AJ283" i="57" a="1"/>
  <c r="AJ283" i="57" s="1"/>
  <c r="AG283" i="57" a="1"/>
  <c r="AG283" i="57" s="1"/>
  <c r="AV76" i="57" a="1"/>
  <c r="AV76" i="57" s="1"/>
  <c r="AT76" i="57" a="1"/>
  <c r="AT76" i="57" s="1"/>
  <c r="AR76" i="57" a="1"/>
  <c r="AR76" i="57" s="1"/>
  <c r="AP76" i="57" a="1"/>
  <c r="AP76" i="57" s="1"/>
  <c r="AN76" i="57" a="1"/>
  <c r="AN76" i="57" s="1"/>
  <c r="AL76" i="57" a="1"/>
  <c r="AL76" i="57" s="1"/>
  <c r="AJ76" i="57" a="1"/>
  <c r="AJ76" i="57" s="1"/>
  <c r="AH76" i="57" a="1"/>
  <c r="AH76" i="57" s="1"/>
  <c r="AF76" i="57" a="1"/>
  <c r="AF76" i="57" s="1"/>
  <c r="AD76" i="57" a="1"/>
  <c r="AD76" i="57" s="1"/>
  <c r="AS76" i="57" a="1"/>
  <c r="AS76" i="57" s="1"/>
  <c r="AK76" i="57" a="1"/>
  <c r="AK76" i="57" s="1"/>
  <c r="AC76" i="57" a="1"/>
  <c r="AC76" i="57" s="1"/>
  <c r="AQ76" i="57" a="1"/>
  <c r="AQ76" i="57" s="1"/>
  <c r="AI76" i="57" a="1"/>
  <c r="AI76" i="57" s="1"/>
  <c r="AA77" i="57"/>
  <c r="AO76" i="57" a="1"/>
  <c r="AO76" i="57" s="1"/>
  <c r="AG76" i="57" a="1"/>
  <c r="AG76" i="57" s="1"/>
  <c r="AU76" i="57" a="1"/>
  <c r="AU76" i="57" s="1"/>
  <c r="AM76" i="57" a="1"/>
  <c r="AM76" i="57" s="1"/>
  <c r="AE76" i="57" a="1"/>
  <c r="AE76" i="57" s="1"/>
  <c r="AA219" i="57"/>
  <c r="AA271" i="57"/>
  <c r="AT270" i="57" a="1"/>
  <c r="AT270" i="57" s="1"/>
  <c r="AO270" i="57" a="1"/>
  <c r="AO270" i="57" s="1"/>
  <c r="AL270" i="57" a="1"/>
  <c r="AL270" i="57" s="1"/>
  <c r="AG270" i="57" a="1"/>
  <c r="AG270" i="57" s="1"/>
  <c r="AD270" i="57" a="1"/>
  <c r="AD270" i="57" s="1"/>
  <c r="AV270" i="57" a="1"/>
  <c r="AV270" i="57" s="1"/>
  <c r="AQ270" i="57" a="1"/>
  <c r="AQ270" i="57" s="1"/>
  <c r="AN270" i="57" a="1"/>
  <c r="AN270" i="57" s="1"/>
  <c r="AI270" i="57" a="1"/>
  <c r="AI270" i="57" s="1"/>
  <c r="AF270" i="57" a="1"/>
  <c r="AF270" i="57" s="1"/>
  <c r="AS270" i="57" a="1"/>
  <c r="AS270" i="57" s="1"/>
  <c r="AP270" i="57" a="1"/>
  <c r="AP270" i="57" s="1"/>
  <c r="AK270" i="57" a="1"/>
  <c r="AK270" i="57" s="1"/>
  <c r="AH270" i="57" a="1"/>
  <c r="AH270" i="57" s="1"/>
  <c r="AC270" i="57" a="1"/>
  <c r="AC270" i="57" s="1"/>
  <c r="AU270" i="57" a="1"/>
  <c r="AU270" i="57" s="1"/>
  <c r="AR270" i="57" a="1"/>
  <c r="AR270" i="57" s="1"/>
  <c r="AM270" i="57" a="1"/>
  <c r="AM270" i="57" s="1"/>
  <c r="AJ270" i="57" a="1"/>
  <c r="AJ270" i="57" s="1"/>
  <c r="AE270" i="57" a="1"/>
  <c r="AE270" i="57" s="1"/>
  <c r="AA205" i="57"/>
  <c r="AT204" i="57" a="1"/>
  <c r="AT204" i="57" s="1"/>
  <c r="AO204" i="57" a="1"/>
  <c r="AO204" i="57" s="1"/>
  <c r="AL204" i="57" a="1"/>
  <c r="AL204" i="57" s="1"/>
  <c r="AG204" i="57" a="1"/>
  <c r="AG204" i="57" s="1"/>
  <c r="AD204" i="57" a="1"/>
  <c r="AD204" i="57" s="1"/>
  <c r="AV204" i="57" a="1"/>
  <c r="AV204" i="57" s="1"/>
  <c r="AQ204" i="57" a="1"/>
  <c r="AQ204" i="57" s="1"/>
  <c r="AN204" i="57" a="1"/>
  <c r="AN204" i="57" s="1"/>
  <c r="AI204" i="57" a="1"/>
  <c r="AI204" i="57" s="1"/>
  <c r="AF204" i="57" a="1"/>
  <c r="AF204" i="57" s="1"/>
  <c r="AS204" i="57" a="1"/>
  <c r="AS204" i="57" s="1"/>
  <c r="AP204" i="57" a="1"/>
  <c r="AP204" i="57" s="1"/>
  <c r="AK204" i="57" a="1"/>
  <c r="AK204" i="57" s="1"/>
  <c r="AH204" i="57" a="1"/>
  <c r="AH204" i="57" s="1"/>
  <c r="AC204" i="57" a="1"/>
  <c r="AC204" i="57" s="1"/>
  <c r="AU204" i="57" a="1"/>
  <c r="AU204" i="57" s="1"/>
  <c r="AR204" i="57" a="1"/>
  <c r="AR204" i="57" s="1"/>
  <c r="AM204" i="57" a="1"/>
  <c r="AM204" i="57" s="1"/>
  <c r="AJ204" i="57" a="1"/>
  <c r="AJ204" i="57" s="1"/>
  <c r="AE204" i="57" a="1"/>
  <c r="AE204" i="57" s="1"/>
  <c r="AV192" i="57" a="1"/>
  <c r="AV192" i="57" s="1"/>
  <c r="AT192" i="57" a="1"/>
  <c r="AT192" i="57" s="1"/>
  <c r="AR192" i="57" a="1"/>
  <c r="AR192" i="57" s="1"/>
  <c r="AP192" i="57" a="1"/>
  <c r="AP192" i="57" s="1"/>
  <c r="AN192" i="57" a="1"/>
  <c r="AN192" i="57" s="1"/>
  <c r="AL192" i="57" a="1"/>
  <c r="AL192" i="57" s="1"/>
  <c r="AJ192" i="57" a="1"/>
  <c r="AJ192" i="57" s="1"/>
  <c r="AH192" i="57" a="1"/>
  <c r="AH192" i="57" s="1"/>
  <c r="AF192" i="57" a="1"/>
  <c r="AF192" i="57" s="1"/>
  <c r="AD192" i="57" a="1"/>
  <c r="AD192" i="57" s="1"/>
  <c r="AA193" i="57"/>
  <c r="AS192" i="57" a="1"/>
  <c r="AS192" i="57" s="1"/>
  <c r="AO192" i="57" a="1"/>
  <c r="AO192" i="57" s="1"/>
  <c r="AK192" i="57" a="1"/>
  <c r="AK192" i="57" s="1"/>
  <c r="AG192" i="57" a="1"/>
  <c r="AG192" i="57" s="1"/>
  <c r="AC192" i="57" a="1"/>
  <c r="AC192" i="57" s="1"/>
  <c r="AU192" i="57" a="1"/>
  <c r="AU192" i="57" s="1"/>
  <c r="AQ192" i="57" a="1"/>
  <c r="AQ192" i="57" s="1"/>
  <c r="AM192" i="57" a="1"/>
  <c r="AM192" i="57" s="1"/>
  <c r="AI192" i="57" a="1"/>
  <c r="AI192" i="57" s="1"/>
  <c r="AE192" i="57" a="1"/>
  <c r="AE192" i="57" s="1"/>
  <c r="AT296" i="57" a="1"/>
  <c r="AT296" i="57" s="1"/>
  <c r="AQ296" i="57" a="1"/>
  <c r="AQ296" i="57" s="1"/>
  <c r="AL296" i="57" a="1"/>
  <c r="AL296" i="57" s="1"/>
  <c r="AI296" i="57" a="1"/>
  <c r="AI296" i="57" s="1"/>
  <c r="AD296" i="57" a="1"/>
  <c r="AD296" i="57" s="1"/>
  <c r="AV296" i="57" a="1"/>
  <c r="AV296" i="57" s="1"/>
  <c r="AS296" i="57" a="1"/>
  <c r="AS296" i="57" s="1"/>
  <c r="AN296" i="57" a="1"/>
  <c r="AN296" i="57" s="1"/>
  <c r="AK296" i="57" a="1"/>
  <c r="AK296" i="57" s="1"/>
  <c r="AF296" i="57" a="1"/>
  <c r="AF296" i="57" s="1"/>
  <c r="AC296" i="57" a="1"/>
  <c r="AC296" i="57" s="1"/>
  <c r="AA297" i="57"/>
  <c r="AR296" i="57" a="1"/>
  <c r="AR296" i="57" s="1"/>
  <c r="AO296" i="57" a="1"/>
  <c r="AO296" i="57" s="1"/>
  <c r="AJ296" i="57" a="1"/>
  <c r="AJ296" i="57" s="1"/>
  <c r="AG296" i="57" a="1"/>
  <c r="AG296" i="57" s="1"/>
  <c r="AP296" i="57" a="1"/>
  <c r="AP296" i="57" s="1"/>
  <c r="AE296" i="57" a="1"/>
  <c r="AE296" i="57" s="1"/>
  <c r="AM296" i="57" a="1"/>
  <c r="AM296" i="57" s="1"/>
  <c r="AU296" i="57" a="1"/>
  <c r="AU296" i="57" s="1"/>
  <c r="AH296" i="57" a="1"/>
  <c r="AH296" i="57" s="1"/>
  <c r="AV231" i="57" a="1"/>
  <c r="AV231" i="57" s="1"/>
  <c r="AR231" i="57" a="1"/>
  <c r="AR231" i="57" s="1"/>
  <c r="AN231" i="57" a="1"/>
  <c r="AN231" i="57" s="1"/>
  <c r="AJ231" i="57" a="1"/>
  <c r="AJ231" i="57" s="1"/>
  <c r="AF231" i="57" a="1"/>
  <c r="AF231" i="57" s="1"/>
  <c r="AU231" i="57" a="1"/>
  <c r="AU231" i="57" s="1"/>
  <c r="AQ231" i="57" a="1"/>
  <c r="AQ231" i="57" s="1"/>
  <c r="AM231" i="57" a="1"/>
  <c r="AM231" i="57" s="1"/>
  <c r="AI231" i="57" a="1"/>
  <c r="AI231" i="57" s="1"/>
  <c r="AE231" i="57" a="1"/>
  <c r="AE231" i="57" s="1"/>
  <c r="AT231" i="57" a="1"/>
  <c r="AT231" i="57" s="1"/>
  <c r="AP231" i="57" a="1"/>
  <c r="AP231" i="57" s="1"/>
  <c r="AL231" i="57" a="1"/>
  <c r="AL231" i="57" s="1"/>
  <c r="AH231" i="57" a="1"/>
  <c r="AH231" i="57" s="1"/>
  <c r="AD231" i="57" a="1"/>
  <c r="AD231" i="57" s="1"/>
  <c r="AA232" i="57"/>
  <c r="AS231" i="57" a="1"/>
  <c r="AS231" i="57" s="1"/>
  <c r="AO231" i="57" a="1"/>
  <c r="AO231" i="57" s="1"/>
  <c r="AK231" i="57" a="1"/>
  <c r="AK231" i="57" s="1"/>
  <c r="AG231" i="57" a="1"/>
  <c r="AG231" i="57" s="1"/>
  <c r="AC231" i="57" a="1"/>
  <c r="AC231" i="57" s="1"/>
  <c r="AV126" i="57" a="1"/>
  <c r="AV126" i="57" s="1"/>
  <c r="AT126" i="57" a="1"/>
  <c r="AT126" i="57" s="1"/>
  <c r="AR126" i="57" a="1"/>
  <c r="AR126" i="57" s="1"/>
  <c r="AP126" i="57" a="1"/>
  <c r="AP126" i="57" s="1"/>
  <c r="AN126" i="57" a="1"/>
  <c r="AN126" i="57" s="1"/>
  <c r="AL126" i="57" a="1"/>
  <c r="AL126" i="57" s="1"/>
  <c r="AJ126" i="57" a="1"/>
  <c r="AJ126" i="57" s="1"/>
  <c r="AH126" i="57" a="1"/>
  <c r="AH126" i="57" s="1"/>
  <c r="AF126" i="57" a="1"/>
  <c r="AF126" i="57" s="1"/>
  <c r="AD126" i="57" a="1"/>
  <c r="AD126" i="57" s="1"/>
  <c r="AA127" i="57"/>
  <c r="AU126" i="57" a="1"/>
  <c r="AU126" i="57" s="1"/>
  <c r="AS126" i="57" a="1"/>
  <c r="AS126" i="57" s="1"/>
  <c r="AQ126" i="57" a="1"/>
  <c r="AQ126" i="57" s="1"/>
  <c r="AO126" i="57" a="1"/>
  <c r="AO126" i="57" s="1"/>
  <c r="AM126" i="57" a="1"/>
  <c r="AM126" i="57" s="1"/>
  <c r="AK126" i="57" a="1"/>
  <c r="AK126" i="57" s="1"/>
  <c r="AI126" i="57" a="1"/>
  <c r="AI126" i="57" s="1"/>
  <c r="AG126" i="57" a="1"/>
  <c r="AG126" i="57" s="1"/>
  <c r="AE126" i="57" a="1"/>
  <c r="AE126" i="57" s="1"/>
  <c r="AC126" i="57" a="1"/>
  <c r="AC126" i="57" s="1"/>
  <c r="AV61" i="57" a="1"/>
  <c r="AV61" i="57" s="1"/>
  <c r="AT61" i="57" a="1"/>
  <c r="AT61" i="57" s="1"/>
  <c r="AR61" i="57" a="1"/>
  <c r="AR61" i="57" s="1"/>
  <c r="AP61" i="57" a="1"/>
  <c r="AP61" i="57" s="1"/>
  <c r="AN61" i="57" a="1"/>
  <c r="AN61" i="57" s="1"/>
  <c r="AL61" i="57" a="1"/>
  <c r="AL61" i="57" s="1"/>
  <c r="AJ61" i="57" a="1"/>
  <c r="AJ61" i="57" s="1"/>
  <c r="AH61" i="57" a="1"/>
  <c r="AH61" i="57" s="1"/>
  <c r="AF61" i="57" a="1"/>
  <c r="AF61" i="57" s="1"/>
  <c r="AD61" i="57" a="1"/>
  <c r="AD61" i="57" s="1"/>
  <c r="AA62" i="57"/>
  <c r="AU61" i="57" a="1"/>
  <c r="AU61" i="57" s="1"/>
  <c r="AS61" i="57" a="1"/>
  <c r="AS61" i="57" s="1"/>
  <c r="AQ61" i="57" a="1"/>
  <c r="AQ61" i="57" s="1"/>
  <c r="AO61" i="57" a="1"/>
  <c r="AO61" i="57" s="1"/>
  <c r="AM61" i="57" a="1"/>
  <c r="AM61" i="57" s="1"/>
  <c r="AK61" i="57" a="1"/>
  <c r="AK61" i="57" s="1"/>
  <c r="AI61" i="57" a="1"/>
  <c r="AI61" i="57" s="1"/>
  <c r="AG61" i="57" a="1"/>
  <c r="AG61" i="57" s="1"/>
  <c r="AE61" i="57" a="1"/>
  <c r="AE61" i="57" s="1"/>
  <c r="AC61" i="57" a="1"/>
  <c r="AC61" i="57" s="1"/>
  <c r="AU48" i="57" a="1"/>
  <c r="AU48" i="57" s="1"/>
  <c r="AR48" i="57" a="1"/>
  <c r="AR48" i="57" s="1"/>
  <c r="AM48" i="57" a="1"/>
  <c r="AM48" i="57" s="1"/>
  <c r="AJ48" i="57" a="1"/>
  <c r="AJ48" i="57" s="1"/>
  <c r="AE48" i="57" a="1"/>
  <c r="AE48" i="57" s="1"/>
  <c r="AT48" i="57" a="1"/>
  <c r="AT48" i="57" s="1"/>
  <c r="AO48" i="57" a="1"/>
  <c r="AO48" i="57" s="1"/>
  <c r="AL48" i="57" a="1"/>
  <c r="AL48" i="57" s="1"/>
  <c r="AG48" i="57" a="1"/>
  <c r="AG48" i="57" s="1"/>
  <c r="AD48" i="57" a="1"/>
  <c r="AD48" i="57" s="1"/>
  <c r="AA49" i="57"/>
  <c r="AQ48" i="57" a="1"/>
  <c r="AQ48" i="57" s="1"/>
  <c r="AN48" i="57" a="1"/>
  <c r="AN48" i="57" s="1"/>
  <c r="AI48" i="57" a="1"/>
  <c r="AI48" i="57" s="1"/>
  <c r="AF48" i="57" a="1"/>
  <c r="AF48" i="57" s="1"/>
  <c r="AV48" i="57" a="1"/>
  <c r="AV48" i="57" s="1"/>
  <c r="AS48" i="57" a="1"/>
  <c r="AS48" i="57" s="1"/>
  <c r="AP48" i="57" a="1"/>
  <c r="AP48" i="57" s="1"/>
  <c r="AK48" i="57" a="1"/>
  <c r="AK48" i="57" s="1"/>
  <c r="AH48" i="57" a="1"/>
  <c r="AH48" i="57" s="1"/>
  <c r="AC48" i="57" a="1"/>
  <c r="AC48" i="57" s="1"/>
  <c r="AA257" i="57"/>
  <c r="AU256" i="57" a="1"/>
  <c r="AU256" i="57" s="1"/>
  <c r="AS256" i="57" a="1"/>
  <c r="AS256" i="57" s="1"/>
  <c r="AQ256" i="57" a="1"/>
  <c r="AQ256" i="57" s="1"/>
  <c r="AO256" i="57" a="1"/>
  <c r="AO256" i="57" s="1"/>
  <c r="AM256" i="57" a="1"/>
  <c r="AM256" i="57" s="1"/>
  <c r="AK256" i="57" a="1"/>
  <c r="AK256" i="57" s="1"/>
  <c r="AI256" i="57" a="1"/>
  <c r="AI256" i="57" s="1"/>
  <c r="AG256" i="57" a="1"/>
  <c r="AG256" i="57" s="1"/>
  <c r="AE256" i="57" a="1"/>
  <c r="AE256" i="57" s="1"/>
  <c r="AC256" i="57" a="1"/>
  <c r="AC256" i="57" s="1"/>
  <c r="AP256" i="57" a="1"/>
  <c r="AP256" i="57" s="1"/>
  <c r="AH256" i="57" a="1"/>
  <c r="AH256" i="57" s="1"/>
  <c r="AV256" i="57" a="1"/>
  <c r="AV256" i="57" s="1"/>
  <c r="AR256" i="57" a="1"/>
  <c r="AR256" i="57" s="1"/>
  <c r="AD256" i="57" a="1"/>
  <c r="AD256" i="57" s="1"/>
  <c r="AT256" i="57" a="1"/>
  <c r="AT256" i="57" s="1"/>
  <c r="AJ256" i="57" a="1"/>
  <c r="AJ256" i="57" s="1"/>
  <c r="AF256" i="57" a="1"/>
  <c r="AF256" i="57" s="1"/>
  <c r="AN256" i="57" a="1"/>
  <c r="AN256" i="57" s="1"/>
  <c r="AL256" i="57" a="1"/>
  <c r="AL256" i="57" s="1"/>
  <c r="AV115" i="57" a="1"/>
  <c r="AV115" i="57" s="1"/>
  <c r="AR115" i="57" a="1"/>
  <c r="AR115" i="57" s="1"/>
  <c r="AN115" i="57" a="1"/>
  <c r="AN115" i="57" s="1"/>
  <c r="AJ115" i="57" a="1"/>
  <c r="AJ115" i="57" s="1"/>
  <c r="AF115" i="57" a="1"/>
  <c r="AF115" i="57" s="1"/>
  <c r="AU115" i="57" a="1"/>
  <c r="AU115" i="57" s="1"/>
  <c r="AQ115" i="57" a="1"/>
  <c r="AQ115" i="57" s="1"/>
  <c r="AM115" i="57" a="1"/>
  <c r="AM115" i="57" s="1"/>
  <c r="AI115" i="57" a="1"/>
  <c r="AI115" i="57" s="1"/>
  <c r="AE115" i="57" a="1"/>
  <c r="AE115" i="57" s="1"/>
  <c r="AT115" i="57" a="1"/>
  <c r="AT115" i="57" s="1"/>
  <c r="AP115" i="57" a="1"/>
  <c r="AP115" i="57" s="1"/>
  <c r="AL115" i="57" a="1"/>
  <c r="AL115" i="57" s="1"/>
  <c r="AH115" i="57" a="1"/>
  <c r="AH115" i="57" s="1"/>
  <c r="AD115" i="57" a="1"/>
  <c r="AD115" i="57" s="1"/>
  <c r="AA116" i="57"/>
  <c r="AS115" i="57" a="1"/>
  <c r="AS115" i="57" s="1"/>
  <c r="AO115" i="57" a="1"/>
  <c r="AO115" i="57" s="1"/>
  <c r="AK115" i="57" a="1"/>
  <c r="AK115" i="57" s="1"/>
  <c r="AG115" i="57" a="1"/>
  <c r="AG115" i="57" s="1"/>
  <c r="AC115" i="57" a="1"/>
  <c r="AC115" i="57" s="1"/>
  <c r="AA309" i="57"/>
  <c r="AU308" i="57" a="1"/>
  <c r="AU308" i="57" s="1"/>
  <c r="AR308" i="57" a="1"/>
  <c r="AR308" i="57" s="1"/>
  <c r="AM308" i="57" a="1"/>
  <c r="AM308" i="57" s="1"/>
  <c r="AJ308" i="57" a="1"/>
  <c r="AJ308" i="57" s="1"/>
  <c r="AE308" i="57" a="1"/>
  <c r="AE308" i="57" s="1"/>
  <c r="AT308" i="57" a="1"/>
  <c r="AT308" i="57" s="1"/>
  <c r="AO308" i="57" a="1"/>
  <c r="AO308" i="57" s="1"/>
  <c r="AL308" i="57" a="1"/>
  <c r="AL308" i="57" s="1"/>
  <c r="AG308" i="57" a="1"/>
  <c r="AG308" i="57" s="1"/>
  <c r="AD308" i="57" a="1"/>
  <c r="AD308" i="57" s="1"/>
  <c r="AV308" i="57" a="1"/>
  <c r="AV308" i="57" s="1"/>
  <c r="AQ308" i="57" a="1"/>
  <c r="AQ308" i="57" s="1"/>
  <c r="AN308" i="57" a="1"/>
  <c r="AN308" i="57" s="1"/>
  <c r="AI308" i="57" a="1"/>
  <c r="AI308" i="57" s="1"/>
  <c r="AF308" i="57" a="1"/>
  <c r="AF308" i="57" s="1"/>
  <c r="AS308" i="57" a="1"/>
  <c r="AS308" i="57" s="1"/>
  <c r="AP308" i="57" a="1"/>
  <c r="AP308" i="57" s="1"/>
  <c r="AK308" i="57" a="1"/>
  <c r="AK308" i="57" s="1"/>
  <c r="AH308" i="57" a="1"/>
  <c r="AH308" i="57" s="1"/>
  <c r="AC308" i="57" a="1"/>
  <c r="AC308" i="57" s="1"/>
  <c r="AA11" i="57"/>
  <c r="AV10" i="57" a="1"/>
  <c r="AV10" i="57" s="1"/>
  <c r="AT10" i="57" a="1"/>
  <c r="AT10" i="57" s="1"/>
  <c r="AR10" i="57" a="1"/>
  <c r="AR10" i="57" s="1"/>
  <c r="AP10" i="57" a="1"/>
  <c r="AP10" i="57" s="1"/>
  <c r="AN10" i="57" a="1"/>
  <c r="AN10" i="57" s="1"/>
  <c r="AL10" i="57" a="1"/>
  <c r="AL10" i="57" s="1"/>
  <c r="AJ10" i="57" a="1"/>
  <c r="AJ10" i="57" s="1"/>
  <c r="AH10" i="57" a="1"/>
  <c r="AH10" i="57" s="1"/>
  <c r="AF10" i="57" a="1"/>
  <c r="AF10" i="57" s="1"/>
  <c r="AD10" i="57" a="1"/>
  <c r="AD10" i="57" s="1"/>
  <c r="AU10" i="57" a="1"/>
  <c r="AU10" i="57" s="1"/>
  <c r="AS10" i="57" a="1"/>
  <c r="AS10" i="57" s="1"/>
  <c r="AQ10" i="57" a="1"/>
  <c r="AQ10" i="57" s="1"/>
  <c r="AO10" i="57" a="1"/>
  <c r="AO10" i="57" s="1"/>
  <c r="AM10" i="57" a="1"/>
  <c r="AM10" i="57" s="1"/>
  <c r="AK10" i="57" a="1"/>
  <c r="AK10" i="57" s="1"/>
  <c r="AI10" i="57" a="1"/>
  <c r="AI10" i="57" s="1"/>
  <c r="AG10" i="57" a="1"/>
  <c r="AG10" i="57" s="1"/>
  <c r="AE10" i="57" a="1"/>
  <c r="AE10" i="57" s="1"/>
  <c r="AC10" i="57" a="1"/>
  <c r="AC10" i="57" s="1"/>
  <c r="AV243" i="57" a="1"/>
  <c r="AV243" i="57" s="1"/>
  <c r="AQ243" i="57" a="1"/>
  <c r="AQ243" i="57" s="1"/>
  <c r="AN243" i="57" a="1"/>
  <c r="AN243" i="57" s="1"/>
  <c r="AI243" i="57" a="1"/>
  <c r="AI243" i="57" s="1"/>
  <c r="AF243" i="57" a="1"/>
  <c r="AF243" i="57" s="1"/>
  <c r="AS243" i="57" a="1"/>
  <c r="AS243" i="57" s="1"/>
  <c r="AP243" i="57" a="1"/>
  <c r="AP243" i="57" s="1"/>
  <c r="AK243" i="57" a="1"/>
  <c r="AK243" i="57" s="1"/>
  <c r="AH243" i="57" a="1"/>
  <c r="AH243" i="57" s="1"/>
  <c r="AC243" i="57" a="1"/>
  <c r="AC243" i="57" s="1"/>
  <c r="AU243" i="57" a="1"/>
  <c r="AU243" i="57" s="1"/>
  <c r="AR243" i="57" a="1"/>
  <c r="AR243" i="57" s="1"/>
  <c r="AM243" i="57" a="1"/>
  <c r="AM243" i="57" s="1"/>
  <c r="AJ243" i="57" a="1"/>
  <c r="AJ243" i="57" s="1"/>
  <c r="AE243" i="57" a="1"/>
  <c r="AE243" i="57" s="1"/>
  <c r="AO243" i="57" a="1"/>
  <c r="AO243" i="57" s="1"/>
  <c r="AD243" i="57" a="1"/>
  <c r="AD243" i="57" s="1"/>
  <c r="AA244" i="57"/>
  <c r="AL243" i="57" a="1"/>
  <c r="AL243" i="57" s="1"/>
  <c r="AT243" i="57" a="1"/>
  <c r="AT243" i="57" s="1"/>
  <c r="AG243" i="57" a="1"/>
  <c r="AG243" i="57" s="1"/>
  <c r="AV35" i="57" a="1"/>
  <c r="AV35" i="57" s="1"/>
  <c r="AT35" i="57" a="1"/>
  <c r="AT35" i="57" s="1"/>
  <c r="AR35" i="57" a="1"/>
  <c r="AR35" i="57" s="1"/>
  <c r="AP35" i="57" a="1"/>
  <c r="AP35" i="57" s="1"/>
  <c r="AN35" i="57" a="1"/>
  <c r="AN35" i="57" s="1"/>
  <c r="AL35" i="57" a="1"/>
  <c r="AL35" i="57" s="1"/>
  <c r="AJ35" i="57" a="1"/>
  <c r="AJ35" i="57" s="1"/>
  <c r="AH35" i="57" a="1"/>
  <c r="AH35" i="57" s="1"/>
  <c r="AF35" i="57" a="1"/>
  <c r="AF35" i="57" s="1"/>
  <c r="AD35" i="57" a="1"/>
  <c r="AD35" i="57" s="1"/>
  <c r="AQ35" i="57" a="1"/>
  <c r="AQ35" i="57" s="1"/>
  <c r="AI35" i="57" a="1"/>
  <c r="AI35" i="57" s="1"/>
  <c r="AS35" i="57" a="1"/>
  <c r="AS35" i="57" s="1"/>
  <c r="AK35" i="57" a="1"/>
  <c r="AK35" i="57" s="1"/>
  <c r="AC35" i="57" a="1"/>
  <c r="AC35" i="57" s="1"/>
  <c r="AU35" i="57" a="1"/>
  <c r="AU35" i="57" s="1"/>
  <c r="AM35" i="57" a="1"/>
  <c r="AM35" i="57" s="1"/>
  <c r="AE35" i="57" a="1"/>
  <c r="AE35" i="57" s="1"/>
  <c r="AA36" i="57"/>
  <c r="AO35" i="57" a="1"/>
  <c r="AO35" i="57" s="1"/>
  <c r="AG35" i="57" a="1"/>
  <c r="AG35" i="57" s="1"/>
  <c r="AA101" i="57"/>
  <c r="AU100" i="57" a="1"/>
  <c r="AU100" i="57" s="1"/>
  <c r="AS100" i="57" a="1"/>
  <c r="AS100" i="57" s="1"/>
  <c r="AQ100" i="57" a="1"/>
  <c r="AQ100" i="57" s="1"/>
  <c r="AO100" i="57" a="1"/>
  <c r="AO100" i="57" s="1"/>
  <c r="AM100" i="57" a="1"/>
  <c r="AM100" i="57" s="1"/>
  <c r="AK100" i="57" a="1"/>
  <c r="AK100" i="57" s="1"/>
  <c r="AI100" i="57" a="1"/>
  <c r="AI100" i="57" s="1"/>
  <c r="AG100" i="57" a="1"/>
  <c r="AG100" i="57" s="1"/>
  <c r="AE100" i="57" a="1"/>
  <c r="AE100" i="57" s="1"/>
  <c r="AC100" i="57" a="1"/>
  <c r="AC100" i="57" s="1"/>
  <c r="AV100" i="57" a="1"/>
  <c r="AV100" i="57" s="1"/>
  <c r="AT100" i="57" a="1"/>
  <c r="AT100" i="57" s="1"/>
  <c r="AR100" i="57" a="1"/>
  <c r="AR100" i="57" s="1"/>
  <c r="AP100" i="57" a="1"/>
  <c r="AP100" i="57" s="1"/>
  <c r="AN100" i="57" a="1"/>
  <c r="AN100" i="57" s="1"/>
  <c r="AL100" i="57" a="1"/>
  <c r="AL100" i="57" s="1"/>
  <c r="AJ100" i="57" a="1"/>
  <c r="AJ100" i="57" s="1"/>
  <c r="AH100" i="57" a="1"/>
  <c r="AH100" i="57" s="1"/>
  <c r="AF100" i="57" a="1"/>
  <c r="AF100" i="57" s="1"/>
  <c r="AD100" i="57" a="1"/>
  <c r="AD100" i="57" s="1"/>
  <c r="AV179" i="57" a="1"/>
  <c r="AV179" i="57" s="1"/>
  <c r="AT179" i="57" a="1"/>
  <c r="AT179" i="57" s="1"/>
  <c r="AR179" i="57" a="1"/>
  <c r="AR179" i="57" s="1"/>
  <c r="AP179" i="57" a="1"/>
  <c r="AP179" i="57" s="1"/>
  <c r="AN179" i="57" a="1"/>
  <c r="AN179" i="57" s="1"/>
  <c r="AL179" i="57" a="1"/>
  <c r="AL179" i="57" s="1"/>
  <c r="AJ179" i="57" a="1"/>
  <c r="AJ179" i="57" s="1"/>
  <c r="AH179" i="57" a="1"/>
  <c r="AH179" i="57" s="1"/>
  <c r="AF179" i="57" a="1"/>
  <c r="AF179" i="57" s="1"/>
  <c r="AD179" i="57" a="1"/>
  <c r="AD179" i="57" s="1"/>
  <c r="AA180" i="57"/>
  <c r="AO179" i="57" a="1"/>
  <c r="AO179" i="57" s="1"/>
  <c r="AG179" i="57" a="1"/>
  <c r="AG179" i="57" s="1"/>
  <c r="AU179" i="57" a="1"/>
  <c r="AU179" i="57" s="1"/>
  <c r="AM179" i="57" a="1"/>
  <c r="AM179" i="57" s="1"/>
  <c r="AE179" i="57" a="1"/>
  <c r="AE179" i="57" s="1"/>
  <c r="AS179" i="57" a="1"/>
  <c r="AS179" i="57" s="1"/>
  <c r="AK179" i="57" a="1"/>
  <c r="AK179" i="57" s="1"/>
  <c r="AC179" i="57" a="1"/>
  <c r="AC179" i="57" s="1"/>
  <c r="AQ179" i="57" a="1"/>
  <c r="AQ179" i="57" s="1"/>
  <c r="AI179" i="57" a="1"/>
  <c r="AI179" i="57" s="1"/>
  <c r="AV153" i="57" a="1"/>
  <c r="AV153" i="57" s="1"/>
  <c r="AS153" i="57" a="1"/>
  <c r="AS153" i="57" s="1"/>
  <c r="AN153" i="57" a="1"/>
  <c r="AN153" i="57" s="1"/>
  <c r="AK153" i="57" a="1"/>
  <c r="AK153" i="57" s="1"/>
  <c r="AF153" i="57" a="1"/>
  <c r="AF153" i="57" s="1"/>
  <c r="AC153" i="57" a="1"/>
  <c r="AC153" i="57" s="1"/>
  <c r="AU153" i="57" a="1"/>
  <c r="AU153" i="57" s="1"/>
  <c r="AP153" i="57" a="1"/>
  <c r="AP153" i="57" s="1"/>
  <c r="AM153" i="57" a="1"/>
  <c r="AM153" i="57" s="1"/>
  <c r="AH153" i="57" a="1"/>
  <c r="AH153" i="57" s="1"/>
  <c r="AE153" i="57" a="1"/>
  <c r="AE153" i="57" s="1"/>
  <c r="AA154" i="57"/>
  <c r="AR153" i="57" a="1"/>
  <c r="AR153" i="57" s="1"/>
  <c r="AO153" i="57" a="1"/>
  <c r="AO153" i="57" s="1"/>
  <c r="AJ153" i="57" a="1"/>
  <c r="AJ153" i="57" s="1"/>
  <c r="AG153" i="57" a="1"/>
  <c r="AG153" i="57" s="1"/>
  <c r="AT153" i="57" a="1"/>
  <c r="AT153" i="57" s="1"/>
  <c r="AQ153" i="57" a="1"/>
  <c r="AQ153" i="57" s="1"/>
  <c r="AL153" i="57" a="1"/>
  <c r="AL153" i="57" s="1"/>
  <c r="AI153" i="57" a="1"/>
  <c r="AI153" i="57" s="1"/>
  <c r="AD153" i="57" a="1"/>
  <c r="AD153" i="57" s="1"/>
  <c r="AA88" i="57"/>
  <c r="AU87" i="57" a="1"/>
  <c r="AU87" i="57" s="1"/>
  <c r="AS87" i="57" a="1"/>
  <c r="AS87" i="57" s="1"/>
  <c r="AQ87" i="57" a="1"/>
  <c r="AQ87" i="57" s="1"/>
  <c r="AO87" i="57" a="1"/>
  <c r="AO87" i="57" s="1"/>
  <c r="AM87" i="57" a="1"/>
  <c r="AM87" i="57" s="1"/>
  <c r="AK87" i="57" a="1"/>
  <c r="AK87" i="57" s="1"/>
  <c r="AI87" i="57" a="1"/>
  <c r="AI87" i="57" s="1"/>
  <c r="AG87" i="57" a="1"/>
  <c r="AG87" i="57" s="1"/>
  <c r="AE87" i="57" a="1"/>
  <c r="AE87" i="57" s="1"/>
  <c r="AC87" i="57" a="1"/>
  <c r="AC87" i="57" s="1"/>
  <c r="AV87" i="57" a="1"/>
  <c r="AV87" i="57" s="1"/>
  <c r="AT87" i="57" a="1"/>
  <c r="AT87" i="57" s="1"/>
  <c r="AR87" i="57" a="1"/>
  <c r="AR87" i="57" s="1"/>
  <c r="AP87" i="57" a="1"/>
  <c r="AP87" i="57" s="1"/>
  <c r="AN87" i="57" a="1"/>
  <c r="AN87" i="57" s="1"/>
  <c r="AL87" i="57" a="1"/>
  <c r="AL87" i="57" s="1"/>
  <c r="AJ87" i="57" a="1"/>
  <c r="AJ87" i="57" s="1"/>
  <c r="AH87" i="57" a="1"/>
  <c r="AH87" i="57" s="1"/>
  <c r="AF87" i="57" a="1"/>
  <c r="AF87" i="57" s="1"/>
  <c r="AD87" i="57" a="1"/>
  <c r="AD87" i="57" s="1"/>
  <c r="AV140" i="57" a="1"/>
  <c r="AV140" i="57" s="1"/>
  <c r="AT140" i="57" a="1"/>
  <c r="AT140" i="57" s="1"/>
  <c r="AR140" i="57" a="1"/>
  <c r="AR140" i="57" s="1"/>
  <c r="AP140" i="57" a="1"/>
  <c r="AP140" i="57" s="1"/>
  <c r="AN140" i="57" a="1"/>
  <c r="AN140" i="57" s="1"/>
  <c r="AL140" i="57" a="1"/>
  <c r="AL140" i="57" s="1"/>
  <c r="AJ140" i="57" a="1"/>
  <c r="AJ140" i="57" s="1"/>
  <c r="AH140" i="57" a="1"/>
  <c r="AH140" i="57" s="1"/>
  <c r="AF140" i="57" a="1"/>
  <c r="AF140" i="57" s="1"/>
  <c r="AD140" i="57" a="1"/>
  <c r="AD140" i="57" s="1"/>
  <c r="AU140" i="57" a="1"/>
  <c r="AU140" i="57" s="1"/>
  <c r="AM140" i="57" a="1"/>
  <c r="AM140" i="57" s="1"/>
  <c r="AE140" i="57" a="1"/>
  <c r="AE140" i="57" s="1"/>
  <c r="AS140" i="57" a="1"/>
  <c r="AS140" i="57" s="1"/>
  <c r="AK140" i="57" a="1"/>
  <c r="AK140" i="57" s="1"/>
  <c r="AC140" i="57" a="1"/>
  <c r="AC140" i="57" s="1"/>
  <c r="AQ140" i="57" a="1"/>
  <c r="AQ140" i="57" s="1"/>
  <c r="AI140" i="57" a="1"/>
  <c r="AI140" i="57" s="1"/>
  <c r="AA141" i="57"/>
  <c r="AO140" i="57" a="1"/>
  <c r="AO140" i="57" s="1"/>
  <c r="AG140" i="57" a="1"/>
  <c r="AG140" i="57" s="1"/>
  <c r="AA166" i="57"/>
  <c r="AU165" i="57" a="1"/>
  <c r="AU165" i="57" s="1"/>
  <c r="AS165" i="57" a="1"/>
  <c r="AS165" i="57" s="1"/>
  <c r="AQ165" i="57" a="1"/>
  <c r="AQ165" i="57" s="1"/>
  <c r="AO165" i="57" a="1"/>
  <c r="AO165" i="57" s="1"/>
  <c r="AM165" i="57" a="1"/>
  <c r="AM165" i="57" s="1"/>
  <c r="AK165" i="57" a="1"/>
  <c r="AK165" i="57" s="1"/>
  <c r="AI165" i="57" a="1"/>
  <c r="AI165" i="57" s="1"/>
  <c r="AG165" i="57" a="1"/>
  <c r="AG165" i="57" s="1"/>
  <c r="AE165" i="57" a="1"/>
  <c r="AE165" i="57" s="1"/>
  <c r="AC165" i="57" a="1"/>
  <c r="AC165" i="57" s="1"/>
  <c r="AV165" i="57" a="1"/>
  <c r="AV165" i="57" s="1"/>
  <c r="AT165" i="57" a="1"/>
  <c r="AT165" i="57" s="1"/>
  <c r="AR165" i="57" a="1"/>
  <c r="AR165" i="57" s="1"/>
  <c r="AP165" i="57" a="1"/>
  <c r="AP165" i="57" s="1"/>
  <c r="AN165" i="57" a="1"/>
  <c r="AN165" i="57" s="1"/>
  <c r="AL165" i="57" a="1"/>
  <c r="AL165" i="57" s="1"/>
  <c r="AJ165" i="57" a="1"/>
  <c r="AJ165" i="57" s="1"/>
  <c r="AH165" i="57" a="1"/>
  <c r="AH165" i="57" s="1"/>
  <c r="AF165" i="57" a="1"/>
  <c r="AF165" i="57" s="1"/>
  <c r="AD165" i="57" a="1"/>
  <c r="AD165" i="57" s="1"/>
  <c r="AU23" i="57" l="1" a="1"/>
  <c r="AU23" i="57" s="1"/>
  <c r="AE23" i="57" a="1"/>
  <c r="AE23" i="57" s="1"/>
  <c r="AO23" i="57" a="1"/>
  <c r="AO23" i="57" s="1"/>
  <c r="AQ23" i="57" a="1"/>
  <c r="AQ23" i="57" s="1"/>
  <c r="AS23" i="57" a="1"/>
  <c r="AS23" i="57" s="1"/>
  <c r="AC23" i="57" a="1"/>
  <c r="AC23" i="57" s="1"/>
  <c r="AJ23" i="57" a="1"/>
  <c r="AJ23" i="57" s="1"/>
  <c r="AD23" i="57" a="1"/>
  <c r="AD23" i="57" s="1"/>
  <c r="AV23" i="57" a="1"/>
  <c r="AV23" i="57" s="1"/>
  <c r="AF23" i="57" a="1"/>
  <c r="AF23" i="57" s="1"/>
  <c r="AH23" i="57" a="1"/>
  <c r="AH23" i="57" s="1"/>
  <c r="AR23" i="57" a="1"/>
  <c r="AR23" i="57" s="1"/>
  <c r="AT23" i="57" a="1"/>
  <c r="AT23" i="57" s="1"/>
  <c r="AG23" i="57" a="1"/>
  <c r="AG23" i="57" s="1"/>
  <c r="AN23" i="57" a="1"/>
  <c r="AN23" i="57" s="1"/>
  <c r="AP23" i="57" a="1"/>
  <c r="AP23" i="57" s="1"/>
  <c r="AM23" i="57" a="1"/>
  <c r="AM23" i="57" s="1"/>
  <c r="AL23" i="57" a="1"/>
  <c r="AL23" i="57" s="1"/>
  <c r="AA24" i="57"/>
  <c r="AI23" i="57" a="1"/>
  <c r="AI23" i="57" s="1"/>
  <c r="AK23" i="57" a="1"/>
  <c r="AK23" i="57" s="1"/>
  <c r="AA142" i="57"/>
  <c r="AU141" i="57" a="1"/>
  <c r="AU141" i="57" s="1"/>
  <c r="AS141" i="57" a="1"/>
  <c r="AS141" i="57" s="1"/>
  <c r="AQ141" i="57" a="1"/>
  <c r="AQ141" i="57" s="1"/>
  <c r="AO141" i="57" a="1"/>
  <c r="AO141" i="57" s="1"/>
  <c r="AM141" i="57" a="1"/>
  <c r="AM141" i="57" s="1"/>
  <c r="AK141" i="57" a="1"/>
  <c r="AK141" i="57" s="1"/>
  <c r="AI141" i="57" a="1"/>
  <c r="AI141" i="57" s="1"/>
  <c r="AG141" i="57" a="1"/>
  <c r="AG141" i="57" s="1"/>
  <c r="AE141" i="57" a="1"/>
  <c r="AE141" i="57" s="1"/>
  <c r="AC141" i="57" a="1"/>
  <c r="AC141" i="57" s="1"/>
  <c r="AP141" i="57" a="1"/>
  <c r="AP141" i="57" s="1"/>
  <c r="AH141" i="57" a="1"/>
  <c r="AH141" i="57" s="1"/>
  <c r="AV141" i="57" a="1"/>
  <c r="AV141" i="57" s="1"/>
  <c r="AN141" i="57" a="1"/>
  <c r="AN141" i="57" s="1"/>
  <c r="AF141" i="57" a="1"/>
  <c r="AF141" i="57" s="1"/>
  <c r="AT141" i="57" a="1"/>
  <c r="AT141" i="57" s="1"/>
  <c r="AL141" i="57" a="1"/>
  <c r="AL141" i="57" s="1"/>
  <c r="AD141" i="57" a="1"/>
  <c r="AD141" i="57" s="1"/>
  <c r="AR141" i="57" a="1"/>
  <c r="AR141" i="57" s="1"/>
  <c r="AJ141" i="57" a="1"/>
  <c r="AJ141" i="57" s="1"/>
  <c r="AV180" i="57" a="1"/>
  <c r="AV180" i="57" s="1"/>
  <c r="AT180" i="57" a="1"/>
  <c r="AT180" i="57" s="1"/>
  <c r="AR180" i="57" a="1"/>
  <c r="AR180" i="57" s="1"/>
  <c r="AA181" i="57"/>
  <c r="AU180" i="57" a="1"/>
  <c r="AU180" i="57" s="1"/>
  <c r="AS180" i="57" a="1"/>
  <c r="AS180" i="57" s="1"/>
  <c r="AQ180" i="57" a="1"/>
  <c r="AQ180" i="57" s="1"/>
  <c r="AO180" i="57" a="1"/>
  <c r="AO180" i="57" s="1"/>
  <c r="AM180" i="57" a="1"/>
  <c r="AM180" i="57" s="1"/>
  <c r="AK180" i="57" a="1"/>
  <c r="AK180" i="57" s="1"/>
  <c r="AI180" i="57" a="1"/>
  <c r="AI180" i="57" s="1"/>
  <c r="AG180" i="57" a="1"/>
  <c r="AG180" i="57" s="1"/>
  <c r="AE180" i="57" a="1"/>
  <c r="AE180" i="57" s="1"/>
  <c r="AC180" i="57" a="1"/>
  <c r="AC180" i="57" s="1"/>
  <c r="AJ180" i="57" a="1"/>
  <c r="AJ180" i="57" s="1"/>
  <c r="AP180" i="57" a="1"/>
  <c r="AP180" i="57" s="1"/>
  <c r="AH180" i="57" a="1"/>
  <c r="AH180" i="57" s="1"/>
  <c r="AN180" i="57" a="1"/>
  <c r="AN180" i="57" s="1"/>
  <c r="AF180" i="57" a="1"/>
  <c r="AF180" i="57" s="1"/>
  <c r="AL180" i="57" a="1"/>
  <c r="AL180" i="57" s="1"/>
  <c r="AD180" i="57" a="1"/>
  <c r="AD180" i="57" s="1"/>
  <c r="AA272" i="57"/>
  <c r="AR271" i="57" a="1"/>
  <c r="AR271" i="57" s="1"/>
  <c r="AO271" i="57" a="1"/>
  <c r="AO271" i="57" s="1"/>
  <c r="AJ271" i="57" a="1"/>
  <c r="AJ271" i="57" s="1"/>
  <c r="AG271" i="57" a="1"/>
  <c r="AG271" i="57" s="1"/>
  <c r="AT271" i="57" a="1"/>
  <c r="AT271" i="57" s="1"/>
  <c r="AQ271" i="57" a="1"/>
  <c r="AQ271" i="57" s="1"/>
  <c r="AL271" i="57" a="1"/>
  <c r="AL271" i="57" s="1"/>
  <c r="AI271" i="57" a="1"/>
  <c r="AI271" i="57" s="1"/>
  <c r="AD271" i="57" a="1"/>
  <c r="AD271" i="57" s="1"/>
  <c r="AV271" i="57" a="1"/>
  <c r="AV271" i="57" s="1"/>
  <c r="AS271" i="57" a="1"/>
  <c r="AS271" i="57" s="1"/>
  <c r="AN271" i="57" a="1"/>
  <c r="AN271" i="57" s="1"/>
  <c r="AK271" i="57" a="1"/>
  <c r="AK271" i="57" s="1"/>
  <c r="AF271" i="57" a="1"/>
  <c r="AF271" i="57" s="1"/>
  <c r="AC271" i="57" a="1"/>
  <c r="AC271" i="57" s="1"/>
  <c r="AU271" i="57" a="1"/>
  <c r="AU271" i="57" s="1"/>
  <c r="AP271" i="57" a="1"/>
  <c r="AP271" i="57" s="1"/>
  <c r="AM271" i="57" a="1"/>
  <c r="AM271" i="57" s="1"/>
  <c r="AH271" i="57" a="1"/>
  <c r="AH271" i="57" s="1"/>
  <c r="AE271" i="57" a="1"/>
  <c r="AE271" i="57" s="1"/>
  <c r="AA220" i="57"/>
  <c r="AV154" i="57" a="1"/>
  <c r="AV154" i="57" s="1"/>
  <c r="AQ154" i="57" a="1"/>
  <c r="AQ154" i="57" s="1"/>
  <c r="AN154" i="57" a="1"/>
  <c r="AN154" i="57" s="1"/>
  <c r="AI154" i="57" a="1"/>
  <c r="AI154" i="57" s="1"/>
  <c r="AF154" i="57" a="1"/>
  <c r="AF154" i="57" s="1"/>
  <c r="AS154" i="57" a="1"/>
  <c r="AS154" i="57" s="1"/>
  <c r="AP154" i="57" a="1"/>
  <c r="AP154" i="57" s="1"/>
  <c r="AK154" i="57" a="1"/>
  <c r="AK154" i="57" s="1"/>
  <c r="AH154" i="57" a="1"/>
  <c r="AH154" i="57" s="1"/>
  <c r="AC154" i="57" a="1"/>
  <c r="AC154" i="57" s="1"/>
  <c r="AU154" i="57" a="1"/>
  <c r="AU154" i="57" s="1"/>
  <c r="AR154" i="57" a="1"/>
  <c r="AR154" i="57" s="1"/>
  <c r="AM154" i="57" a="1"/>
  <c r="AM154" i="57" s="1"/>
  <c r="AJ154" i="57" a="1"/>
  <c r="AJ154" i="57" s="1"/>
  <c r="AE154" i="57" a="1"/>
  <c r="AE154" i="57" s="1"/>
  <c r="AA155" i="57"/>
  <c r="AT154" i="57" a="1"/>
  <c r="AT154" i="57" s="1"/>
  <c r="AO154" i="57" a="1"/>
  <c r="AO154" i="57" s="1"/>
  <c r="AL154" i="57" a="1"/>
  <c r="AL154" i="57" s="1"/>
  <c r="AG154" i="57" a="1"/>
  <c r="AG154" i="57" s="1"/>
  <c r="AD154" i="57" a="1"/>
  <c r="AD154" i="57" s="1"/>
  <c r="AT244" i="57" a="1"/>
  <c r="AT244" i="57" s="1"/>
  <c r="AQ244" i="57" a="1"/>
  <c r="AQ244" i="57" s="1"/>
  <c r="AL244" i="57" a="1"/>
  <c r="AL244" i="57" s="1"/>
  <c r="AI244" i="57" a="1"/>
  <c r="AI244" i="57" s="1"/>
  <c r="AD244" i="57" a="1"/>
  <c r="AD244" i="57" s="1"/>
  <c r="AV244" i="57" a="1"/>
  <c r="AV244" i="57" s="1"/>
  <c r="AS244" i="57" a="1"/>
  <c r="AS244" i="57" s="1"/>
  <c r="AN244" i="57" a="1"/>
  <c r="AN244" i="57" s="1"/>
  <c r="AK244" i="57" a="1"/>
  <c r="AK244" i="57" s="1"/>
  <c r="AF244" i="57" a="1"/>
  <c r="AF244" i="57" s="1"/>
  <c r="AC244" i="57" a="1"/>
  <c r="AC244" i="57" s="1"/>
  <c r="AU244" i="57" a="1"/>
  <c r="AU244" i="57" s="1"/>
  <c r="AP244" i="57" a="1"/>
  <c r="AP244" i="57" s="1"/>
  <c r="AM244" i="57" a="1"/>
  <c r="AM244" i="57" s="1"/>
  <c r="AH244" i="57" a="1"/>
  <c r="AH244" i="57" s="1"/>
  <c r="AE244" i="57" a="1"/>
  <c r="AE244" i="57" s="1"/>
  <c r="AO244" i="57" a="1"/>
  <c r="AO244" i="57" s="1"/>
  <c r="AA245" i="57"/>
  <c r="AJ244" i="57" a="1"/>
  <c r="AJ244" i="57" s="1"/>
  <c r="AR244" i="57" a="1"/>
  <c r="AR244" i="57" s="1"/>
  <c r="AG244" i="57" a="1"/>
  <c r="AG244" i="57" s="1"/>
  <c r="AV257" i="57" a="1"/>
  <c r="AV257" i="57" s="1"/>
  <c r="AT257" i="57" a="1"/>
  <c r="AT257" i="57" s="1"/>
  <c r="AR257" i="57" a="1"/>
  <c r="AR257" i="57" s="1"/>
  <c r="AP257" i="57" a="1"/>
  <c r="AP257" i="57" s="1"/>
  <c r="AN257" i="57" a="1"/>
  <c r="AN257" i="57" s="1"/>
  <c r="AL257" i="57" a="1"/>
  <c r="AL257" i="57" s="1"/>
  <c r="AJ257" i="57" a="1"/>
  <c r="AJ257" i="57" s="1"/>
  <c r="AH257" i="57" a="1"/>
  <c r="AH257" i="57" s="1"/>
  <c r="AF257" i="57" a="1"/>
  <c r="AF257" i="57" s="1"/>
  <c r="AD257" i="57" a="1"/>
  <c r="AD257" i="57" s="1"/>
  <c r="AS257" i="57" a="1"/>
  <c r="AS257" i="57" s="1"/>
  <c r="AK257" i="57" a="1"/>
  <c r="AK257" i="57" s="1"/>
  <c r="AC257" i="57" a="1"/>
  <c r="AC257" i="57" s="1"/>
  <c r="AO257" i="57" a="1"/>
  <c r="AO257" i="57" s="1"/>
  <c r="AA258" i="57"/>
  <c r="AM257" i="57" a="1"/>
  <c r="AM257" i="57" s="1"/>
  <c r="AI257" i="57" a="1"/>
  <c r="AI257" i="57" s="1"/>
  <c r="AU257" i="57" a="1"/>
  <c r="AU257" i="57" s="1"/>
  <c r="AQ257" i="57" a="1"/>
  <c r="AQ257" i="57" s="1"/>
  <c r="AG257" i="57" a="1"/>
  <c r="AG257" i="57" s="1"/>
  <c r="AE257" i="57" a="1"/>
  <c r="AE257" i="57" s="1"/>
  <c r="AA128" i="57"/>
  <c r="AU127" i="57" a="1"/>
  <c r="AU127" i="57" s="1"/>
  <c r="AS127" i="57" a="1"/>
  <c r="AS127" i="57" s="1"/>
  <c r="AQ127" i="57" a="1"/>
  <c r="AQ127" i="57" s="1"/>
  <c r="AO127" i="57" a="1"/>
  <c r="AO127" i="57" s="1"/>
  <c r="AM127" i="57" a="1"/>
  <c r="AM127" i="57" s="1"/>
  <c r="AK127" i="57" a="1"/>
  <c r="AK127" i="57" s="1"/>
  <c r="AI127" i="57" a="1"/>
  <c r="AI127" i="57" s="1"/>
  <c r="AG127" i="57" a="1"/>
  <c r="AG127" i="57" s="1"/>
  <c r="AE127" i="57" a="1"/>
  <c r="AE127" i="57" s="1"/>
  <c r="AC127" i="57" a="1"/>
  <c r="AC127" i="57" s="1"/>
  <c r="AV127" i="57" a="1"/>
  <c r="AV127" i="57" s="1"/>
  <c r="AT127" i="57" a="1"/>
  <c r="AT127" i="57" s="1"/>
  <c r="AR127" i="57" a="1"/>
  <c r="AR127" i="57" s="1"/>
  <c r="AP127" i="57" a="1"/>
  <c r="AP127" i="57" s="1"/>
  <c r="AN127" i="57" a="1"/>
  <c r="AN127" i="57" s="1"/>
  <c r="AL127" i="57" a="1"/>
  <c r="AL127" i="57" s="1"/>
  <c r="AJ127" i="57" a="1"/>
  <c r="AJ127" i="57" s="1"/>
  <c r="AH127" i="57" a="1"/>
  <c r="AH127" i="57" s="1"/>
  <c r="AF127" i="57" a="1"/>
  <c r="AF127" i="57" s="1"/>
  <c r="AD127" i="57" a="1"/>
  <c r="AD127" i="57" s="1"/>
  <c r="AU232" i="57" a="1"/>
  <c r="AU232" i="57" s="1"/>
  <c r="AQ232" i="57" a="1"/>
  <c r="AQ232" i="57" s="1"/>
  <c r="AM232" i="57" a="1"/>
  <c r="AM232" i="57" s="1"/>
  <c r="AI232" i="57" a="1"/>
  <c r="AI232" i="57" s="1"/>
  <c r="AE232" i="57" a="1"/>
  <c r="AE232" i="57" s="1"/>
  <c r="AT232" i="57" a="1"/>
  <c r="AT232" i="57" s="1"/>
  <c r="AP232" i="57" a="1"/>
  <c r="AP232" i="57" s="1"/>
  <c r="AL232" i="57" a="1"/>
  <c r="AL232" i="57" s="1"/>
  <c r="AH232" i="57" a="1"/>
  <c r="AH232" i="57" s="1"/>
  <c r="AD232" i="57" a="1"/>
  <c r="AD232" i="57" s="1"/>
  <c r="AA233" i="57"/>
  <c r="AS232" i="57" a="1"/>
  <c r="AS232" i="57" s="1"/>
  <c r="AO232" i="57" a="1"/>
  <c r="AO232" i="57" s="1"/>
  <c r="AK232" i="57" a="1"/>
  <c r="AK232" i="57" s="1"/>
  <c r="AG232" i="57" a="1"/>
  <c r="AG232" i="57" s="1"/>
  <c r="AC232" i="57" a="1"/>
  <c r="AC232" i="57" s="1"/>
  <c r="AV232" i="57" a="1"/>
  <c r="AV232" i="57" s="1"/>
  <c r="AR232" i="57" a="1"/>
  <c r="AR232" i="57" s="1"/>
  <c r="AN232" i="57" a="1"/>
  <c r="AN232" i="57" s="1"/>
  <c r="AJ232" i="57" a="1"/>
  <c r="AJ232" i="57" s="1"/>
  <c r="AF232" i="57" a="1"/>
  <c r="AF232" i="57" s="1"/>
  <c r="AA78" i="57"/>
  <c r="AU77" i="57" a="1"/>
  <c r="AU77" i="57" s="1"/>
  <c r="AS77" i="57" a="1"/>
  <c r="AS77" i="57" s="1"/>
  <c r="AQ77" i="57" a="1"/>
  <c r="AQ77" i="57" s="1"/>
  <c r="AO77" i="57" a="1"/>
  <c r="AO77" i="57" s="1"/>
  <c r="AM77" i="57" a="1"/>
  <c r="AM77" i="57" s="1"/>
  <c r="AK77" i="57" a="1"/>
  <c r="AK77" i="57" s="1"/>
  <c r="AI77" i="57" a="1"/>
  <c r="AI77" i="57" s="1"/>
  <c r="AG77" i="57" a="1"/>
  <c r="AG77" i="57" s="1"/>
  <c r="AE77" i="57" a="1"/>
  <c r="AE77" i="57" s="1"/>
  <c r="AC77" i="57" a="1"/>
  <c r="AC77" i="57" s="1"/>
  <c r="AV77" i="57" a="1"/>
  <c r="AV77" i="57" s="1"/>
  <c r="AN77" i="57" a="1"/>
  <c r="AN77" i="57" s="1"/>
  <c r="AF77" i="57" a="1"/>
  <c r="AF77" i="57" s="1"/>
  <c r="AT77" i="57" a="1"/>
  <c r="AT77" i="57" s="1"/>
  <c r="AL77" i="57" a="1"/>
  <c r="AL77" i="57" s="1"/>
  <c r="AD77" i="57" a="1"/>
  <c r="AD77" i="57" s="1"/>
  <c r="AR77" i="57" a="1"/>
  <c r="AR77" i="57" s="1"/>
  <c r="AJ77" i="57" a="1"/>
  <c r="AJ77" i="57" s="1"/>
  <c r="AP77" i="57" a="1"/>
  <c r="AP77" i="57" s="1"/>
  <c r="AH77" i="57" a="1"/>
  <c r="AH77" i="57" s="1"/>
  <c r="AV88" i="57" a="1"/>
  <c r="AV88" i="57" s="1"/>
  <c r="AT88" i="57" a="1"/>
  <c r="AT88" i="57" s="1"/>
  <c r="AR88" i="57" a="1"/>
  <c r="AR88" i="57" s="1"/>
  <c r="AP88" i="57" a="1"/>
  <c r="AP88" i="57" s="1"/>
  <c r="AN88" i="57" a="1"/>
  <c r="AN88" i="57" s="1"/>
  <c r="AL88" i="57" a="1"/>
  <c r="AL88" i="57" s="1"/>
  <c r="AJ88" i="57" a="1"/>
  <c r="AJ88" i="57" s="1"/>
  <c r="AH88" i="57" a="1"/>
  <c r="AH88" i="57" s="1"/>
  <c r="AF88" i="57" a="1"/>
  <c r="AF88" i="57" s="1"/>
  <c r="AD88" i="57" a="1"/>
  <c r="AD88" i="57" s="1"/>
  <c r="AA89" i="57"/>
  <c r="AU88" i="57" a="1"/>
  <c r="AU88" i="57" s="1"/>
  <c r="AS88" i="57" a="1"/>
  <c r="AS88" i="57" s="1"/>
  <c r="AQ88" i="57" a="1"/>
  <c r="AQ88" i="57" s="1"/>
  <c r="AO88" i="57" a="1"/>
  <c r="AO88" i="57" s="1"/>
  <c r="AM88" i="57" a="1"/>
  <c r="AM88" i="57" s="1"/>
  <c r="AK88" i="57" a="1"/>
  <c r="AK88" i="57" s="1"/>
  <c r="AI88" i="57" a="1"/>
  <c r="AI88" i="57" s="1"/>
  <c r="AG88" i="57" a="1"/>
  <c r="AG88" i="57" s="1"/>
  <c r="AE88" i="57" a="1"/>
  <c r="AE88" i="57" s="1"/>
  <c r="AC88" i="57" a="1"/>
  <c r="AC88" i="57" s="1"/>
  <c r="AA12" i="57"/>
  <c r="AV11" i="57" a="1"/>
  <c r="AV11" i="57" s="1"/>
  <c r="AT11" i="57" a="1"/>
  <c r="AT11" i="57" s="1"/>
  <c r="AR11" i="57" a="1"/>
  <c r="AR11" i="57" s="1"/>
  <c r="AP11" i="57" a="1"/>
  <c r="AP11" i="57" s="1"/>
  <c r="AN11" i="57" a="1"/>
  <c r="AN11" i="57" s="1"/>
  <c r="AL11" i="57" a="1"/>
  <c r="AL11" i="57" s="1"/>
  <c r="AJ11" i="57" a="1"/>
  <c r="AJ11" i="57" s="1"/>
  <c r="AH11" i="57" a="1"/>
  <c r="AH11" i="57" s="1"/>
  <c r="AF11" i="57" a="1"/>
  <c r="AF11" i="57" s="1"/>
  <c r="AD11" i="57" a="1"/>
  <c r="AD11" i="57" s="1"/>
  <c r="AU11" i="57" a="1"/>
  <c r="AU11" i="57" s="1"/>
  <c r="AS11" i="57" a="1"/>
  <c r="AS11" i="57" s="1"/>
  <c r="AQ11" i="57" a="1"/>
  <c r="AQ11" i="57" s="1"/>
  <c r="AO11" i="57" a="1"/>
  <c r="AO11" i="57" s="1"/>
  <c r="AM11" i="57" a="1"/>
  <c r="AM11" i="57" s="1"/>
  <c r="AK11" i="57" a="1"/>
  <c r="AK11" i="57" s="1"/>
  <c r="AI11" i="57" a="1"/>
  <c r="AI11" i="57" s="1"/>
  <c r="AG11" i="57" a="1"/>
  <c r="AG11" i="57" s="1"/>
  <c r="AE11" i="57" a="1"/>
  <c r="AE11" i="57" s="1"/>
  <c r="AC11" i="57" a="1"/>
  <c r="AC11" i="57" s="1"/>
  <c r="AA310" i="57"/>
  <c r="AS309" i="57" a="1"/>
  <c r="AS309" i="57" s="1"/>
  <c r="AO309" i="57" a="1"/>
  <c r="AO309" i="57" s="1"/>
  <c r="AK309" i="57" a="1"/>
  <c r="AK309" i="57" s="1"/>
  <c r="AG309" i="57" a="1"/>
  <c r="AG309" i="57" s="1"/>
  <c r="AV309" i="57" a="1"/>
  <c r="AV309" i="57" s="1"/>
  <c r="AR309" i="57" a="1"/>
  <c r="AR309" i="57" s="1"/>
  <c r="AN309" i="57" a="1"/>
  <c r="AN309" i="57" s="1"/>
  <c r="AJ309" i="57" a="1"/>
  <c r="AJ309" i="57" s="1"/>
  <c r="AF309" i="57" a="1"/>
  <c r="AF309" i="57" s="1"/>
  <c r="AU309" i="57" a="1"/>
  <c r="AU309" i="57" s="1"/>
  <c r="AQ309" i="57" a="1"/>
  <c r="AQ309" i="57" s="1"/>
  <c r="AM309" i="57" a="1"/>
  <c r="AM309" i="57" s="1"/>
  <c r="AI309" i="57" a="1"/>
  <c r="AI309" i="57" s="1"/>
  <c r="AE309" i="57" a="1"/>
  <c r="AE309" i="57" s="1"/>
  <c r="AT309" i="57" a="1"/>
  <c r="AT309" i="57" s="1"/>
  <c r="AD309" i="57" a="1"/>
  <c r="AD309" i="57" s="1"/>
  <c r="AP309" i="57" a="1"/>
  <c r="AP309" i="57" s="1"/>
  <c r="AC309" i="57" a="1"/>
  <c r="AC309" i="57" s="1"/>
  <c r="AL309" i="57" a="1"/>
  <c r="AL309" i="57" s="1"/>
  <c r="AH309" i="57" a="1"/>
  <c r="AH309" i="57" s="1"/>
  <c r="AA206" i="57"/>
  <c r="AR205" i="57" a="1"/>
  <c r="AR205" i="57" s="1"/>
  <c r="AO205" i="57" a="1"/>
  <c r="AO205" i="57" s="1"/>
  <c r="AJ205" i="57" a="1"/>
  <c r="AJ205" i="57" s="1"/>
  <c r="AG205" i="57" a="1"/>
  <c r="AG205" i="57" s="1"/>
  <c r="AT205" i="57" a="1"/>
  <c r="AT205" i="57" s="1"/>
  <c r="AQ205" i="57" a="1"/>
  <c r="AQ205" i="57" s="1"/>
  <c r="AL205" i="57" a="1"/>
  <c r="AL205" i="57" s="1"/>
  <c r="AI205" i="57" a="1"/>
  <c r="AI205" i="57" s="1"/>
  <c r="AD205" i="57" a="1"/>
  <c r="AD205" i="57" s="1"/>
  <c r="AV205" i="57" a="1"/>
  <c r="AV205" i="57" s="1"/>
  <c r="AS205" i="57" a="1"/>
  <c r="AS205" i="57" s="1"/>
  <c r="AN205" i="57" a="1"/>
  <c r="AN205" i="57" s="1"/>
  <c r="AK205" i="57" a="1"/>
  <c r="AK205" i="57" s="1"/>
  <c r="AF205" i="57" a="1"/>
  <c r="AF205" i="57" s="1"/>
  <c r="AC205" i="57" a="1"/>
  <c r="AC205" i="57" s="1"/>
  <c r="AU205" i="57" a="1"/>
  <c r="AU205" i="57" s="1"/>
  <c r="AP205" i="57" a="1"/>
  <c r="AP205" i="57" s="1"/>
  <c r="AM205" i="57" a="1"/>
  <c r="AM205" i="57" s="1"/>
  <c r="AH205" i="57" a="1"/>
  <c r="AH205" i="57" s="1"/>
  <c r="AE205" i="57" a="1"/>
  <c r="AE205" i="57" s="1"/>
  <c r="AA285" i="57"/>
  <c r="AT284" i="57" a="1"/>
  <c r="AT284" i="57" s="1"/>
  <c r="AO284" i="57" a="1"/>
  <c r="AO284" i="57" s="1"/>
  <c r="AL284" i="57" a="1"/>
  <c r="AL284" i="57" s="1"/>
  <c r="AG284" i="57" a="1"/>
  <c r="AG284" i="57" s="1"/>
  <c r="AD284" i="57" a="1"/>
  <c r="AD284" i="57" s="1"/>
  <c r="AV284" i="57" a="1"/>
  <c r="AV284" i="57" s="1"/>
  <c r="AQ284" i="57" a="1"/>
  <c r="AQ284" i="57" s="1"/>
  <c r="AN284" i="57" a="1"/>
  <c r="AN284" i="57" s="1"/>
  <c r="AI284" i="57" a="1"/>
  <c r="AI284" i="57" s="1"/>
  <c r="AF284" i="57" a="1"/>
  <c r="AF284" i="57" s="1"/>
  <c r="AS284" i="57" a="1"/>
  <c r="AS284" i="57" s="1"/>
  <c r="AP284" i="57" a="1"/>
  <c r="AP284" i="57" s="1"/>
  <c r="AK284" i="57" a="1"/>
  <c r="AK284" i="57" s="1"/>
  <c r="AH284" i="57" a="1"/>
  <c r="AH284" i="57" s="1"/>
  <c r="AC284" i="57" a="1"/>
  <c r="AC284" i="57" s="1"/>
  <c r="AU284" i="57" a="1"/>
  <c r="AU284" i="57" s="1"/>
  <c r="AR284" i="57" a="1"/>
  <c r="AR284" i="57" s="1"/>
  <c r="AM284" i="57" a="1"/>
  <c r="AM284" i="57" s="1"/>
  <c r="AJ284" i="57" a="1"/>
  <c r="AJ284" i="57" s="1"/>
  <c r="AE284" i="57" a="1"/>
  <c r="AE284" i="57" s="1"/>
  <c r="AV166" i="57" a="1"/>
  <c r="AV166" i="57" s="1"/>
  <c r="AT166" i="57" a="1"/>
  <c r="AT166" i="57" s="1"/>
  <c r="AR166" i="57" a="1"/>
  <c r="AR166" i="57" s="1"/>
  <c r="AP166" i="57" a="1"/>
  <c r="AP166" i="57" s="1"/>
  <c r="AN166" i="57" a="1"/>
  <c r="AN166" i="57" s="1"/>
  <c r="AL166" i="57" a="1"/>
  <c r="AL166" i="57" s="1"/>
  <c r="AJ166" i="57" a="1"/>
  <c r="AJ166" i="57" s="1"/>
  <c r="AH166" i="57" a="1"/>
  <c r="AH166" i="57" s="1"/>
  <c r="AF166" i="57" a="1"/>
  <c r="AF166" i="57" s="1"/>
  <c r="AD166" i="57" a="1"/>
  <c r="AD166" i="57" s="1"/>
  <c r="AA167" i="57"/>
  <c r="AU166" i="57" a="1"/>
  <c r="AU166" i="57" s="1"/>
  <c r="AS166" i="57" a="1"/>
  <c r="AS166" i="57" s="1"/>
  <c r="AQ166" i="57" a="1"/>
  <c r="AQ166" i="57" s="1"/>
  <c r="AO166" i="57" a="1"/>
  <c r="AO166" i="57" s="1"/>
  <c r="AM166" i="57" a="1"/>
  <c r="AM166" i="57" s="1"/>
  <c r="AK166" i="57" a="1"/>
  <c r="AK166" i="57" s="1"/>
  <c r="AI166" i="57" a="1"/>
  <c r="AI166" i="57" s="1"/>
  <c r="AG166" i="57" a="1"/>
  <c r="AG166" i="57" s="1"/>
  <c r="AE166" i="57" a="1"/>
  <c r="AE166" i="57" s="1"/>
  <c r="AC166" i="57" a="1"/>
  <c r="AC166" i="57" s="1"/>
  <c r="AV101" i="57" a="1"/>
  <c r="AV101" i="57" s="1"/>
  <c r="AT101" i="57" a="1"/>
  <c r="AT101" i="57" s="1"/>
  <c r="AR101" i="57" a="1"/>
  <c r="AR101" i="57" s="1"/>
  <c r="AP101" i="57" a="1"/>
  <c r="AP101" i="57" s="1"/>
  <c r="AN101" i="57" a="1"/>
  <c r="AN101" i="57" s="1"/>
  <c r="AL101" i="57" a="1"/>
  <c r="AL101" i="57" s="1"/>
  <c r="AJ101" i="57" a="1"/>
  <c r="AJ101" i="57" s="1"/>
  <c r="AH101" i="57" a="1"/>
  <c r="AH101" i="57" s="1"/>
  <c r="AF101" i="57" a="1"/>
  <c r="AF101" i="57" s="1"/>
  <c r="AD101" i="57" a="1"/>
  <c r="AD101" i="57" s="1"/>
  <c r="AA102" i="57"/>
  <c r="AU101" i="57" a="1"/>
  <c r="AU101" i="57" s="1"/>
  <c r="AS101" i="57" a="1"/>
  <c r="AS101" i="57" s="1"/>
  <c r="AQ101" i="57" a="1"/>
  <c r="AQ101" i="57" s="1"/>
  <c r="AO101" i="57" a="1"/>
  <c r="AO101" i="57" s="1"/>
  <c r="AM101" i="57" a="1"/>
  <c r="AM101" i="57" s="1"/>
  <c r="AK101" i="57" a="1"/>
  <c r="AK101" i="57" s="1"/>
  <c r="AI101" i="57" a="1"/>
  <c r="AI101" i="57" s="1"/>
  <c r="AG101" i="57" a="1"/>
  <c r="AG101" i="57" s="1"/>
  <c r="AE101" i="57" a="1"/>
  <c r="AE101" i="57" s="1"/>
  <c r="AC101" i="57" a="1"/>
  <c r="AC101" i="57" s="1"/>
  <c r="AA37" i="57"/>
  <c r="AU36" i="57" a="1"/>
  <c r="AU36" i="57" s="1"/>
  <c r="AS36" i="57" a="1"/>
  <c r="AS36" i="57" s="1"/>
  <c r="AQ36" i="57" a="1"/>
  <c r="AQ36" i="57" s="1"/>
  <c r="AO36" i="57" a="1"/>
  <c r="AO36" i="57" s="1"/>
  <c r="AM36" i="57" a="1"/>
  <c r="AM36" i="57" s="1"/>
  <c r="AK36" i="57" a="1"/>
  <c r="AK36" i="57" s="1"/>
  <c r="AI36" i="57" a="1"/>
  <c r="AI36" i="57" s="1"/>
  <c r="AG36" i="57" a="1"/>
  <c r="AG36" i="57" s="1"/>
  <c r="AE36" i="57" a="1"/>
  <c r="AE36" i="57" s="1"/>
  <c r="AC36" i="57" a="1"/>
  <c r="AC36" i="57" s="1"/>
  <c r="AT36" i="57" a="1"/>
  <c r="AT36" i="57" s="1"/>
  <c r="AL36" i="57" a="1"/>
  <c r="AL36" i="57" s="1"/>
  <c r="AD36" i="57" a="1"/>
  <c r="AD36" i="57" s="1"/>
  <c r="AV36" i="57" a="1"/>
  <c r="AV36" i="57" s="1"/>
  <c r="AN36" i="57" a="1"/>
  <c r="AN36" i="57" s="1"/>
  <c r="AF36" i="57" a="1"/>
  <c r="AF36" i="57" s="1"/>
  <c r="AP36" i="57" a="1"/>
  <c r="AP36" i="57" s="1"/>
  <c r="AH36" i="57" a="1"/>
  <c r="AH36" i="57" s="1"/>
  <c r="AR36" i="57" a="1"/>
  <c r="AR36" i="57" s="1"/>
  <c r="AJ36" i="57" a="1"/>
  <c r="AJ36" i="57" s="1"/>
  <c r="AU116" i="57" a="1"/>
  <c r="AU116" i="57" s="1"/>
  <c r="AQ116" i="57" a="1"/>
  <c r="AQ116" i="57" s="1"/>
  <c r="AM116" i="57" a="1"/>
  <c r="AM116" i="57" s="1"/>
  <c r="AI116" i="57" a="1"/>
  <c r="AI116" i="57" s="1"/>
  <c r="AE116" i="57" a="1"/>
  <c r="AE116" i="57" s="1"/>
  <c r="AT116" i="57" a="1"/>
  <c r="AT116" i="57" s="1"/>
  <c r="AP116" i="57" a="1"/>
  <c r="AP116" i="57" s="1"/>
  <c r="AL116" i="57" a="1"/>
  <c r="AL116" i="57" s="1"/>
  <c r="AH116" i="57" a="1"/>
  <c r="AH116" i="57" s="1"/>
  <c r="AD116" i="57" a="1"/>
  <c r="AD116" i="57" s="1"/>
  <c r="AA117" i="57"/>
  <c r="AS116" i="57" a="1"/>
  <c r="AS116" i="57" s="1"/>
  <c r="AO116" i="57" a="1"/>
  <c r="AO116" i="57" s="1"/>
  <c r="AK116" i="57" a="1"/>
  <c r="AK116" i="57" s="1"/>
  <c r="AG116" i="57" a="1"/>
  <c r="AG116" i="57" s="1"/>
  <c r="AC116" i="57" a="1"/>
  <c r="AC116" i="57" s="1"/>
  <c r="AV116" i="57" a="1"/>
  <c r="AV116" i="57" s="1"/>
  <c r="AR116" i="57" a="1"/>
  <c r="AR116" i="57" s="1"/>
  <c r="AN116" i="57" a="1"/>
  <c r="AN116" i="57" s="1"/>
  <c r="AJ116" i="57" a="1"/>
  <c r="AJ116" i="57" s="1"/>
  <c r="AF116" i="57" a="1"/>
  <c r="AF116" i="57" s="1"/>
  <c r="AT49" i="57" a="1"/>
  <c r="AT49" i="57" s="1"/>
  <c r="AP49" i="57" a="1"/>
  <c r="AP49" i="57" s="1"/>
  <c r="AL49" i="57" a="1"/>
  <c r="AL49" i="57" s="1"/>
  <c r="AH49" i="57" a="1"/>
  <c r="AH49" i="57" s="1"/>
  <c r="AD49" i="57" a="1"/>
  <c r="AD49" i="57" s="1"/>
  <c r="AA50" i="57"/>
  <c r="AS49" i="57" a="1"/>
  <c r="AS49" i="57" s="1"/>
  <c r="AO49" i="57" a="1"/>
  <c r="AO49" i="57" s="1"/>
  <c r="AK49" i="57" a="1"/>
  <c r="AK49" i="57" s="1"/>
  <c r="AG49" i="57" a="1"/>
  <c r="AG49" i="57" s="1"/>
  <c r="AC49" i="57" a="1"/>
  <c r="AC49" i="57" s="1"/>
  <c r="AV49" i="57" a="1"/>
  <c r="AV49" i="57" s="1"/>
  <c r="AR49" i="57" a="1"/>
  <c r="AR49" i="57" s="1"/>
  <c r="AN49" i="57" a="1"/>
  <c r="AN49" i="57" s="1"/>
  <c r="AJ49" i="57" a="1"/>
  <c r="AJ49" i="57" s="1"/>
  <c r="AF49" i="57" a="1"/>
  <c r="AF49" i="57" s="1"/>
  <c r="AU49" i="57" a="1"/>
  <c r="AU49" i="57" s="1"/>
  <c r="AQ49" i="57" a="1"/>
  <c r="AQ49" i="57" s="1"/>
  <c r="AM49" i="57" a="1"/>
  <c r="AM49" i="57" s="1"/>
  <c r="AI49" i="57" a="1"/>
  <c r="AI49" i="57" s="1"/>
  <c r="AE49" i="57" a="1"/>
  <c r="AE49" i="57" s="1"/>
  <c r="AA63" i="57"/>
  <c r="AU62" i="57" a="1"/>
  <c r="AU62" i="57" s="1"/>
  <c r="AS62" i="57" a="1"/>
  <c r="AS62" i="57" s="1"/>
  <c r="AQ62" i="57" a="1"/>
  <c r="AQ62" i="57" s="1"/>
  <c r="AO62" i="57" a="1"/>
  <c r="AO62" i="57" s="1"/>
  <c r="AM62" i="57" a="1"/>
  <c r="AM62" i="57" s="1"/>
  <c r="AK62" i="57" a="1"/>
  <c r="AK62" i="57" s="1"/>
  <c r="AI62" i="57" a="1"/>
  <c r="AI62" i="57" s="1"/>
  <c r="AG62" i="57" a="1"/>
  <c r="AG62" i="57" s="1"/>
  <c r="AE62" i="57" a="1"/>
  <c r="AE62" i="57" s="1"/>
  <c r="AC62" i="57" a="1"/>
  <c r="AC62" i="57" s="1"/>
  <c r="AV62" i="57" a="1"/>
  <c r="AV62" i="57" s="1"/>
  <c r="AT62" i="57" a="1"/>
  <c r="AT62" i="57" s="1"/>
  <c r="AR62" i="57" a="1"/>
  <c r="AR62" i="57" s="1"/>
  <c r="AP62" i="57" a="1"/>
  <c r="AP62" i="57" s="1"/>
  <c r="AN62" i="57" a="1"/>
  <c r="AN62" i="57" s="1"/>
  <c r="AL62" i="57" a="1"/>
  <c r="AL62" i="57" s="1"/>
  <c r="AJ62" i="57" a="1"/>
  <c r="AJ62" i="57" s="1"/>
  <c r="AH62" i="57" a="1"/>
  <c r="AH62" i="57" s="1"/>
  <c r="AF62" i="57" a="1"/>
  <c r="AF62" i="57" s="1"/>
  <c r="AD62" i="57" a="1"/>
  <c r="AD62" i="57" s="1"/>
  <c r="AA298" i="57"/>
  <c r="AT297" i="57" a="1"/>
  <c r="AT297" i="57" s="1"/>
  <c r="AO297" i="57" a="1"/>
  <c r="AO297" i="57" s="1"/>
  <c r="AL297" i="57" a="1"/>
  <c r="AL297" i="57" s="1"/>
  <c r="AG297" i="57" a="1"/>
  <c r="AG297" i="57" s="1"/>
  <c r="AD297" i="57" a="1"/>
  <c r="AD297" i="57" s="1"/>
  <c r="AV297" i="57" a="1"/>
  <c r="AV297" i="57" s="1"/>
  <c r="AQ297" i="57" a="1"/>
  <c r="AQ297" i="57" s="1"/>
  <c r="AN297" i="57" a="1"/>
  <c r="AN297" i="57" s="1"/>
  <c r="AI297" i="57" a="1"/>
  <c r="AI297" i="57" s="1"/>
  <c r="AF297" i="57" a="1"/>
  <c r="AF297" i="57" s="1"/>
  <c r="AU297" i="57" a="1"/>
  <c r="AU297" i="57" s="1"/>
  <c r="AR297" i="57" a="1"/>
  <c r="AR297" i="57" s="1"/>
  <c r="AM297" i="57" a="1"/>
  <c r="AM297" i="57" s="1"/>
  <c r="AJ297" i="57" a="1"/>
  <c r="AJ297" i="57" s="1"/>
  <c r="AE297" i="57" a="1"/>
  <c r="AE297" i="57" s="1"/>
  <c r="AP297" i="57" a="1"/>
  <c r="AP297" i="57" s="1"/>
  <c r="AC297" i="57" a="1"/>
  <c r="AC297" i="57" s="1"/>
  <c r="AK297" i="57" a="1"/>
  <c r="AK297" i="57" s="1"/>
  <c r="AS297" i="57" a="1"/>
  <c r="AS297" i="57" s="1"/>
  <c r="AH297" i="57" a="1"/>
  <c r="AH297" i="57" s="1"/>
  <c r="AA194" i="57"/>
  <c r="AU193" i="57" a="1"/>
  <c r="AU193" i="57" s="1"/>
  <c r="AS193" i="57" a="1"/>
  <c r="AS193" i="57" s="1"/>
  <c r="AQ193" i="57" a="1"/>
  <c r="AQ193" i="57" s="1"/>
  <c r="AO193" i="57" a="1"/>
  <c r="AO193" i="57" s="1"/>
  <c r="AM193" i="57" a="1"/>
  <c r="AM193" i="57" s="1"/>
  <c r="AK193" i="57" a="1"/>
  <c r="AK193" i="57" s="1"/>
  <c r="AI193" i="57" a="1"/>
  <c r="AI193" i="57" s="1"/>
  <c r="AG193" i="57" a="1"/>
  <c r="AG193" i="57" s="1"/>
  <c r="AE193" i="57" a="1"/>
  <c r="AE193" i="57" s="1"/>
  <c r="AC193" i="57" a="1"/>
  <c r="AC193" i="57" s="1"/>
  <c r="AV193" i="57" a="1"/>
  <c r="AV193" i="57" s="1"/>
  <c r="AR193" i="57" a="1"/>
  <c r="AR193" i="57" s="1"/>
  <c r="AN193" i="57" a="1"/>
  <c r="AN193" i="57" s="1"/>
  <c r="AJ193" i="57" a="1"/>
  <c r="AJ193" i="57" s="1"/>
  <c r="AF193" i="57" a="1"/>
  <c r="AF193" i="57" s="1"/>
  <c r="AT193" i="57" a="1"/>
  <c r="AT193" i="57" s="1"/>
  <c r="AP193" i="57" a="1"/>
  <c r="AP193" i="57" s="1"/>
  <c r="AL193" i="57" a="1"/>
  <c r="AL193" i="57" s="1"/>
  <c r="AH193" i="57" a="1"/>
  <c r="AH193" i="57" s="1"/>
  <c r="AD193" i="57" a="1"/>
  <c r="AD193" i="57" s="1"/>
  <c r="AV24" i="57" l="1" a="1"/>
  <c r="AV24" i="57" s="1"/>
  <c r="AF24" i="57" a="1"/>
  <c r="AF24" i="57" s="1"/>
  <c r="AK24" i="57" a="1"/>
  <c r="AK24" i="57" s="1"/>
  <c r="AO24" i="57" a="1"/>
  <c r="AO24" i="57" s="1"/>
  <c r="AP24" i="57" a="1"/>
  <c r="AP24" i="57" s="1"/>
  <c r="AL24" i="57" a="1"/>
  <c r="AL24" i="57" s="1"/>
  <c r="AC24" i="57" a="1"/>
  <c r="AC24" i="57" s="1"/>
  <c r="AN24" i="57" a="1"/>
  <c r="AN24" i="57" s="1"/>
  <c r="AH24" i="57" a="1"/>
  <c r="AH24" i="57" s="1"/>
  <c r="AU24" i="57" a="1"/>
  <c r="AU24" i="57" s="1"/>
  <c r="AE24" i="57" a="1"/>
  <c r="AE24" i="57" s="1"/>
  <c r="AG24" i="57" a="1"/>
  <c r="AG24" i="57" s="1"/>
  <c r="AA25" i="57"/>
  <c r="AI24" i="57" a="1"/>
  <c r="AI24" i="57" s="1"/>
  <c r="AS24" i="57" a="1"/>
  <c r="AS24" i="57" s="1"/>
  <c r="AR24" i="57" a="1"/>
  <c r="AR24" i="57" s="1"/>
  <c r="AT24" i="57" a="1"/>
  <c r="AT24" i="57" s="1"/>
  <c r="AD24" i="57" a="1"/>
  <c r="AD24" i="57" s="1"/>
  <c r="AM24" i="57" a="1"/>
  <c r="AM24" i="57" s="1"/>
  <c r="AQ24" i="57" a="1"/>
  <c r="AQ24" i="57" s="1"/>
  <c r="AJ24" i="57" a="1"/>
  <c r="AJ24" i="57" s="1"/>
  <c r="AA299" i="57"/>
  <c r="AR298" i="57" a="1"/>
  <c r="AR298" i="57" s="1"/>
  <c r="AO298" i="57" a="1"/>
  <c r="AO298" i="57" s="1"/>
  <c r="AJ298" i="57" a="1"/>
  <c r="AJ298" i="57" s="1"/>
  <c r="AG298" i="57" a="1"/>
  <c r="AG298" i="57" s="1"/>
  <c r="AT298" i="57" a="1"/>
  <c r="AT298" i="57" s="1"/>
  <c r="AQ298" i="57" a="1"/>
  <c r="AQ298" i="57" s="1"/>
  <c r="AL298" i="57" a="1"/>
  <c r="AL298" i="57" s="1"/>
  <c r="AI298" i="57" a="1"/>
  <c r="AI298" i="57" s="1"/>
  <c r="AD298" i="57" a="1"/>
  <c r="AD298" i="57" s="1"/>
  <c r="AU298" i="57" a="1"/>
  <c r="AU298" i="57" s="1"/>
  <c r="AP298" i="57" a="1"/>
  <c r="AP298" i="57" s="1"/>
  <c r="AM298" i="57" a="1"/>
  <c r="AM298" i="57" s="1"/>
  <c r="AH298" i="57" a="1"/>
  <c r="AH298" i="57" s="1"/>
  <c r="AE298" i="57" a="1"/>
  <c r="AE298" i="57" s="1"/>
  <c r="AF298" i="57" a="1"/>
  <c r="AF298" i="57" s="1"/>
  <c r="AN298" i="57" a="1"/>
  <c r="AN298" i="57" s="1"/>
  <c r="AC298" i="57" a="1"/>
  <c r="AC298" i="57" s="1"/>
  <c r="AV298" i="57" a="1"/>
  <c r="AV298" i="57" s="1"/>
  <c r="AK298" i="57" a="1"/>
  <c r="AK298" i="57" s="1"/>
  <c r="AS298" i="57" a="1"/>
  <c r="AS298" i="57" s="1"/>
  <c r="AT117" i="57" a="1"/>
  <c r="AT117" i="57" s="1"/>
  <c r="AP117" i="57" a="1"/>
  <c r="AP117" i="57" s="1"/>
  <c r="AL117" i="57" a="1"/>
  <c r="AL117" i="57" s="1"/>
  <c r="AH117" i="57" a="1"/>
  <c r="AH117" i="57" s="1"/>
  <c r="AD117" i="57" a="1"/>
  <c r="AD117" i="57" s="1"/>
  <c r="AA118" i="57"/>
  <c r="AS117" i="57" a="1"/>
  <c r="AS117" i="57" s="1"/>
  <c r="AO117" i="57" a="1"/>
  <c r="AO117" i="57" s="1"/>
  <c r="AK117" i="57" a="1"/>
  <c r="AK117" i="57" s="1"/>
  <c r="AG117" i="57" a="1"/>
  <c r="AG117" i="57" s="1"/>
  <c r="AC117" i="57" a="1"/>
  <c r="AC117" i="57" s="1"/>
  <c r="AV117" i="57" a="1"/>
  <c r="AV117" i="57" s="1"/>
  <c r="AR117" i="57" a="1"/>
  <c r="AR117" i="57" s="1"/>
  <c r="AN117" i="57" a="1"/>
  <c r="AN117" i="57" s="1"/>
  <c r="AJ117" i="57" a="1"/>
  <c r="AJ117" i="57" s="1"/>
  <c r="AF117" i="57" a="1"/>
  <c r="AF117" i="57" s="1"/>
  <c r="AU117" i="57" a="1"/>
  <c r="AU117" i="57" s="1"/>
  <c r="AQ117" i="57" a="1"/>
  <c r="AQ117" i="57" s="1"/>
  <c r="AM117" i="57" a="1"/>
  <c r="AM117" i="57" s="1"/>
  <c r="BB110" i="57" s="1"/>
  <c r="BR14" i="57" s="1"/>
  <c r="AI117" i="57" a="1"/>
  <c r="AI117" i="57" s="1"/>
  <c r="AE117" i="57" a="1"/>
  <c r="AE117" i="57" s="1"/>
  <c r="AZ110" i="57" s="1"/>
  <c r="BP14" i="57" s="1"/>
  <c r="AA168" i="57"/>
  <c r="AU167" i="57" a="1"/>
  <c r="AU167" i="57" s="1"/>
  <c r="AS167" i="57" a="1"/>
  <c r="AS167" i="57" s="1"/>
  <c r="AQ167" i="57" a="1"/>
  <c r="AQ167" i="57" s="1"/>
  <c r="AO167" i="57" a="1"/>
  <c r="AO167" i="57" s="1"/>
  <c r="AM167" i="57" a="1"/>
  <c r="AM167" i="57" s="1"/>
  <c r="AK167" i="57" a="1"/>
  <c r="AK167" i="57" s="1"/>
  <c r="AI167" i="57" a="1"/>
  <c r="AI167" i="57" s="1"/>
  <c r="AG167" i="57" a="1"/>
  <c r="AG167" i="57" s="1"/>
  <c r="AE167" i="57" a="1"/>
  <c r="AE167" i="57" s="1"/>
  <c r="AC167" i="57" a="1"/>
  <c r="AC167" i="57" s="1"/>
  <c r="AV167" i="57" a="1"/>
  <c r="AV167" i="57" s="1"/>
  <c r="AT167" i="57" a="1"/>
  <c r="AT167" i="57" s="1"/>
  <c r="AR167" i="57" a="1"/>
  <c r="AR167" i="57" s="1"/>
  <c r="AP167" i="57" a="1"/>
  <c r="AP167" i="57" s="1"/>
  <c r="AN167" i="57" a="1"/>
  <c r="AN167" i="57" s="1"/>
  <c r="AL167" i="57" a="1"/>
  <c r="AL167" i="57" s="1"/>
  <c r="AJ167" i="57" a="1"/>
  <c r="AJ167" i="57" s="1"/>
  <c r="AH167" i="57" a="1"/>
  <c r="AH167" i="57" s="1"/>
  <c r="AF167" i="57" a="1"/>
  <c r="AF167" i="57" s="1"/>
  <c r="AD167" i="57" a="1"/>
  <c r="AD167" i="57" s="1"/>
  <c r="AU206" i="57" a="1"/>
  <c r="AU206" i="57" s="1"/>
  <c r="AR206" i="57" a="1"/>
  <c r="AR206" i="57" s="1"/>
  <c r="AM206" i="57" a="1"/>
  <c r="AM206" i="57" s="1"/>
  <c r="AJ206" i="57" a="1"/>
  <c r="AJ206" i="57" s="1"/>
  <c r="AE206" i="57" a="1"/>
  <c r="AE206" i="57" s="1"/>
  <c r="AA207" i="57"/>
  <c r="AT206" i="57" a="1"/>
  <c r="AT206" i="57" s="1"/>
  <c r="AO206" i="57" a="1"/>
  <c r="AO206" i="57" s="1"/>
  <c r="AL206" i="57" a="1"/>
  <c r="AL206" i="57" s="1"/>
  <c r="AG206" i="57" a="1"/>
  <c r="AG206" i="57" s="1"/>
  <c r="AD206" i="57" a="1"/>
  <c r="AD206" i="57" s="1"/>
  <c r="AV206" i="57" a="1"/>
  <c r="AV206" i="57" s="1"/>
  <c r="AQ206" i="57" a="1"/>
  <c r="AQ206" i="57" s="1"/>
  <c r="AN206" i="57" a="1"/>
  <c r="AN206" i="57" s="1"/>
  <c r="AI206" i="57" a="1"/>
  <c r="AI206" i="57" s="1"/>
  <c r="AF206" i="57" a="1"/>
  <c r="AF206" i="57" s="1"/>
  <c r="AS206" i="57" a="1"/>
  <c r="AS206" i="57" s="1"/>
  <c r="AP206" i="57" a="1"/>
  <c r="AP206" i="57" s="1"/>
  <c r="AK206" i="57" a="1"/>
  <c r="AK206" i="57" s="1"/>
  <c r="AH206" i="57" a="1"/>
  <c r="AH206" i="57" s="1"/>
  <c r="AC206" i="57" a="1"/>
  <c r="AC206" i="57" s="1"/>
  <c r="AU12" i="57" a="1"/>
  <c r="AU12" i="57" s="1"/>
  <c r="AS12" i="57" a="1"/>
  <c r="AS12" i="57" s="1"/>
  <c r="AQ12" i="57" a="1"/>
  <c r="AQ12" i="57" s="1"/>
  <c r="AO12" i="57" a="1"/>
  <c r="AO12" i="57" s="1"/>
  <c r="AM12" i="57" a="1"/>
  <c r="AM12" i="57" s="1"/>
  <c r="AK12" i="57" a="1"/>
  <c r="AK12" i="57" s="1"/>
  <c r="AR12" i="57" a="1"/>
  <c r="AR12" i="57" s="1"/>
  <c r="AJ12" i="57" a="1"/>
  <c r="AJ12" i="57" s="1"/>
  <c r="AH12" i="57" a="1"/>
  <c r="AH12" i="57" s="1"/>
  <c r="AF12" i="57" a="1"/>
  <c r="AF12" i="57" s="1"/>
  <c r="AD12" i="57" a="1"/>
  <c r="AD12" i="57" s="1"/>
  <c r="AL12" i="57" a="1"/>
  <c r="AL12" i="57" s="1"/>
  <c r="AA13" i="57"/>
  <c r="AV12" i="57" a="1"/>
  <c r="AV12" i="57" s="1"/>
  <c r="AN12" i="57" a="1"/>
  <c r="AN12" i="57" s="1"/>
  <c r="AI12" i="57" a="1"/>
  <c r="AI12" i="57" s="1"/>
  <c r="AG12" i="57" a="1"/>
  <c r="AG12" i="57" s="1"/>
  <c r="AE12" i="57" a="1"/>
  <c r="AE12" i="57" s="1"/>
  <c r="AC12" i="57" a="1"/>
  <c r="AC12" i="57" s="1"/>
  <c r="AP12" i="57" a="1"/>
  <c r="AP12" i="57" s="1"/>
  <c r="AT12" i="57" a="1"/>
  <c r="AT12" i="57" s="1"/>
  <c r="AA90" i="57"/>
  <c r="AU89" i="57" a="1"/>
  <c r="AU89" i="57" s="1"/>
  <c r="AS89" i="57" a="1"/>
  <c r="AS89" i="57" s="1"/>
  <c r="AQ89" i="57" a="1"/>
  <c r="AQ89" i="57" s="1"/>
  <c r="AO89" i="57" a="1"/>
  <c r="AO89" i="57" s="1"/>
  <c r="AM89" i="57" a="1"/>
  <c r="AM89" i="57" s="1"/>
  <c r="AK89" i="57" a="1"/>
  <c r="AK89" i="57" s="1"/>
  <c r="AI89" i="57" a="1"/>
  <c r="AI89" i="57" s="1"/>
  <c r="AG89" i="57" a="1"/>
  <c r="AG89" i="57" s="1"/>
  <c r="AE89" i="57" a="1"/>
  <c r="AE89" i="57" s="1"/>
  <c r="AC89" i="57" a="1"/>
  <c r="AC89" i="57" s="1"/>
  <c r="AV89" i="57" a="1"/>
  <c r="AV89" i="57" s="1"/>
  <c r="AT89" i="57" a="1"/>
  <c r="AT89" i="57" s="1"/>
  <c r="AR89" i="57" a="1"/>
  <c r="AR89" i="57" s="1"/>
  <c r="AP89" i="57" a="1"/>
  <c r="AP89" i="57" s="1"/>
  <c r="AN89" i="57" a="1"/>
  <c r="AN89" i="57" s="1"/>
  <c r="AL89" i="57" a="1"/>
  <c r="AL89" i="57" s="1"/>
  <c r="AJ89" i="57" a="1"/>
  <c r="AJ89" i="57" s="1"/>
  <c r="AH89" i="57" a="1"/>
  <c r="AH89" i="57" s="1"/>
  <c r="AF89" i="57" a="1"/>
  <c r="AF89" i="57" s="1"/>
  <c r="AD89" i="57" a="1"/>
  <c r="AD89" i="57" s="1"/>
  <c r="AV78" i="57" a="1"/>
  <c r="AV78" i="57" s="1"/>
  <c r="AT78" i="57" a="1"/>
  <c r="AT78" i="57" s="1"/>
  <c r="AR78" i="57" a="1"/>
  <c r="AR78" i="57" s="1"/>
  <c r="AP78" i="57" a="1"/>
  <c r="AP78" i="57" s="1"/>
  <c r="AN78" i="57" a="1"/>
  <c r="AN78" i="57" s="1"/>
  <c r="AL78" i="57" a="1"/>
  <c r="AL78" i="57" s="1"/>
  <c r="AJ78" i="57" a="1"/>
  <c r="AJ78" i="57" s="1"/>
  <c r="AH78" i="57" a="1"/>
  <c r="AH78" i="57" s="1"/>
  <c r="AF78" i="57" a="1"/>
  <c r="AF78" i="57" s="1"/>
  <c r="AD78" i="57" a="1"/>
  <c r="AD78" i="57" s="1"/>
  <c r="AQ78" i="57" a="1"/>
  <c r="AQ78" i="57" s="1"/>
  <c r="AI78" i="57" a="1"/>
  <c r="AI78" i="57" s="1"/>
  <c r="AA79" i="57"/>
  <c r="AO78" i="57" a="1"/>
  <c r="AO78" i="57" s="1"/>
  <c r="AG78" i="57" a="1"/>
  <c r="AG78" i="57" s="1"/>
  <c r="AU78" i="57" a="1"/>
  <c r="AU78" i="57" s="1"/>
  <c r="AM78" i="57" a="1"/>
  <c r="AM78" i="57" s="1"/>
  <c r="AE78" i="57" a="1"/>
  <c r="AE78" i="57" s="1"/>
  <c r="AS78" i="57" a="1"/>
  <c r="AS78" i="57" s="1"/>
  <c r="AK78" i="57" a="1"/>
  <c r="AK78" i="57" s="1"/>
  <c r="AC78" i="57" a="1"/>
  <c r="AC78" i="57" s="1"/>
  <c r="AA221" i="57"/>
  <c r="AA182" i="57"/>
  <c r="AU181" i="57" a="1"/>
  <c r="AU181" i="57" s="1"/>
  <c r="AS181" i="57" a="1"/>
  <c r="AS181" i="57" s="1"/>
  <c r="AQ181" i="57" a="1"/>
  <c r="AQ181" i="57" s="1"/>
  <c r="AO181" i="57" a="1"/>
  <c r="AO181" i="57" s="1"/>
  <c r="AM181" i="57" a="1"/>
  <c r="AM181" i="57" s="1"/>
  <c r="AK181" i="57" a="1"/>
  <c r="AK181" i="57" s="1"/>
  <c r="AI181" i="57" a="1"/>
  <c r="AI181" i="57" s="1"/>
  <c r="AG181" i="57" a="1"/>
  <c r="AG181" i="57" s="1"/>
  <c r="AE181" i="57" a="1"/>
  <c r="AE181" i="57" s="1"/>
  <c r="AC181" i="57" a="1"/>
  <c r="AC181" i="57" s="1"/>
  <c r="AV181" i="57" a="1"/>
  <c r="AV181" i="57" s="1"/>
  <c r="AT181" i="57" a="1"/>
  <c r="AT181" i="57" s="1"/>
  <c r="AR181" i="57" a="1"/>
  <c r="AR181" i="57" s="1"/>
  <c r="AP181" i="57" a="1"/>
  <c r="AP181" i="57" s="1"/>
  <c r="AN181" i="57" a="1"/>
  <c r="AN181" i="57" s="1"/>
  <c r="AL181" i="57" a="1"/>
  <c r="AL181" i="57" s="1"/>
  <c r="AJ181" i="57" a="1"/>
  <c r="AJ181" i="57" s="1"/>
  <c r="AH181" i="57" a="1"/>
  <c r="AH181" i="57" s="1"/>
  <c r="AF181" i="57" a="1"/>
  <c r="AF181" i="57" s="1"/>
  <c r="AD181" i="57" a="1"/>
  <c r="AD181" i="57" s="1"/>
  <c r="AV63" i="57" a="1"/>
  <c r="AV63" i="57" s="1"/>
  <c r="AT63" i="57" a="1"/>
  <c r="AT63" i="57" s="1"/>
  <c r="AR63" i="57" a="1"/>
  <c r="AR63" i="57" s="1"/>
  <c r="AP63" i="57" a="1"/>
  <c r="AP63" i="57" s="1"/>
  <c r="AN63" i="57" a="1"/>
  <c r="AN63" i="57" s="1"/>
  <c r="AL63" i="57" a="1"/>
  <c r="AL63" i="57" s="1"/>
  <c r="AJ63" i="57" a="1"/>
  <c r="AJ63" i="57" s="1"/>
  <c r="AH63" i="57" a="1"/>
  <c r="AH63" i="57" s="1"/>
  <c r="AF63" i="57" a="1"/>
  <c r="AF63" i="57" s="1"/>
  <c r="AD63" i="57" a="1"/>
  <c r="AD63" i="57" s="1"/>
  <c r="AA64" i="57"/>
  <c r="AU63" i="57" a="1"/>
  <c r="AU63" i="57" s="1"/>
  <c r="AS63" i="57" a="1"/>
  <c r="AS63" i="57" s="1"/>
  <c r="AQ63" i="57" a="1"/>
  <c r="AQ63" i="57" s="1"/>
  <c r="AO63" i="57" a="1"/>
  <c r="AO63" i="57" s="1"/>
  <c r="AM63" i="57" a="1"/>
  <c r="AM63" i="57" s="1"/>
  <c r="AK63" i="57" a="1"/>
  <c r="AK63" i="57" s="1"/>
  <c r="AI63" i="57" a="1"/>
  <c r="AI63" i="57" s="1"/>
  <c r="AG63" i="57" a="1"/>
  <c r="AG63" i="57" s="1"/>
  <c r="AE63" i="57" a="1"/>
  <c r="AE63" i="57" s="1"/>
  <c r="AC63" i="57" a="1"/>
  <c r="AC63" i="57" s="1"/>
  <c r="BA110" i="57"/>
  <c r="BQ14" i="57" s="1"/>
  <c r="AV128" i="57" a="1"/>
  <c r="AV128" i="57" s="1"/>
  <c r="AT128" i="57" a="1"/>
  <c r="AT128" i="57" s="1"/>
  <c r="AR128" i="57" a="1"/>
  <c r="AR128" i="57" s="1"/>
  <c r="AP128" i="57" a="1"/>
  <c r="AP128" i="57" s="1"/>
  <c r="AN128" i="57" a="1"/>
  <c r="AN128" i="57" s="1"/>
  <c r="AL128" i="57" a="1"/>
  <c r="AL128" i="57" s="1"/>
  <c r="AJ128" i="57" a="1"/>
  <c r="AJ128" i="57" s="1"/>
  <c r="AH128" i="57" a="1"/>
  <c r="AH128" i="57" s="1"/>
  <c r="AF128" i="57" a="1"/>
  <c r="AF128" i="57" s="1"/>
  <c r="AD128" i="57" a="1"/>
  <c r="AD128" i="57" s="1"/>
  <c r="AA129" i="57"/>
  <c r="AU128" i="57" a="1"/>
  <c r="AU128" i="57" s="1"/>
  <c r="AS128" i="57" a="1"/>
  <c r="AS128" i="57" s="1"/>
  <c r="AQ128" i="57" a="1"/>
  <c r="AQ128" i="57" s="1"/>
  <c r="AO128" i="57" a="1"/>
  <c r="AO128" i="57" s="1"/>
  <c r="AM128" i="57" a="1"/>
  <c r="AM128" i="57" s="1"/>
  <c r="AK128" i="57" a="1"/>
  <c r="AK128" i="57" s="1"/>
  <c r="AI128" i="57" a="1"/>
  <c r="AI128" i="57" s="1"/>
  <c r="AG128" i="57" a="1"/>
  <c r="AG128" i="57" s="1"/>
  <c r="AE128" i="57" a="1"/>
  <c r="AE128" i="57" s="1"/>
  <c r="AC128" i="57" a="1"/>
  <c r="AC128" i="57" s="1"/>
  <c r="AA246" i="57"/>
  <c r="AT245" i="57" a="1"/>
  <c r="AT245" i="57" s="1"/>
  <c r="AO245" i="57" a="1"/>
  <c r="AO245" i="57" s="1"/>
  <c r="AL245" i="57" a="1"/>
  <c r="AL245" i="57" s="1"/>
  <c r="AG245" i="57" a="1"/>
  <c r="AG245" i="57" s="1"/>
  <c r="AD245" i="57" a="1"/>
  <c r="AD245" i="57" s="1"/>
  <c r="AV245" i="57" a="1"/>
  <c r="AV245" i="57" s="1"/>
  <c r="AQ245" i="57" a="1"/>
  <c r="AQ245" i="57" s="1"/>
  <c r="AN245" i="57" a="1"/>
  <c r="AN245" i="57" s="1"/>
  <c r="AI245" i="57" a="1"/>
  <c r="AI245" i="57" s="1"/>
  <c r="AF245" i="57" a="1"/>
  <c r="AF245" i="57" s="1"/>
  <c r="AS245" i="57" a="1"/>
  <c r="AS245" i="57" s="1"/>
  <c r="AP245" i="57" a="1"/>
  <c r="AP245" i="57" s="1"/>
  <c r="AK245" i="57" a="1"/>
  <c r="AK245" i="57" s="1"/>
  <c r="AH245" i="57" a="1"/>
  <c r="AH245" i="57" s="1"/>
  <c r="AC245" i="57" a="1"/>
  <c r="AC245" i="57" s="1"/>
  <c r="AE245" i="57" a="1"/>
  <c r="AE245" i="57" s="1"/>
  <c r="AM245" i="57" a="1"/>
  <c r="AM245" i="57" s="1"/>
  <c r="AU245" i="57" a="1"/>
  <c r="AU245" i="57" s="1"/>
  <c r="AJ245" i="57" a="1"/>
  <c r="AJ245" i="57" s="1"/>
  <c r="AR245" i="57" a="1"/>
  <c r="AR245" i="57" s="1"/>
  <c r="AT155" i="57" a="1"/>
  <c r="AT155" i="57" s="1"/>
  <c r="AQ155" i="57" a="1"/>
  <c r="AQ155" i="57" s="1"/>
  <c r="AL155" i="57" a="1"/>
  <c r="AL155" i="57" s="1"/>
  <c r="AI155" i="57" a="1"/>
  <c r="AI155" i="57" s="1"/>
  <c r="AD155" i="57" a="1"/>
  <c r="AD155" i="57" s="1"/>
  <c r="AV155" i="57" a="1"/>
  <c r="AV155" i="57" s="1"/>
  <c r="AS155" i="57" a="1"/>
  <c r="AS155" i="57" s="1"/>
  <c r="AN155" i="57" a="1"/>
  <c r="AN155" i="57" s="1"/>
  <c r="AK155" i="57" a="1"/>
  <c r="AK155" i="57" s="1"/>
  <c r="AF155" i="57" a="1"/>
  <c r="AF155" i="57" s="1"/>
  <c r="AC155" i="57" a="1"/>
  <c r="AC155" i="57" s="1"/>
  <c r="AU155" i="57" a="1"/>
  <c r="AU155" i="57" s="1"/>
  <c r="AP155" i="57" a="1"/>
  <c r="AP155" i="57" s="1"/>
  <c r="AM155" i="57" a="1"/>
  <c r="AM155" i="57" s="1"/>
  <c r="AH155" i="57" a="1"/>
  <c r="AH155" i="57" s="1"/>
  <c r="AE155" i="57" a="1"/>
  <c r="AE155" i="57" s="1"/>
  <c r="AA156" i="57"/>
  <c r="AR155" i="57" a="1"/>
  <c r="AR155" i="57" s="1"/>
  <c r="AO155" i="57" a="1"/>
  <c r="AO155" i="57" s="1"/>
  <c r="AJ155" i="57" a="1"/>
  <c r="AJ155" i="57" s="1"/>
  <c r="AG155" i="57" a="1"/>
  <c r="AG155" i="57" s="1"/>
  <c r="AV142" i="57" a="1"/>
  <c r="AV142" i="57" s="1"/>
  <c r="AT142" i="57" a="1"/>
  <c r="AT142" i="57" s="1"/>
  <c r="AR142" i="57" a="1"/>
  <c r="AR142" i="57" s="1"/>
  <c r="AP142" i="57" a="1"/>
  <c r="AP142" i="57" s="1"/>
  <c r="AN142" i="57" a="1"/>
  <c r="AN142" i="57" s="1"/>
  <c r="AL142" i="57" a="1"/>
  <c r="AL142" i="57" s="1"/>
  <c r="AJ142" i="57" a="1"/>
  <c r="AJ142" i="57" s="1"/>
  <c r="AH142" i="57" a="1"/>
  <c r="AH142" i="57" s="1"/>
  <c r="AF142" i="57" a="1"/>
  <c r="AF142" i="57" s="1"/>
  <c r="AD142" i="57" a="1"/>
  <c r="AD142" i="57" s="1"/>
  <c r="AS142" i="57" a="1"/>
  <c r="AS142" i="57" s="1"/>
  <c r="AK142" i="57" a="1"/>
  <c r="AK142" i="57" s="1"/>
  <c r="AC142" i="57" a="1"/>
  <c r="AC142" i="57" s="1"/>
  <c r="AQ142" i="57" a="1"/>
  <c r="AQ142" i="57" s="1"/>
  <c r="AI142" i="57" a="1"/>
  <c r="AI142" i="57" s="1"/>
  <c r="AA143" i="57"/>
  <c r="AO142" i="57" a="1"/>
  <c r="AO142" i="57" s="1"/>
  <c r="AG142" i="57" a="1"/>
  <c r="AG142" i="57" s="1"/>
  <c r="AU142" i="57" a="1"/>
  <c r="AU142" i="57" s="1"/>
  <c r="AM142" i="57" a="1"/>
  <c r="AM142" i="57" s="1"/>
  <c r="AE142" i="57" a="1"/>
  <c r="AE142" i="57" s="1"/>
  <c r="AV194" i="57" a="1"/>
  <c r="AV194" i="57" s="1"/>
  <c r="AT194" i="57" a="1"/>
  <c r="AT194" i="57" s="1"/>
  <c r="AR194" i="57" a="1"/>
  <c r="AR194" i="57" s="1"/>
  <c r="AP194" i="57" a="1"/>
  <c r="AP194" i="57" s="1"/>
  <c r="AN194" i="57" a="1"/>
  <c r="AN194" i="57" s="1"/>
  <c r="AL194" i="57" a="1"/>
  <c r="AL194" i="57" s="1"/>
  <c r="AJ194" i="57" a="1"/>
  <c r="AJ194" i="57" s="1"/>
  <c r="AH194" i="57" a="1"/>
  <c r="AH194" i="57" s="1"/>
  <c r="AF194" i="57" a="1"/>
  <c r="AF194" i="57" s="1"/>
  <c r="AD194" i="57" a="1"/>
  <c r="AD194" i="57" s="1"/>
  <c r="AU194" i="57" a="1"/>
  <c r="AU194" i="57" s="1"/>
  <c r="AQ194" i="57" a="1"/>
  <c r="AQ194" i="57" s="1"/>
  <c r="AM194" i="57" a="1"/>
  <c r="AM194" i="57" s="1"/>
  <c r="AI194" i="57" a="1"/>
  <c r="AI194" i="57" s="1"/>
  <c r="AE194" i="57" a="1"/>
  <c r="AE194" i="57" s="1"/>
  <c r="AA195" i="57"/>
  <c r="AS194" i="57" a="1"/>
  <c r="AS194" i="57" s="1"/>
  <c r="AO194" i="57" a="1"/>
  <c r="AO194" i="57" s="1"/>
  <c r="AK194" i="57" a="1"/>
  <c r="AK194" i="57" s="1"/>
  <c r="AG194" i="57" a="1"/>
  <c r="AG194" i="57" s="1"/>
  <c r="AC194" i="57" a="1"/>
  <c r="AC194" i="57" s="1"/>
  <c r="AY110" i="57"/>
  <c r="BO14" i="57" s="1"/>
  <c r="AA103" i="57"/>
  <c r="AU102" i="57" a="1"/>
  <c r="AU102" i="57" s="1"/>
  <c r="AS102" i="57" a="1"/>
  <c r="AS102" i="57" s="1"/>
  <c r="AQ102" i="57" a="1"/>
  <c r="AQ102" i="57" s="1"/>
  <c r="AO102" i="57" a="1"/>
  <c r="AO102" i="57" s="1"/>
  <c r="AM102" i="57" a="1"/>
  <c r="AM102" i="57" s="1"/>
  <c r="AK102" i="57" a="1"/>
  <c r="AK102" i="57" s="1"/>
  <c r="AI102" i="57" a="1"/>
  <c r="AI102" i="57" s="1"/>
  <c r="AG102" i="57" a="1"/>
  <c r="AG102" i="57" s="1"/>
  <c r="AE102" i="57" a="1"/>
  <c r="AE102" i="57" s="1"/>
  <c r="AC102" i="57" a="1"/>
  <c r="AC102" i="57" s="1"/>
  <c r="AV102" i="57" a="1"/>
  <c r="AV102" i="57" s="1"/>
  <c r="AT102" i="57" a="1"/>
  <c r="AT102" i="57" s="1"/>
  <c r="AR102" i="57" a="1"/>
  <c r="AR102" i="57" s="1"/>
  <c r="AP102" i="57" a="1"/>
  <c r="AP102" i="57" s="1"/>
  <c r="AN102" i="57" a="1"/>
  <c r="AN102" i="57" s="1"/>
  <c r="AL102" i="57" a="1"/>
  <c r="AL102" i="57" s="1"/>
  <c r="AJ102" i="57" a="1"/>
  <c r="AJ102" i="57" s="1"/>
  <c r="AH102" i="57" a="1"/>
  <c r="AH102" i="57" s="1"/>
  <c r="AF102" i="57" a="1"/>
  <c r="AF102" i="57" s="1"/>
  <c r="AD102" i="57" a="1"/>
  <c r="AD102" i="57" s="1"/>
  <c r="AA286" i="57"/>
  <c r="AU285" i="57" a="1"/>
  <c r="AU285" i="57" s="1"/>
  <c r="AS285" i="57" a="1"/>
  <c r="AS285" i="57" s="1"/>
  <c r="AQ285" i="57" a="1"/>
  <c r="AQ285" i="57" s="1"/>
  <c r="AO285" i="57" a="1"/>
  <c r="AO285" i="57" s="1"/>
  <c r="AM285" i="57" a="1"/>
  <c r="AM285" i="57" s="1"/>
  <c r="AK285" i="57" a="1"/>
  <c r="AK285" i="57" s="1"/>
  <c r="AI285" i="57" a="1"/>
  <c r="AI285" i="57" s="1"/>
  <c r="AG285" i="57" a="1"/>
  <c r="AG285" i="57" s="1"/>
  <c r="AE285" i="57" a="1"/>
  <c r="AE285" i="57" s="1"/>
  <c r="AC285" i="57" a="1"/>
  <c r="AC285" i="57" s="1"/>
  <c r="AV285" i="57" a="1"/>
  <c r="AV285" i="57" s="1"/>
  <c r="AR285" i="57" a="1"/>
  <c r="AR285" i="57" s="1"/>
  <c r="AN285" i="57" a="1"/>
  <c r="AN285" i="57" s="1"/>
  <c r="AJ285" i="57" a="1"/>
  <c r="AJ285" i="57" s="1"/>
  <c r="AF285" i="57" a="1"/>
  <c r="AF285" i="57" s="1"/>
  <c r="AT285" i="57" a="1"/>
  <c r="AT285" i="57" s="1"/>
  <c r="AP285" i="57" a="1"/>
  <c r="AP285" i="57" s="1"/>
  <c r="AL285" i="57" a="1"/>
  <c r="AL285" i="57" s="1"/>
  <c r="AH285" i="57" a="1"/>
  <c r="AH285" i="57" s="1"/>
  <c r="AD285" i="57" a="1"/>
  <c r="AD285" i="57" s="1"/>
  <c r="AT233" i="57" a="1"/>
  <c r="AT233" i="57" s="1"/>
  <c r="AP233" i="57" a="1"/>
  <c r="AP233" i="57" s="1"/>
  <c r="AL233" i="57" a="1"/>
  <c r="AL233" i="57" s="1"/>
  <c r="AH233" i="57" a="1"/>
  <c r="AH233" i="57" s="1"/>
  <c r="AD233" i="57" a="1"/>
  <c r="AD233" i="57" s="1"/>
  <c r="AA234" i="57"/>
  <c r="AS233" i="57" a="1"/>
  <c r="AS233" i="57" s="1"/>
  <c r="AO233" i="57" a="1"/>
  <c r="AO233" i="57" s="1"/>
  <c r="AK233" i="57" a="1"/>
  <c r="AK233" i="57" s="1"/>
  <c r="AG233" i="57" a="1"/>
  <c r="AG233" i="57" s="1"/>
  <c r="AC233" i="57" a="1"/>
  <c r="AC233" i="57" s="1"/>
  <c r="AV233" i="57" a="1"/>
  <c r="AV233" i="57" s="1"/>
  <c r="AR233" i="57" a="1"/>
  <c r="AR233" i="57" s="1"/>
  <c r="AN233" i="57" a="1"/>
  <c r="AN233" i="57" s="1"/>
  <c r="AJ233" i="57" a="1"/>
  <c r="AJ233" i="57" s="1"/>
  <c r="AF233" i="57" a="1"/>
  <c r="AF233" i="57" s="1"/>
  <c r="AU233" i="57" a="1"/>
  <c r="AU233" i="57" s="1"/>
  <c r="AQ233" i="57" a="1"/>
  <c r="AQ233" i="57" s="1"/>
  <c r="AM233" i="57" a="1"/>
  <c r="AM233" i="57" s="1"/>
  <c r="AI233" i="57" a="1"/>
  <c r="AI233" i="57" s="1"/>
  <c r="AE233" i="57" a="1"/>
  <c r="AE233" i="57" s="1"/>
  <c r="AA259" i="57"/>
  <c r="AU258" i="57" a="1"/>
  <c r="AU258" i="57" s="1"/>
  <c r="AS258" i="57" a="1"/>
  <c r="AS258" i="57" s="1"/>
  <c r="AQ258" i="57" a="1"/>
  <c r="AQ258" i="57" s="1"/>
  <c r="AO258" i="57" a="1"/>
  <c r="AO258" i="57" s="1"/>
  <c r="AM258" i="57" a="1"/>
  <c r="AM258" i="57" s="1"/>
  <c r="AK258" i="57" a="1"/>
  <c r="AK258" i="57" s="1"/>
  <c r="AI258" i="57" a="1"/>
  <c r="AI258" i="57" s="1"/>
  <c r="AG258" i="57" a="1"/>
  <c r="AG258" i="57" s="1"/>
  <c r="AE258" i="57" a="1"/>
  <c r="AE258" i="57" s="1"/>
  <c r="AC258" i="57" a="1"/>
  <c r="AC258" i="57" s="1"/>
  <c r="AV258" i="57" a="1"/>
  <c r="AV258" i="57" s="1"/>
  <c r="AN258" i="57" a="1"/>
  <c r="AN258" i="57" s="1"/>
  <c r="AF258" i="57" a="1"/>
  <c r="AF258" i="57" s="1"/>
  <c r="AL258" i="57" a="1"/>
  <c r="AL258" i="57" s="1"/>
  <c r="AH258" i="57" a="1"/>
  <c r="AH258" i="57" s="1"/>
  <c r="AP258" i="57" a="1"/>
  <c r="AP258" i="57" s="1"/>
  <c r="AT258" i="57" a="1"/>
  <c r="AT258" i="57" s="1"/>
  <c r="AJ258" i="57" a="1"/>
  <c r="AJ258" i="57" s="1"/>
  <c r="AR258" i="57" a="1"/>
  <c r="AR258" i="57" s="1"/>
  <c r="AD258" i="57" a="1"/>
  <c r="AD258" i="57" s="1"/>
  <c r="AU272" i="57" a="1"/>
  <c r="AU272" i="57" s="1"/>
  <c r="AR272" i="57" a="1"/>
  <c r="AR272" i="57" s="1"/>
  <c r="AM272" i="57" a="1"/>
  <c r="AM272" i="57" s="1"/>
  <c r="AJ272" i="57" a="1"/>
  <c r="AJ272" i="57" s="1"/>
  <c r="AE272" i="57" a="1"/>
  <c r="AE272" i="57" s="1"/>
  <c r="AA273" i="57"/>
  <c r="AT272" i="57" a="1"/>
  <c r="AT272" i="57" s="1"/>
  <c r="AO272" i="57" a="1"/>
  <c r="AO272" i="57" s="1"/>
  <c r="AL272" i="57" a="1"/>
  <c r="AL272" i="57" s="1"/>
  <c r="AG272" i="57" a="1"/>
  <c r="AG272" i="57" s="1"/>
  <c r="AD272" i="57" a="1"/>
  <c r="AD272" i="57" s="1"/>
  <c r="AV272" i="57" a="1"/>
  <c r="AV272" i="57" s="1"/>
  <c r="AQ272" i="57" a="1"/>
  <c r="AQ272" i="57" s="1"/>
  <c r="AN272" i="57" a="1"/>
  <c r="AN272" i="57" s="1"/>
  <c r="AI272" i="57" a="1"/>
  <c r="AI272" i="57" s="1"/>
  <c r="AF272" i="57" a="1"/>
  <c r="AF272" i="57" s="1"/>
  <c r="AS272" i="57" a="1"/>
  <c r="AS272" i="57" s="1"/>
  <c r="AP272" i="57" a="1"/>
  <c r="AP272" i="57" s="1"/>
  <c r="AK272" i="57" a="1"/>
  <c r="AK272" i="57" s="1"/>
  <c r="AH272" i="57" a="1"/>
  <c r="AH272" i="57" s="1"/>
  <c r="AC272" i="57" a="1"/>
  <c r="AC272" i="57" s="1"/>
  <c r="AA51" i="57"/>
  <c r="AS50" i="57" a="1"/>
  <c r="AS50" i="57" s="1"/>
  <c r="AO50" i="57" a="1"/>
  <c r="AO50" i="57" s="1"/>
  <c r="AK50" i="57" a="1"/>
  <c r="AK50" i="57" s="1"/>
  <c r="AG50" i="57" a="1"/>
  <c r="AG50" i="57" s="1"/>
  <c r="AC50" i="57" a="1"/>
  <c r="AC50" i="57" s="1"/>
  <c r="AV50" i="57" a="1"/>
  <c r="AV50" i="57" s="1"/>
  <c r="AR50" i="57" a="1"/>
  <c r="AR50" i="57" s="1"/>
  <c r="AN50" i="57" a="1"/>
  <c r="AN50" i="57" s="1"/>
  <c r="AJ50" i="57" a="1"/>
  <c r="AJ50" i="57" s="1"/>
  <c r="AF50" i="57" a="1"/>
  <c r="AF50" i="57" s="1"/>
  <c r="AU50" i="57" a="1"/>
  <c r="AU50" i="57" s="1"/>
  <c r="AQ50" i="57" a="1"/>
  <c r="AQ50" i="57" s="1"/>
  <c r="AM50" i="57" a="1"/>
  <c r="AM50" i="57" s="1"/>
  <c r="AI50" i="57" a="1"/>
  <c r="AI50" i="57" s="1"/>
  <c r="AE50" i="57" a="1"/>
  <c r="AE50" i="57" s="1"/>
  <c r="AT50" i="57" a="1"/>
  <c r="AT50" i="57" s="1"/>
  <c r="AP50" i="57" a="1"/>
  <c r="AP50" i="57" s="1"/>
  <c r="AL50" i="57" a="1"/>
  <c r="AL50" i="57" s="1"/>
  <c r="AH50" i="57" a="1"/>
  <c r="AH50" i="57" s="1"/>
  <c r="AD50" i="57" a="1"/>
  <c r="AD50" i="57" s="1"/>
  <c r="AV37" i="57" a="1"/>
  <c r="AV37" i="57" s="1"/>
  <c r="AT37" i="57" a="1"/>
  <c r="AT37" i="57" s="1"/>
  <c r="AR37" i="57" a="1"/>
  <c r="AR37" i="57" s="1"/>
  <c r="AP37" i="57" a="1"/>
  <c r="AP37" i="57" s="1"/>
  <c r="AN37" i="57" a="1"/>
  <c r="AN37" i="57" s="1"/>
  <c r="AL37" i="57" a="1"/>
  <c r="AL37" i="57" s="1"/>
  <c r="AJ37" i="57" a="1"/>
  <c r="AJ37" i="57" s="1"/>
  <c r="AH37" i="57" a="1"/>
  <c r="AH37" i="57" s="1"/>
  <c r="AF37" i="57" a="1"/>
  <c r="AF37" i="57" s="1"/>
  <c r="AD37" i="57" a="1"/>
  <c r="AD37" i="57" s="1"/>
  <c r="AA38" i="57"/>
  <c r="AO37" i="57" a="1"/>
  <c r="AO37" i="57" s="1"/>
  <c r="AG37" i="57" a="1"/>
  <c r="AG37" i="57" s="1"/>
  <c r="AQ37" i="57" a="1"/>
  <c r="AQ37" i="57" s="1"/>
  <c r="AI37" i="57" a="1"/>
  <c r="AI37" i="57" s="1"/>
  <c r="AS37" i="57" a="1"/>
  <c r="AS37" i="57" s="1"/>
  <c r="AK37" i="57" a="1"/>
  <c r="AK37" i="57" s="1"/>
  <c r="AC37" i="57" a="1"/>
  <c r="AC37" i="57" s="1"/>
  <c r="AU37" i="57" a="1"/>
  <c r="AU37" i="57" s="1"/>
  <c r="AM37" i="57" a="1"/>
  <c r="AM37" i="57" s="1"/>
  <c r="AE37" i="57" a="1"/>
  <c r="AE37" i="57" s="1"/>
  <c r="AV310" i="57" a="1"/>
  <c r="AV310" i="57" s="1"/>
  <c r="AR310" i="57" a="1"/>
  <c r="AR310" i="57" s="1"/>
  <c r="AN310" i="57" a="1"/>
  <c r="AN310" i="57" s="1"/>
  <c r="AJ310" i="57" a="1"/>
  <c r="AJ310" i="57" s="1"/>
  <c r="AF310" i="57" a="1"/>
  <c r="AF310" i="57" s="1"/>
  <c r="AU310" i="57" a="1"/>
  <c r="AU310" i="57" s="1"/>
  <c r="AQ310" i="57" a="1"/>
  <c r="AQ310" i="57" s="1"/>
  <c r="AM310" i="57" a="1"/>
  <c r="AM310" i="57" s="1"/>
  <c r="AI310" i="57" a="1"/>
  <c r="AI310" i="57" s="1"/>
  <c r="AE310" i="57" a="1"/>
  <c r="AE310" i="57" s="1"/>
  <c r="AT310" i="57" a="1"/>
  <c r="AT310" i="57" s="1"/>
  <c r="AP310" i="57" a="1"/>
  <c r="AP310" i="57" s="1"/>
  <c r="AL310" i="57" a="1"/>
  <c r="AL310" i="57" s="1"/>
  <c r="AH310" i="57" a="1"/>
  <c r="AH310" i="57" s="1"/>
  <c r="AD310" i="57" a="1"/>
  <c r="AD310" i="57" s="1"/>
  <c r="AA311" i="57"/>
  <c r="AS310" i="57" a="1"/>
  <c r="AS310" i="57" s="1"/>
  <c r="AO310" i="57" a="1"/>
  <c r="AO310" i="57" s="1"/>
  <c r="AK310" i="57" a="1"/>
  <c r="AK310" i="57" s="1"/>
  <c r="AG310" i="57" a="1"/>
  <c r="AG310" i="57" s="1"/>
  <c r="AC310" i="57" a="1"/>
  <c r="AC310" i="57" s="1"/>
  <c r="BA71" i="57"/>
  <c r="BQ11" i="57" s="1"/>
  <c r="AZ71" i="57" l="1"/>
  <c r="BP11" i="57" s="1"/>
  <c r="BB71" i="57"/>
  <c r="BR11" i="57" s="1"/>
  <c r="AR25" i="57" a="1"/>
  <c r="AR25" i="57" s="1"/>
  <c r="AT25" i="57" a="1"/>
  <c r="AT25" i="57" s="1"/>
  <c r="AG25" i="57" a="1"/>
  <c r="AG25" i="57" s="1"/>
  <c r="AN25" i="57" a="1"/>
  <c r="AN25" i="57" s="1"/>
  <c r="AP25" i="57" a="1"/>
  <c r="AP25" i="57" s="1"/>
  <c r="AM25" i="57" a="1"/>
  <c r="AM25" i="57" s="1"/>
  <c r="AL25" i="57" a="1"/>
  <c r="AL25" i="57" s="1"/>
  <c r="AA26" i="57"/>
  <c r="AI25" i="57" a="1"/>
  <c r="AI25" i="57" s="1"/>
  <c r="AK25" i="57" a="1"/>
  <c r="AK25" i="57" s="1"/>
  <c r="AU25" i="57" a="1"/>
  <c r="AU25" i="57" s="1"/>
  <c r="AE25" i="57" a="1"/>
  <c r="AE25" i="57" s="1"/>
  <c r="AQ25" i="57" a="1"/>
  <c r="AQ25" i="57" s="1"/>
  <c r="AC25" i="57" a="1"/>
  <c r="AC25" i="57" s="1"/>
  <c r="AJ25" i="57" a="1"/>
  <c r="AJ25" i="57" s="1"/>
  <c r="AD25" i="57" a="1"/>
  <c r="AD25" i="57" s="1"/>
  <c r="AV25" i="57" a="1"/>
  <c r="AV25" i="57" s="1"/>
  <c r="AF25" i="57" a="1"/>
  <c r="AF25" i="57" s="1"/>
  <c r="AH25" i="57" a="1"/>
  <c r="AH25" i="57" s="1"/>
  <c r="AO25" i="57" a="1"/>
  <c r="AO25" i="57" s="1"/>
  <c r="AS25" i="57" a="1"/>
  <c r="AS25" i="57" s="1"/>
  <c r="AY71" i="57"/>
  <c r="BO11" i="57" s="1"/>
  <c r="AU311" i="57" a="1"/>
  <c r="AU311" i="57" s="1"/>
  <c r="AQ311" i="57" a="1"/>
  <c r="AQ311" i="57" s="1"/>
  <c r="AM311" i="57" a="1"/>
  <c r="AM311" i="57" s="1"/>
  <c r="AI311" i="57" a="1"/>
  <c r="AI311" i="57" s="1"/>
  <c r="AE311" i="57" a="1"/>
  <c r="AE311" i="57" s="1"/>
  <c r="AT311" i="57" a="1"/>
  <c r="AT311" i="57" s="1"/>
  <c r="AP311" i="57" a="1"/>
  <c r="AP311" i="57" s="1"/>
  <c r="AL311" i="57" a="1"/>
  <c r="AL311" i="57" s="1"/>
  <c r="AH311" i="57" a="1"/>
  <c r="AH311" i="57" s="1"/>
  <c r="AD311" i="57" a="1"/>
  <c r="AD311" i="57" s="1"/>
  <c r="AA312" i="57"/>
  <c r="AS311" i="57" a="1"/>
  <c r="AS311" i="57" s="1"/>
  <c r="AO311" i="57" a="1"/>
  <c r="AO311" i="57" s="1"/>
  <c r="AK311" i="57" a="1"/>
  <c r="AK311" i="57" s="1"/>
  <c r="AG311" i="57" a="1"/>
  <c r="AG311" i="57" s="1"/>
  <c r="AC311" i="57" a="1"/>
  <c r="AC311" i="57" s="1"/>
  <c r="AV311" i="57" a="1"/>
  <c r="AV311" i="57" s="1"/>
  <c r="AR311" i="57" a="1"/>
  <c r="AR311" i="57" s="1"/>
  <c r="AN311" i="57" a="1"/>
  <c r="AN311" i="57" s="1"/>
  <c r="AJ311" i="57" a="1"/>
  <c r="AJ311" i="57" s="1"/>
  <c r="AF311" i="57" a="1"/>
  <c r="AF311" i="57" s="1"/>
  <c r="AA247" i="57"/>
  <c r="AR246" i="57" a="1"/>
  <c r="AR246" i="57" s="1"/>
  <c r="AO246" i="57" a="1"/>
  <c r="AO246" i="57" s="1"/>
  <c r="AJ246" i="57" a="1"/>
  <c r="AJ246" i="57" s="1"/>
  <c r="AG246" i="57" a="1"/>
  <c r="AG246" i="57" s="1"/>
  <c r="AT246" i="57" a="1"/>
  <c r="AT246" i="57" s="1"/>
  <c r="AQ246" i="57" a="1"/>
  <c r="AQ246" i="57" s="1"/>
  <c r="AL246" i="57" a="1"/>
  <c r="AL246" i="57" s="1"/>
  <c r="AI246" i="57" a="1"/>
  <c r="AI246" i="57" s="1"/>
  <c r="AD246" i="57" a="1"/>
  <c r="AD246" i="57" s="1"/>
  <c r="AV246" i="57" a="1"/>
  <c r="AV246" i="57" s="1"/>
  <c r="AS246" i="57" a="1"/>
  <c r="AS246" i="57" s="1"/>
  <c r="AN246" i="57" a="1"/>
  <c r="AN246" i="57" s="1"/>
  <c r="AK246" i="57" a="1"/>
  <c r="AK246" i="57" s="1"/>
  <c r="AF246" i="57" a="1"/>
  <c r="AF246" i="57" s="1"/>
  <c r="AC246" i="57" a="1"/>
  <c r="AC246" i="57" s="1"/>
  <c r="AP246" i="57" a="1"/>
  <c r="AP246" i="57" s="1"/>
  <c r="AE246" i="57" a="1"/>
  <c r="AE246" i="57" s="1"/>
  <c r="AM246" i="57" a="1"/>
  <c r="AM246" i="57" s="1"/>
  <c r="AU246" i="57" a="1"/>
  <c r="AU246" i="57" s="1"/>
  <c r="AH246" i="57" a="1"/>
  <c r="AH246" i="57" s="1"/>
  <c r="AU13" i="57" a="1"/>
  <c r="AU13" i="57" s="1"/>
  <c r="AS13" i="57" a="1"/>
  <c r="AS13" i="57" s="1"/>
  <c r="AQ13" i="57" a="1"/>
  <c r="AQ13" i="57" s="1"/>
  <c r="AO13" i="57" a="1"/>
  <c r="AO13" i="57" s="1"/>
  <c r="AM13" i="57" a="1"/>
  <c r="AM13" i="57" s="1"/>
  <c r="BB6" i="57" s="1"/>
  <c r="BR6" i="57" s="1"/>
  <c r="AK13" i="57" a="1"/>
  <c r="AK13" i="57" s="1"/>
  <c r="AI13" i="57" a="1"/>
  <c r="AI13" i="57" s="1"/>
  <c r="AG13" i="57" a="1"/>
  <c r="AG13" i="57" s="1"/>
  <c r="AE13" i="57" a="1"/>
  <c r="AE13" i="57" s="1"/>
  <c r="AC13" i="57" a="1"/>
  <c r="AC13" i="57" s="1"/>
  <c r="AZ6" i="57" s="1"/>
  <c r="BP6" i="57" s="1"/>
  <c r="AA14" i="57"/>
  <c r="AV13" i="57" a="1"/>
  <c r="AV13" i="57" s="1"/>
  <c r="AN13" i="57" a="1"/>
  <c r="AN13" i="57" s="1"/>
  <c r="AF13" i="57" a="1"/>
  <c r="AF13" i="57" s="1"/>
  <c r="AR13" i="57" a="1"/>
  <c r="AR13" i="57" s="1"/>
  <c r="AJ13" i="57" a="1"/>
  <c r="AJ13" i="57" s="1"/>
  <c r="AT13" i="57" a="1"/>
  <c r="AT13" i="57" s="1"/>
  <c r="AL13" i="57" a="1"/>
  <c r="AL13" i="57" s="1"/>
  <c r="AD13" i="57" a="1"/>
  <c r="AD13" i="57" s="1"/>
  <c r="AP13" i="57" a="1"/>
  <c r="AP13" i="57" s="1"/>
  <c r="AH13" i="57" a="1"/>
  <c r="AH13" i="57" s="1"/>
  <c r="AA119" i="57"/>
  <c r="AS118" i="57" a="1"/>
  <c r="AS118" i="57" s="1"/>
  <c r="AO118" i="57" a="1"/>
  <c r="AO118" i="57" s="1"/>
  <c r="AK118" i="57" a="1"/>
  <c r="AK118" i="57" s="1"/>
  <c r="AG118" i="57" a="1"/>
  <c r="AG118" i="57" s="1"/>
  <c r="AC118" i="57" a="1"/>
  <c r="AC118" i="57" s="1"/>
  <c r="AV118" i="57" a="1"/>
  <c r="AV118" i="57" s="1"/>
  <c r="AR118" i="57" a="1"/>
  <c r="AR118" i="57" s="1"/>
  <c r="AN118" i="57" a="1"/>
  <c r="AN118" i="57" s="1"/>
  <c r="AJ118" i="57" a="1"/>
  <c r="AJ118" i="57" s="1"/>
  <c r="AF118" i="57" a="1"/>
  <c r="AF118" i="57" s="1"/>
  <c r="AU118" i="57" a="1"/>
  <c r="AU118" i="57" s="1"/>
  <c r="AQ118" i="57" a="1"/>
  <c r="AQ118" i="57" s="1"/>
  <c r="AM118" i="57" a="1"/>
  <c r="AM118" i="57" s="1"/>
  <c r="AI118" i="57" a="1"/>
  <c r="AI118" i="57" s="1"/>
  <c r="AE118" i="57" a="1"/>
  <c r="AE118" i="57" s="1"/>
  <c r="AT118" i="57" a="1"/>
  <c r="AT118" i="57" s="1"/>
  <c r="AP118" i="57" a="1"/>
  <c r="AP118" i="57" s="1"/>
  <c r="AL118" i="57" a="1"/>
  <c r="AL118" i="57" s="1"/>
  <c r="AH118" i="57" a="1"/>
  <c r="AH118" i="57" s="1"/>
  <c r="AD118" i="57" a="1"/>
  <c r="AD118" i="57" s="1"/>
  <c r="AV286" i="57" a="1"/>
  <c r="AV286" i="57" s="1"/>
  <c r="AT286" i="57" a="1"/>
  <c r="AT286" i="57" s="1"/>
  <c r="AR286" i="57" a="1"/>
  <c r="AR286" i="57" s="1"/>
  <c r="AP286" i="57" a="1"/>
  <c r="AP286" i="57" s="1"/>
  <c r="AN286" i="57" a="1"/>
  <c r="AN286" i="57" s="1"/>
  <c r="AL286" i="57" a="1"/>
  <c r="AL286" i="57" s="1"/>
  <c r="AJ286" i="57" a="1"/>
  <c r="AJ286" i="57" s="1"/>
  <c r="AH286" i="57" a="1"/>
  <c r="AH286" i="57" s="1"/>
  <c r="AF286" i="57" a="1"/>
  <c r="AF286" i="57" s="1"/>
  <c r="AD286" i="57" a="1"/>
  <c r="AD286" i="57" s="1"/>
  <c r="AU286" i="57" a="1"/>
  <c r="AU286" i="57" s="1"/>
  <c r="AQ286" i="57" a="1"/>
  <c r="AQ286" i="57" s="1"/>
  <c r="BA279" i="57" s="1"/>
  <c r="AM286" i="57" a="1"/>
  <c r="AM286" i="57" s="1"/>
  <c r="BB279" i="57" s="1"/>
  <c r="AI286" i="57" a="1"/>
  <c r="AI286" i="57" s="1"/>
  <c r="AE286" i="57" a="1"/>
  <c r="AE286" i="57" s="1"/>
  <c r="AA287" i="57"/>
  <c r="AS286" i="57" a="1"/>
  <c r="AS286" i="57" s="1"/>
  <c r="AO286" i="57" a="1"/>
  <c r="AO286" i="57" s="1"/>
  <c r="AK286" i="57" a="1"/>
  <c r="AK286" i="57" s="1"/>
  <c r="AG286" i="57" a="1"/>
  <c r="AG286" i="57" s="1"/>
  <c r="AC286" i="57" a="1"/>
  <c r="AC286" i="57" s="1"/>
  <c r="AZ279" i="57" s="1"/>
  <c r="AA196" i="57"/>
  <c r="AU195" i="57" a="1"/>
  <c r="AU195" i="57" s="1"/>
  <c r="AS195" i="57" a="1"/>
  <c r="AS195" i="57" s="1"/>
  <c r="AQ195" i="57" a="1"/>
  <c r="AQ195" i="57" s="1"/>
  <c r="AO195" i="57" a="1"/>
  <c r="AO195" i="57" s="1"/>
  <c r="AM195" i="57" a="1"/>
  <c r="AM195" i="57" s="1"/>
  <c r="AK195" i="57" a="1"/>
  <c r="AK195" i="57" s="1"/>
  <c r="AI195" i="57" a="1"/>
  <c r="AI195" i="57" s="1"/>
  <c r="AG195" i="57" a="1"/>
  <c r="AG195" i="57" s="1"/>
  <c r="AE195" i="57" a="1"/>
  <c r="AE195" i="57" s="1"/>
  <c r="AC195" i="57" a="1"/>
  <c r="AC195" i="57" s="1"/>
  <c r="AT195" i="57" a="1"/>
  <c r="AT195" i="57" s="1"/>
  <c r="AP195" i="57" a="1"/>
  <c r="AP195" i="57" s="1"/>
  <c r="AL195" i="57" a="1"/>
  <c r="AL195" i="57" s="1"/>
  <c r="AH195" i="57" a="1"/>
  <c r="AH195" i="57" s="1"/>
  <c r="AD195" i="57" a="1"/>
  <c r="AD195" i="57" s="1"/>
  <c r="AV195" i="57" a="1"/>
  <c r="AV195" i="57" s="1"/>
  <c r="AR195" i="57" a="1"/>
  <c r="AR195" i="57" s="1"/>
  <c r="AN195" i="57" a="1"/>
  <c r="AN195" i="57" s="1"/>
  <c r="AJ195" i="57" a="1"/>
  <c r="AJ195" i="57" s="1"/>
  <c r="AF195" i="57" a="1"/>
  <c r="AF195" i="57" s="1"/>
  <c r="AY188" i="57"/>
  <c r="AA65" i="57"/>
  <c r="AU64" i="57" a="1"/>
  <c r="AU64" i="57" s="1"/>
  <c r="AS64" i="57" a="1"/>
  <c r="AS64" i="57" s="1"/>
  <c r="AQ64" i="57" a="1"/>
  <c r="AQ64" i="57" s="1"/>
  <c r="AO64" i="57" a="1"/>
  <c r="AO64" i="57" s="1"/>
  <c r="AM64" i="57" a="1"/>
  <c r="AM64" i="57" s="1"/>
  <c r="AK64" i="57" a="1"/>
  <c r="AK64" i="57" s="1"/>
  <c r="AI64" i="57" a="1"/>
  <c r="AI64" i="57" s="1"/>
  <c r="AG64" i="57" a="1"/>
  <c r="AG64" i="57" s="1"/>
  <c r="AE64" i="57" a="1"/>
  <c r="AE64" i="57" s="1"/>
  <c r="AC64" i="57" a="1"/>
  <c r="AC64" i="57" s="1"/>
  <c r="AV64" i="57" a="1"/>
  <c r="AV64" i="57" s="1"/>
  <c r="AT64" i="57" a="1"/>
  <c r="AT64" i="57" s="1"/>
  <c r="AR64" i="57" a="1"/>
  <c r="AR64" i="57" s="1"/>
  <c r="AP64" i="57" a="1"/>
  <c r="AP64" i="57" s="1"/>
  <c r="AN64" i="57" a="1"/>
  <c r="AN64" i="57" s="1"/>
  <c r="AL64" i="57" a="1"/>
  <c r="AL64" i="57" s="1"/>
  <c r="AJ64" i="57" a="1"/>
  <c r="AJ64" i="57" s="1"/>
  <c r="AH64" i="57" a="1"/>
  <c r="AH64" i="57" s="1"/>
  <c r="AF64" i="57" a="1"/>
  <c r="AF64" i="57" s="1"/>
  <c r="AD64" i="57" a="1"/>
  <c r="AD64" i="57" s="1"/>
  <c r="AA183" i="57"/>
  <c r="AU182" i="57" a="1"/>
  <c r="AU182" i="57" s="1"/>
  <c r="AS182" i="57" a="1"/>
  <c r="AS182" i="57" s="1"/>
  <c r="AQ182" i="57" a="1"/>
  <c r="AQ182" i="57" s="1"/>
  <c r="AO182" i="57" a="1"/>
  <c r="AO182" i="57" s="1"/>
  <c r="AM182" i="57" a="1"/>
  <c r="AM182" i="57" s="1"/>
  <c r="AK182" i="57" a="1"/>
  <c r="AK182" i="57" s="1"/>
  <c r="AI182" i="57" a="1"/>
  <c r="AI182" i="57" s="1"/>
  <c r="AG182" i="57" a="1"/>
  <c r="AG182" i="57" s="1"/>
  <c r="AE182" i="57" a="1"/>
  <c r="AE182" i="57" s="1"/>
  <c r="AT182" i="57" a="1"/>
  <c r="AT182" i="57" s="1"/>
  <c r="AL182" i="57" a="1"/>
  <c r="AL182" i="57" s="1"/>
  <c r="AD182" i="57" a="1"/>
  <c r="AD182" i="57" s="1"/>
  <c r="AV182" i="57" a="1"/>
  <c r="AV182" i="57" s="1"/>
  <c r="AN182" i="57" a="1"/>
  <c r="AN182" i="57" s="1"/>
  <c r="AF182" i="57" a="1"/>
  <c r="AF182" i="57" s="1"/>
  <c r="AP182" i="57" a="1"/>
  <c r="AP182" i="57" s="1"/>
  <c r="AH182" i="57" a="1"/>
  <c r="AH182" i="57" s="1"/>
  <c r="AC182" i="57" a="1"/>
  <c r="AC182" i="57" s="1"/>
  <c r="AR182" i="57" a="1"/>
  <c r="AR182" i="57" s="1"/>
  <c r="AJ182" i="57" a="1"/>
  <c r="AJ182" i="57" s="1"/>
  <c r="AA80" i="57"/>
  <c r="AU79" i="57" a="1"/>
  <c r="AU79" i="57" s="1"/>
  <c r="AS79" i="57" a="1"/>
  <c r="AS79" i="57" s="1"/>
  <c r="AQ79" i="57" a="1"/>
  <c r="AQ79" i="57" s="1"/>
  <c r="AO79" i="57" a="1"/>
  <c r="AO79" i="57" s="1"/>
  <c r="AM79" i="57" a="1"/>
  <c r="AM79" i="57" s="1"/>
  <c r="AK79" i="57" a="1"/>
  <c r="AK79" i="57" s="1"/>
  <c r="AI79" i="57" a="1"/>
  <c r="AI79" i="57" s="1"/>
  <c r="AG79" i="57" a="1"/>
  <c r="AG79" i="57" s="1"/>
  <c r="AE79" i="57" a="1"/>
  <c r="AE79" i="57" s="1"/>
  <c r="AC79" i="57" a="1"/>
  <c r="AC79" i="57" s="1"/>
  <c r="AT79" i="57" a="1"/>
  <c r="AT79" i="57" s="1"/>
  <c r="AL79" i="57" a="1"/>
  <c r="AL79" i="57" s="1"/>
  <c r="AD79" i="57" a="1"/>
  <c r="AD79" i="57" s="1"/>
  <c r="AR79" i="57" a="1"/>
  <c r="AR79" i="57" s="1"/>
  <c r="AJ79" i="57" a="1"/>
  <c r="AJ79" i="57" s="1"/>
  <c r="AP79" i="57" a="1"/>
  <c r="AP79" i="57" s="1"/>
  <c r="AH79" i="57" a="1"/>
  <c r="AH79" i="57" s="1"/>
  <c r="AV79" i="57" a="1"/>
  <c r="AV79" i="57" s="1"/>
  <c r="AN79" i="57" a="1"/>
  <c r="AN79" i="57" s="1"/>
  <c r="AF79" i="57" a="1"/>
  <c r="AF79" i="57" s="1"/>
  <c r="AU207" i="57" a="1"/>
  <c r="AU207" i="57" s="1"/>
  <c r="AP207" i="57" a="1"/>
  <c r="AP207" i="57" s="1"/>
  <c r="AM207" i="57" a="1"/>
  <c r="AM207" i="57" s="1"/>
  <c r="AH207" i="57" a="1"/>
  <c r="AH207" i="57" s="1"/>
  <c r="AE207" i="57" a="1"/>
  <c r="AE207" i="57" s="1"/>
  <c r="AA208" i="57"/>
  <c r="AR207" i="57" a="1"/>
  <c r="AR207" i="57" s="1"/>
  <c r="AO207" i="57" a="1"/>
  <c r="AO207" i="57" s="1"/>
  <c r="AJ207" i="57" a="1"/>
  <c r="AJ207" i="57" s="1"/>
  <c r="AG207" i="57" a="1"/>
  <c r="AG207" i="57" s="1"/>
  <c r="AT207" i="57" a="1"/>
  <c r="AT207" i="57" s="1"/>
  <c r="AQ207" i="57" a="1"/>
  <c r="AQ207" i="57" s="1"/>
  <c r="AL207" i="57" a="1"/>
  <c r="AL207" i="57" s="1"/>
  <c r="AI207" i="57" a="1"/>
  <c r="AI207" i="57" s="1"/>
  <c r="AD207" i="57" a="1"/>
  <c r="AD207" i="57" s="1"/>
  <c r="AV207" i="57" a="1"/>
  <c r="AV207" i="57" s="1"/>
  <c r="AS207" i="57" a="1"/>
  <c r="AS207" i="57" s="1"/>
  <c r="AN207" i="57" a="1"/>
  <c r="AN207" i="57" s="1"/>
  <c r="AK207" i="57" a="1"/>
  <c r="AK207" i="57" s="1"/>
  <c r="AF207" i="57" a="1"/>
  <c r="AF207" i="57" s="1"/>
  <c r="AC207" i="57" a="1"/>
  <c r="AC207" i="57" s="1"/>
  <c r="AV168" i="57" a="1"/>
  <c r="AV168" i="57" s="1"/>
  <c r="AT168" i="57" a="1"/>
  <c r="AT168" i="57" s="1"/>
  <c r="AR168" i="57" a="1"/>
  <c r="AR168" i="57" s="1"/>
  <c r="AP168" i="57" a="1"/>
  <c r="AP168" i="57" s="1"/>
  <c r="AN168" i="57" a="1"/>
  <c r="AN168" i="57" s="1"/>
  <c r="AL168" i="57" a="1"/>
  <c r="AL168" i="57" s="1"/>
  <c r="AJ168" i="57" a="1"/>
  <c r="AJ168" i="57" s="1"/>
  <c r="AH168" i="57" a="1"/>
  <c r="AH168" i="57" s="1"/>
  <c r="AF168" i="57" a="1"/>
  <c r="AF168" i="57" s="1"/>
  <c r="AD168" i="57" a="1"/>
  <c r="AD168" i="57" s="1"/>
  <c r="AA169" i="57"/>
  <c r="AU168" i="57" a="1"/>
  <c r="AU168" i="57" s="1"/>
  <c r="AS168" i="57" a="1"/>
  <c r="AS168" i="57" s="1"/>
  <c r="AQ168" i="57" a="1"/>
  <c r="AQ168" i="57" s="1"/>
  <c r="AO168" i="57" a="1"/>
  <c r="AO168" i="57" s="1"/>
  <c r="AM168" i="57" a="1"/>
  <c r="AM168" i="57" s="1"/>
  <c r="AK168" i="57" a="1"/>
  <c r="AK168" i="57" s="1"/>
  <c r="AI168" i="57" a="1"/>
  <c r="AI168" i="57" s="1"/>
  <c r="AG168" i="57" a="1"/>
  <c r="AG168" i="57" s="1"/>
  <c r="AE168" i="57" a="1"/>
  <c r="AE168" i="57" s="1"/>
  <c r="AC168" i="57" a="1"/>
  <c r="AC168" i="57" s="1"/>
  <c r="AV51" i="57" a="1"/>
  <c r="AV51" i="57" s="1"/>
  <c r="AR51" i="57" a="1"/>
  <c r="AR51" i="57" s="1"/>
  <c r="AN51" i="57" a="1"/>
  <c r="AN51" i="57" s="1"/>
  <c r="AJ51" i="57" a="1"/>
  <c r="AJ51" i="57" s="1"/>
  <c r="AF51" i="57" a="1"/>
  <c r="AF51" i="57" s="1"/>
  <c r="AU51" i="57" a="1"/>
  <c r="AU51" i="57" s="1"/>
  <c r="AQ51" i="57" a="1"/>
  <c r="AQ51" i="57" s="1"/>
  <c r="AM51" i="57" a="1"/>
  <c r="AM51" i="57" s="1"/>
  <c r="AI51" i="57" a="1"/>
  <c r="AI51" i="57" s="1"/>
  <c r="AE51" i="57" a="1"/>
  <c r="AE51" i="57" s="1"/>
  <c r="AT51" i="57" a="1"/>
  <c r="AT51" i="57" s="1"/>
  <c r="AP51" i="57" a="1"/>
  <c r="AP51" i="57" s="1"/>
  <c r="AL51" i="57" a="1"/>
  <c r="AL51" i="57" s="1"/>
  <c r="AH51" i="57" a="1"/>
  <c r="AH51" i="57" s="1"/>
  <c r="AD51" i="57" a="1"/>
  <c r="AD51" i="57" s="1"/>
  <c r="AA52" i="57"/>
  <c r="AS51" i="57" a="1"/>
  <c r="AS51" i="57" s="1"/>
  <c r="AO51" i="57" a="1"/>
  <c r="AO51" i="57" s="1"/>
  <c r="AK51" i="57" a="1"/>
  <c r="AK51" i="57" s="1"/>
  <c r="AG51" i="57" a="1"/>
  <c r="AG51" i="57" s="1"/>
  <c r="AC51" i="57" a="1"/>
  <c r="AC51" i="57" s="1"/>
  <c r="AV259" i="57" a="1"/>
  <c r="AV259" i="57" s="1"/>
  <c r="AT259" i="57" a="1"/>
  <c r="AT259" i="57" s="1"/>
  <c r="AR259" i="57" a="1"/>
  <c r="AR259" i="57" s="1"/>
  <c r="AP259" i="57" a="1"/>
  <c r="AP259" i="57" s="1"/>
  <c r="AN259" i="57" a="1"/>
  <c r="AN259" i="57" s="1"/>
  <c r="AL259" i="57" a="1"/>
  <c r="AL259" i="57" s="1"/>
  <c r="AJ259" i="57" a="1"/>
  <c r="AJ259" i="57" s="1"/>
  <c r="AH259" i="57" a="1"/>
  <c r="AH259" i="57" s="1"/>
  <c r="AF259" i="57" a="1"/>
  <c r="AF259" i="57" s="1"/>
  <c r="AD259" i="57" a="1"/>
  <c r="AD259" i="57" s="1"/>
  <c r="AQ259" i="57" a="1"/>
  <c r="AQ259" i="57" s="1"/>
  <c r="AI259" i="57" a="1"/>
  <c r="AI259" i="57" s="1"/>
  <c r="AA260" i="57"/>
  <c r="AS259" i="57" a="1"/>
  <c r="AS259" i="57" s="1"/>
  <c r="AE259" i="57" a="1"/>
  <c r="AE259" i="57" s="1"/>
  <c r="AM259" i="57" a="1"/>
  <c r="AM259" i="57" s="1"/>
  <c r="AC259" i="57" a="1"/>
  <c r="AC259" i="57" s="1"/>
  <c r="AU259" i="57" a="1"/>
  <c r="AU259" i="57" s="1"/>
  <c r="AK259" i="57" a="1"/>
  <c r="AK259" i="57" s="1"/>
  <c r="AG259" i="57" a="1"/>
  <c r="AG259" i="57" s="1"/>
  <c r="AO259" i="57" a="1"/>
  <c r="AO259" i="57" s="1"/>
  <c r="AY279" i="57"/>
  <c r="AV103" i="57" a="1"/>
  <c r="AV103" i="57" s="1"/>
  <c r="AT103" i="57" a="1"/>
  <c r="AT103" i="57" s="1"/>
  <c r="AR103" i="57" a="1"/>
  <c r="AR103" i="57" s="1"/>
  <c r="AP103" i="57" a="1"/>
  <c r="AP103" i="57" s="1"/>
  <c r="AN103" i="57" a="1"/>
  <c r="AN103" i="57" s="1"/>
  <c r="AL103" i="57" a="1"/>
  <c r="AL103" i="57" s="1"/>
  <c r="AJ103" i="57" a="1"/>
  <c r="AJ103" i="57" s="1"/>
  <c r="AH103" i="57" a="1"/>
  <c r="AH103" i="57" s="1"/>
  <c r="AF103" i="57" a="1"/>
  <c r="AF103" i="57" s="1"/>
  <c r="AD103" i="57" a="1"/>
  <c r="AD103" i="57" s="1"/>
  <c r="AA104" i="57"/>
  <c r="AU103" i="57" a="1"/>
  <c r="AU103" i="57" s="1"/>
  <c r="AS103" i="57" a="1"/>
  <c r="AS103" i="57" s="1"/>
  <c r="AQ103" i="57" a="1"/>
  <c r="AQ103" i="57" s="1"/>
  <c r="AO103" i="57" a="1"/>
  <c r="AO103" i="57" s="1"/>
  <c r="AM103" i="57" a="1"/>
  <c r="AM103" i="57" s="1"/>
  <c r="AK103" i="57" a="1"/>
  <c r="AK103" i="57" s="1"/>
  <c r="AI103" i="57" a="1"/>
  <c r="AI103" i="57" s="1"/>
  <c r="AG103" i="57" a="1"/>
  <c r="AG103" i="57" s="1"/>
  <c r="AE103" i="57" a="1"/>
  <c r="AE103" i="57" s="1"/>
  <c r="AC103" i="57" a="1"/>
  <c r="AC103" i="57" s="1"/>
  <c r="BA188" i="57"/>
  <c r="AA144" i="57"/>
  <c r="AU143" i="57" a="1"/>
  <c r="AU143" i="57" s="1"/>
  <c r="AS143" i="57" a="1"/>
  <c r="AS143" i="57" s="1"/>
  <c r="AQ143" i="57" a="1"/>
  <c r="AQ143" i="57" s="1"/>
  <c r="AO143" i="57" a="1"/>
  <c r="AO143" i="57" s="1"/>
  <c r="AM143" i="57" a="1"/>
  <c r="AM143" i="57" s="1"/>
  <c r="AK143" i="57" a="1"/>
  <c r="AK143" i="57" s="1"/>
  <c r="AI143" i="57" a="1"/>
  <c r="AI143" i="57" s="1"/>
  <c r="AG143" i="57" a="1"/>
  <c r="AG143" i="57" s="1"/>
  <c r="AE143" i="57" a="1"/>
  <c r="AE143" i="57" s="1"/>
  <c r="AC143" i="57" a="1"/>
  <c r="AC143" i="57" s="1"/>
  <c r="AV143" i="57" a="1"/>
  <c r="AV143" i="57" s="1"/>
  <c r="AN143" i="57" a="1"/>
  <c r="AN143" i="57" s="1"/>
  <c r="AF143" i="57" a="1"/>
  <c r="AF143" i="57" s="1"/>
  <c r="AT143" i="57" a="1"/>
  <c r="AT143" i="57" s="1"/>
  <c r="AL143" i="57" a="1"/>
  <c r="AL143" i="57" s="1"/>
  <c r="AD143" i="57" a="1"/>
  <c r="AD143" i="57" s="1"/>
  <c r="AR143" i="57" a="1"/>
  <c r="AR143" i="57" s="1"/>
  <c r="AJ143" i="57" a="1"/>
  <c r="AJ143" i="57" s="1"/>
  <c r="AP143" i="57" a="1"/>
  <c r="AP143" i="57" s="1"/>
  <c r="AH143" i="57" a="1"/>
  <c r="AH143" i="57" s="1"/>
  <c r="AY136" i="57"/>
  <c r="BO16" i="57" s="1"/>
  <c r="BA6" i="57"/>
  <c r="BQ6" i="57" s="1"/>
  <c r="AU299" i="57" a="1"/>
  <c r="AU299" i="57" s="1"/>
  <c r="AR299" i="57" a="1"/>
  <c r="AR299" i="57" s="1"/>
  <c r="AM299" i="57" a="1"/>
  <c r="AM299" i="57" s="1"/>
  <c r="BB292" i="57" s="1"/>
  <c r="AJ299" i="57" a="1"/>
  <c r="AJ299" i="57" s="1"/>
  <c r="AE299" i="57" a="1"/>
  <c r="AE299" i="57" s="1"/>
  <c r="AA300" i="57"/>
  <c r="AT299" i="57" a="1"/>
  <c r="AT299" i="57" s="1"/>
  <c r="AO299" i="57" a="1"/>
  <c r="AO299" i="57" s="1"/>
  <c r="AL299" i="57" a="1"/>
  <c r="AL299" i="57" s="1"/>
  <c r="AG299" i="57" a="1"/>
  <c r="AG299" i="57" s="1"/>
  <c r="AY292" i="57" s="1"/>
  <c r="AD299" i="57" a="1"/>
  <c r="AD299" i="57" s="1"/>
  <c r="AS299" i="57" a="1"/>
  <c r="AS299" i="57" s="1"/>
  <c r="AP299" i="57" a="1"/>
  <c r="AP299" i="57" s="1"/>
  <c r="AK299" i="57" a="1"/>
  <c r="AK299" i="57" s="1"/>
  <c r="AH299" i="57" a="1"/>
  <c r="AH299" i="57" s="1"/>
  <c r="AC299" i="57" a="1"/>
  <c r="AC299" i="57" s="1"/>
  <c r="AQ299" i="57" a="1"/>
  <c r="AQ299" i="57" s="1"/>
  <c r="BA292" i="57" s="1"/>
  <c r="AF299" i="57" a="1"/>
  <c r="AF299" i="57" s="1"/>
  <c r="AN299" i="57" a="1"/>
  <c r="AN299" i="57" s="1"/>
  <c r="AV299" i="57" a="1"/>
  <c r="AV299" i="57" s="1"/>
  <c r="AI299" i="57" a="1"/>
  <c r="AI299" i="57" s="1"/>
  <c r="AA39" i="57"/>
  <c r="AU38" i="57" a="1"/>
  <c r="AU38" i="57" s="1"/>
  <c r="AS38" i="57" a="1"/>
  <c r="AS38" i="57" s="1"/>
  <c r="AQ38" i="57" a="1"/>
  <c r="AQ38" i="57" s="1"/>
  <c r="AO38" i="57" a="1"/>
  <c r="AO38" i="57" s="1"/>
  <c r="AM38" i="57" a="1"/>
  <c r="AM38" i="57" s="1"/>
  <c r="AK38" i="57" a="1"/>
  <c r="AK38" i="57" s="1"/>
  <c r="AI38" i="57" a="1"/>
  <c r="AI38" i="57" s="1"/>
  <c r="AG38" i="57" a="1"/>
  <c r="AG38" i="57" s="1"/>
  <c r="AE38" i="57" a="1"/>
  <c r="AE38" i="57" s="1"/>
  <c r="AC38" i="57" a="1"/>
  <c r="AC38" i="57" s="1"/>
  <c r="AR38" i="57" a="1"/>
  <c r="AR38" i="57" s="1"/>
  <c r="AJ38" i="57" a="1"/>
  <c r="AJ38" i="57" s="1"/>
  <c r="AT38" i="57" a="1"/>
  <c r="AT38" i="57" s="1"/>
  <c r="AL38" i="57" a="1"/>
  <c r="AL38" i="57" s="1"/>
  <c r="AD38" i="57" a="1"/>
  <c r="AD38" i="57" s="1"/>
  <c r="AV38" i="57" a="1"/>
  <c r="AV38" i="57" s="1"/>
  <c r="AN38" i="57" a="1"/>
  <c r="AN38" i="57" s="1"/>
  <c r="AF38" i="57" a="1"/>
  <c r="AF38" i="57" s="1"/>
  <c r="AP38" i="57" a="1"/>
  <c r="AP38" i="57" s="1"/>
  <c r="AH38" i="57" a="1"/>
  <c r="AH38" i="57" s="1"/>
  <c r="AV273" i="57" a="1"/>
  <c r="AV273" i="57" s="1"/>
  <c r="AT273" i="57" a="1"/>
  <c r="AT273" i="57" s="1"/>
  <c r="AR273" i="57" a="1"/>
  <c r="AR273" i="57" s="1"/>
  <c r="AP273" i="57" a="1"/>
  <c r="AP273" i="57" s="1"/>
  <c r="AN273" i="57" a="1"/>
  <c r="AN273" i="57" s="1"/>
  <c r="AS273" i="57" a="1"/>
  <c r="AS273" i="57" s="1"/>
  <c r="AQ273" i="57" a="1"/>
  <c r="AQ273" i="57" s="1"/>
  <c r="BA266" i="57" s="1"/>
  <c r="AM273" i="57" a="1"/>
  <c r="AM273" i="57" s="1"/>
  <c r="AH273" i="57" a="1"/>
  <c r="AH273" i="57" s="1"/>
  <c r="AE273" i="57" a="1"/>
  <c r="AE273" i="57" s="1"/>
  <c r="AA274" i="57"/>
  <c r="AJ273" i="57" a="1"/>
  <c r="AJ273" i="57" s="1"/>
  <c r="AG273" i="57" a="1"/>
  <c r="AG273" i="57" s="1"/>
  <c r="AY266" i="57" s="1"/>
  <c r="AO273" i="57" a="1"/>
  <c r="AO273" i="57" s="1"/>
  <c r="AL273" i="57" a="1"/>
  <c r="AL273" i="57" s="1"/>
  <c r="AI273" i="57" a="1"/>
  <c r="AI273" i="57" s="1"/>
  <c r="AD273" i="57" a="1"/>
  <c r="AD273" i="57" s="1"/>
  <c r="AU273" i="57" a="1"/>
  <c r="AU273" i="57" s="1"/>
  <c r="AK273" i="57" a="1"/>
  <c r="AK273" i="57" s="1"/>
  <c r="AF273" i="57" a="1"/>
  <c r="AF273" i="57" s="1"/>
  <c r="AC273" i="57" a="1"/>
  <c r="AC273" i="57" s="1"/>
  <c r="AZ266" i="57" s="1"/>
  <c r="AA235" i="57"/>
  <c r="AS234" i="57" a="1"/>
  <c r="AS234" i="57" s="1"/>
  <c r="AO234" i="57" a="1"/>
  <c r="AO234" i="57" s="1"/>
  <c r="AK234" i="57" a="1"/>
  <c r="AK234" i="57" s="1"/>
  <c r="AG234" i="57" a="1"/>
  <c r="AG234" i="57" s="1"/>
  <c r="AY227" i="57" s="1"/>
  <c r="AC234" i="57" a="1"/>
  <c r="AC234" i="57" s="1"/>
  <c r="AZ227" i="57" s="1"/>
  <c r="AV234" i="57" a="1"/>
  <c r="AV234" i="57" s="1"/>
  <c r="AR234" i="57" a="1"/>
  <c r="AR234" i="57" s="1"/>
  <c r="AN234" i="57" a="1"/>
  <c r="AN234" i="57" s="1"/>
  <c r="AJ234" i="57" a="1"/>
  <c r="AJ234" i="57" s="1"/>
  <c r="AF234" i="57" a="1"/>
  <c r="AF234" i="57" s="1"/>
  <c r="AU234" i="57" a="1"/>
  <c r="AU234" i="57" s="1"/>
  <c r="AQ234" i="57" a="1"/>
  <c r="AQ234" i="57" s="1"/>
  <c r="BA227" i="57" s="1"/>
  <c r="AM234" i="57" a="1"/>
  <c r="AM234" i="57" s="1"/>
  <c r="AI234" i="57" a="1"/>
  <c r="AI234" i="57" s="1"/>
  <c r="AE234" i="57" a="1"/>
  <c r="AE234" i="57" s="1"/>
  <c r="AT234" i="57" a="1"/>
  <c r="AT234" i="57" s="1"/>
  <c r="AP234" i="57" a="1"/>
  <c r="AP234" i="57" s="1"/>
  <c r="AL234" i="57" a="1"/>
  <c r="AL234" i="57" s="1"/>
  <c r="AH234" i="57" a="1"/>
  <c r="AH234" i="57" s="1"/>
  <c r="AD234" i="57" a="1"/>
  <c r="AD234" i="57" s="1"/>
  <c r="BB227" i="57"/>
  <c r="BA136" i="57"/>
  <c r="BQ16" i="57" s="1"/>
  <c r="AA157" i="57"/>
  <c r="AT156" i="57" a="1"/>
  <c r="AT156" i="57" s="1"/>
  <c r="AO156" i="57" a="1"/>
  <c r="AO156" i="57" s="1"/>
  <c r="AL156" i="57" a="1"/>
  <c r="AL156" i="57" s="1"/>
  <c r="AG156" i="57" a="1"/>
  <c r="AG156" i="57" s="1"/>
  <c r="AD156" i="57" a="1"/>
  <c r="AD156" i="57" s="1"/>
  <c r="AV156" i="57" a="1"/>
  <c r="AV156" i="57" s="1"/>
  <c r="AQ156" i="57" a="1"/>
  <c r="AQ156" i="57" s="1"/>
  <c r="AN156" i="57" a="1"/>
  <c r="AN156" i="57" s="1"/>
  <c r="AI156" i="57" a="1"/>
  <c r="AI156" i="57" s="1"/>
  <c r="AF156" i="57" a="1"/>
  <c r="AF156" i="57" s="1"/>
  <c r="AS156" i="57" a="1"/>
  <c r="AS156" i="57" s="1"/>
  <c r="AP156" i="57" a="1"/>
  <c r="AP156" i="57" s="1"/>
  <c r="AK156" i="57" a="1"/>
  <c r="AK156" i="57" s="1"/>
  <c r="AH156" i="57" a="1"/>
  <c r="AH156" i="57" s="1"/>
  <c r="AC156" i="57" a="1"/>
  <c r="AC156" i="57" s="1"/>
  <c r="AU156" i="57" a="1"/>
  <c r="AU156" i="57" s="1"/>
  <c r="AR156" i="57" a="1"/>
  <c r="AR156" i="57" s="1"/>
  <c r="AM156" i="57" a="1"/>
  <c r="AM156" i="57" s="1"/>
  <c r="BB149" i="57" s="1"/>
  <c r="BR17" i="57" s="1"/>
  <c r="AJ156" i="57" a="1"/>
  <c r="AJ156" i="57" s="1"/>
  <c r="AE156" i="57" a="1"/>
  <c r="AE156" i="57" s="1"/>
  <c r="AA130" i="57"/>
  <c r="AU129" i="57" a="1"/>
  <c r="AU129" i="57" s="1"/>
  <c r="AS129" i="57" a="1"/>
  <c r="AS129" i="57" s="1"/>
  <c r="AQ129" i="57" a="1"/>
  <c r="AQ129" i="57" s="1"/>
  <c r="AO129" i="57" a="1"/>
  <c r="AO129" i="57" s="1"/>
  <c r="AM129" i="57" a="1"/>
  <c r="AM129" i="57" s="1"/>
  <c r="AK129" i="57" a="1"/>
  <c r="AK129" i="57" s="1"/>
  <c r="AI129" i="57" a="1"/>
  <c r="AI129" i="57" s="1"/>
  <c r="AG129" i="57" a="1"/>
  <c r="AG129" i="57" s="1"/>
  <c r="AE129" i="57" a="1"/>
  <c r="AE129" i="57" s="1"/>
  <c r="AC129" i="57" a="1"/>
  <c r="AC129" i="57" s="1"/>
  <c r="AV129" i="57" a="1"/>
  <c r="AV129" i="57" s="1"/>
  <c r="AT129" i="57" a="1"/>
  <c r="AT129" i="57" s="1"/>
  <c r="AR129" i="57" a="1"/>
  <c r="AR129" i="57" s="1"/>
  <c r="AP129" i="57" a="1"/>
  <c r="AP129" i="57" s="1"/>
  <c r="AN129" i="57" a="1"/>
  <c r="AN129" i="57" s="1"/>
  <c r="AL129" i="57" a="1"/>
  <c r="AL129" i="57" s="1"/>
  <c r="AJ129" i="57" a="1"/>
  <c r="AJ129" i="57" s="1"/>
  <c r="AH129" i="57" a="1"/>
  <c r="AH129" i="57" s="1"/>
  <c r="AF129" i="57" a="1"/>
  <c r="AF129" i="57" s="1"/>
  <c r="AD129" i="57" a="1"/>
  <c r="AD129" i="57" s="1"/>
  <c r="AY175" i="57"/>
  <c r="AA222" i="57"/>
  <c r="AY214" i="57"/>
  <c r="BB214" i="57"/>
  <c r="AV90" i="57" a="1"/>
  <c r="AV90" i="57" s="1"/>
  <c r="AT90" i="57" a="1"/>
  <c r="AT90" i="57" s="1"/>
  <c r="AR90" i="57" a="1"/>
  <c r="AR90" i="57" s="1"/>
  <c r="AP90" i="57" a="1"/>
  <c r="AP90" i="57" s="1"/>
  <c r="AN90" i="57" a="1"/>
  <c r="AN90" i="57" s="1"/>
  <c r="AL90" i="57" a="1"/>
  <c r="AL90" i="57" s="1"/>
  <c r="AJ90" i="57" a="1"/>
  <c r="AJ90" i="57" s="1"/>
  <c r="AH90" i="57" a="1"/>
  <c r="AH90" i="57" s="1"/>
  <c r="AF90" i="57" a="1"/>
  <c r="AF90" i="57" s="1"/>
  <c r="AD90" i="57" a="1"/>
  <c r="AD90" i="57" s="1"/>
  <c r="AA91" i="57"/>
  <c r="AU90" i="57" a="1"/>
  <c r="AU90" i="57" s="1"/>
  <c r="AS90" i="57" a="1"/>
  <c r="AS90" i="57" s="1"/>
  <c r="AQ90" i="57" a="1"/>
  <c r="AQ90" i="57" s="1"/>
  <c r="AO90" i="57" a="1"/>
  <c r="AO90" i="57" s="1"/>
  <c r="AM90" i="57" a="1"/>
  <c r="AM90" i="57" s="1"/>
  <c r="AK90" i="57" a="1"/>
  <c r="AK90" i="57" s="1"/>
  <c r="AI90" i="57" a="1"/>
  <c r="AI90" i="57" s="1"/>
  <c r="AG90" i="57" a="1"/>
  <c r="AG90" i="57" s="1"/>
  <c r="AE90" i="57" a="1"/>
  <c r="AE90" i="57" s="1"/>
  <c r="AC90" i="57" a="1"/>
  <c r="AC90" i="57" s="1"/>
  <c r="AZ292" i="57"/>
  <c r="AZ214" i="57" l="1"/>
  <c r="AZ188" i="57"/>
  <c r="BA175" i="57"/>
  <c r="AZ175" i="57"/>
  <c r="BB175" i="57"/>
  <c r="AY149" i="57"/>
  <c r="BO17" i="57" s="1"/>
  <c r="AZ149" i="57"/>
  <c r="BP17" i="57" s="1"/>
  <c r="BA149" i="57"/>
  <c r="BQ17" i="57" s="1"/>
  <c r="AZ136" i="57"/>
  <c r="BP16" i="57" s="1"/>
  <c r="BB136" i="57"/>
  <c r="BR16" i="57" s="1"/>
  <c r="AN26" i="57" a="1"/>
  <c r="AN26" i="57" s="1"/>
  <c r="AH26" i="57" a="1"/>
  <c r="AH26" i="57" s="1"/>
  <c r="AU26" i="57" a="1"/>
  <c r="AU26" i="57" s="1"/>
  <c r="AE26" i="57" a="1"/>
  <c r="AE26" i="57" s="1"/>
  <c r="AG26" i="57" a="1"/>
  <c r="AG26" i="57" s="1"/>
  <c r="AY19" i="57" s="1"/>
  <c r="BO7" i="57" s="1"/>
  <c r="AV26" i="57" a="1"/>
  <c r="AV26" i="57" s="1"/>
  <c r="AF26" i="57" a="1"/>
  <c r="AF26" i="57" s="1"/>
  <c r="AK26" i="57" a="1"/>
  <c r="AK26" i="57" s="1"/>
  <c r="AM26" i="57" a="1"/>
  <c r="AM26" i="57" s="1"/>
  <c r="BB19" i="57" s="1"/>
  <c r="BR7" i="57" s="1"/>
  <c r="AO26" i="57" a="1"/>
  <c r="AO26" i="57" s="1"/>
  <c r="AQ26" i="57" a="1"/>
  <c r="AQ26" i="57" s="1"/>
  <c r="AP26" i="57" a="1"/>
  <c r="AP26" i="57" s="1"/>
  <c r="AC26" i="57" a="1"/>
  <c r="AC26" i="57" s="1"/>
  <c r="AZ19" i="57" s="1"/>
  <c r="BP7" i="57" s="1"/>
  <c r="AJ26" i="57" a="1"/>
  <c r="AJ26" i="57" s="1"/>
  <c r="AL26" i="57" a="1"/>
  <c r="AL26" i="57" s="1"/>
  <c r="AA27" i="57"/>
  <c r="AI26" i="57" a="1"/>
  <c r="AI26" i="57" s="1"/>
  <c r="AS26" i="57" a="1"/>
  <c r="AS26" i="57" s="1"/>
  <c r="AR26" i="57" a="1"/>
  <c r="AR26" i="57" s="1"/>
  <c r="AT26" i="57" a="1"/>
  <c r="AT26" i="57" s="1"/>
  <c r="AD26" i="57" a="1"/>
  <c r="AD26" i="57" s="1"/>
  <c r="AY6" i="57"/>
  <c r="BO6" i="57" s="1"/>
  <c r="BB188" i="57"/>
  <c r="AA236" i="57"/>
  <c r="AU235" i="57" a="1"/>
  <c r="AU235" i="57" s="1"/>
  <c r="AS235" i="57" a="1"/>
  <c r="AS235" i="57" s="1"/>
  <c r="AQ235" i="57" a="1"/>
  <c r="AQ235" i="57" s="1"/>
  <c r="AO235" i="57" a="1"/>
  <c r="AO235" i="57" s="1"/>
  <c r="AM235" i="57" a="1"/>
  <c r="AM235" i="57" s="1"/>
  <c r="AK235" i="57" a="1"/>
  <c r="AK235" i="57" s="1"/>
  <c r="AI235" i="57" a="1"/>
  <c r="AI235" i="57" s="1"/>
  <c r="AG235" i="57" a="1"/>
  <c r="AG235" i="57" s="1"/>
  <c r="AE235" i="57" a="1"/>
  <c r="AE235" i="57" s="1"/>
  <c r="AP235" i="57" a="1"/>
  <c r="AP235" i="57" s="1"/>
  <c r="AH235" i="57" a="1"/>
  <c r="AH235" i="57" s="1"/>
  <c r="AV235" i="57" a="1"/>
  <c r="AV235" i="57" s="1"/>
  <c r="AN235" i="57" a="1"/>
  <c r="AN235" i="57" s="1"/>
  <c r="AF235" i="57" a="1"/>
  <c r="AF235" i="57" s="1"/>
  <c r="AT235" i="57" a="1"/>
  <c r="AT235" i="57" s="1"/>
  <c r="AL235" i="57" a="1"/>
  <c r="AL235" i="57" s="1"/>
  <c r="AD235" i="57" a="1"/>
  <c r="AD235" i="57" s="1"/>
  <c r="AR235" i="57" a="1"/>
  <c r="AR235" i="57" s="1"/>
  <c r="AJ235" i="57" a="1"/>
  <c r="AJ235" i="57" s="1"/>
  <c r="AC235" i="57" a="1"/>
  <c r="AC235" i="57" s="1"/>
  <c r="BB266" i="57"/>
  <c r="AA145" i="57"/>
  <c r="AU144" i="57" a="1"/>
  <c r="AU144" i="57" s="1"/>
  <c r="AS144" i="57" a="1"/>
  <c r="AS144" i="57" s="1"/>
  <c r="AQ144" i="57" a="1"/>
  <c r="AQ144" i="57" s="1"/>
  <c r="AO144" i="57" a="1"/>
  <c r="AO144" i="57" s="1"/>
  <c r="AM144" i="57" a="1"/>
  <c r="AM144" i="57" s="1"/>
  <c r="AV144" i="57" a="1"/>
  <c r="AV144" i="57" s="1"/>
  <c r="AT144" i="57" a="1"/>
  <c r="AT144" i="57" s="1"/>
  <c r="AR144" i="57" a="1"/>
  <c r="AR144" i="57" s="1"/>
  <c r="AP144" i="57" a="1"/>
  <c r="AP144" i="57" s="1"/>
  <c r="AN144" i="57" a="1"/>
  <c r="AN144" i="57" s="1"/>
  <c r="AL144" i="57" a="1"/>
  <c r="AL144" i="57" s="1"/>
  <c r="AJ144" i="57" a="1"/>
  <c r="AJ144" i="57" s="1"/>
  <c r="AH144" i="57" a="1"/>
  <c r="AH144" i="57" s="1"/>
  <c r="AF144" i="57" a="1"/>
  <c r="AF144" i="57" s="1"/>
  <c r="AD144" i="57" a="1"/>
  <c r="AD144" i="57" s="1"/>
  <c r="AI144" i="57" a="1"/>
  <c r="AI144" i="57" s="1"/>
  <c r="AG144" i="57" a="1"/>
  <c r="AG144" i="57" s="1"/>
  <c r="AE144" i="57" a="1"/>
  <c r="AE144" i="57" s="1"/>
  <c r="AK144" i="57" a="1"/>
  <c r="AK144" i="57" s="1"/>
  <c r="AC144" i="57" a="1"/>
  <c r="AC144" i="57" s="1"/>
  <c r="AA105" i="57"/>
  <c r="AU104" i="57" a="1"/>
  <c r="AU104" i="57" s="1"/>
  <c r="AS104" i="57" a="1"/>
  <c r="AS104" i="57" s="1"/>
  <c r="AQ104" i="57" a="1"/>
  <c r="AQ104" i="57" s="1"/>
  <c r="AO104" i="57" a="1"/>
  <c r="AO104" i="57" s="1"/>
  <c r="AM104" i="57" a="1"/>
  <c r="AM104" i="57" s="1"/>
  <c r="AK104" i="57" a="1"/>
  <c r="AK104" i="57" s="1"/>
  <c r="AI104" i="57" a="1"/>
  <c r="AI104" i="57" s="1"/>
  <c r="AG104" i="57" a="1"/>
  <c r="AG104" i="57" s="1"/>
  <c r="AE104" i="57" a="1"/>
  <c r="AE104" i="57" s="1"/>
  <c r="AC104" i="57" a="1"/>
  <c r="AC104" i="57" s="1"/>
  <c r="AV104" i="57" a="1"/>
  <c r="AV104" i="57" s="1"/>
  <c r="AT104" i="57" a="1"/>
  <c r="AT104" i="57" s="1"/>
  <c r="AR104" i="57" a="1"/>
  <c r="AR104" i="57" s="1"/>
  <c r="AP104" i="57" a="1"/>
  <c r="AP104" i="57" s="1"/>
  <c r="AN104" i="57" a="1"/>
  <c r="AN104" i="57" s="1"/>
  <c r="AL104" i="57" a="1"/>
  <c r="AL104" i="57" s="1"/>
  <c r="AJ104" i="57" a="1"/>
  <c r="AJ104" i="57" s="1"/>
  <c r="AZ97" i="57" s="1"/>
  <c r="BP13" i="57" s="1"/>
  <c r="AH104" i="57" a="1"/>
  <c r="AH104" i="57" s="1"/>
  <c r="AF104" i="57" a="1"/>
  <c r="AF104" i="57" s="1"/>
  <c r="AD104" i="57" a="1"/>
  <c r="AD104" i="57" s="1"/>
  <c r="AU52" i="57" a="1"/>
  <c r="AU52" i="57" s="1"/>
  <c r="AQ52" i="57" a="1"/>
  <c r="AQ52" i="57" s="1"/>
  <c r="AM52" i="57" a="1"/>
  <c r="AM52" i="57" s="1"/>
  <c r="AI52" i="57" a="1"/>
  <c r="AI52" i="57" s="1"/>
  <c r="AE52" i="57" a="1"/>
  <c r="AE52" i="57" s="1"/>
  <c r="AT52" i="57" a="1"/>
  <c r="AT52" i="57" s="1"/>
  <c r="AP52" i="57" a="1"/>
  <c r="AP52" i="57" s="1"/>
  <c r="AL52" i="57" a="1"/>
  <c r="AL52" i="57" s="1"/>
  <c r="AH52" i="57" a="1"/>
  <c r="AH52" i="57" s="1"/>
  <c r="AD52" i="57" a="1"/>
  <c r="AD52" i="57" s="1"/>
  <c r="AA53" i="57"/>
  <c r="AS52" i="57" a="1"/>
  <c r="AS52" i="57" s="1"/>
  <c r="AO52" i="57" a="1"/>
  <c r="AO52" i="57" s="1"/>
  <c r="AK52" i="57" a="1"/>
  <c r="AK52" i="57" s="1"/>
  <c r="AG52" i="57" a="1"/>
  <c r="AG52" i="57" s="1"/>
  <c r="AY45" i="57" s="1"/>
  <c r="BO9" i="57" s="1"/>
  <c r="AC52" i="57" a="1"/>
  <c r="AC52" i="57" s="1"/>
  <c r="AV52" i="57" a="1"/>
  <c r="AV52" i="57" s="1"/>
  <c r="AR52" i="57" a="1"/>
  <c r="AR52" i="57" s="1"/>
  <c r="AN52" i="57" a="1"/>
  <c r="AN52" i="57" s="1"/>
  <c r="AJ52" i="57" a="1"/>
  <c r="AJ52" i="57" s="1"/>
  <c r="AF52" i="57" a="1"/>
  <c r="AF52" i="57" s="1"/>
  <c r="AZ45" i="57" s="1"/>
  <c r="BP9" i="57" s="1"/>
  <c r="AV183" i="57" a="1"/>
  <c r="AV183" i="57" s="1"/>
  <c r="AT183" i="57" a="1"/>
  <c r="AT183" i="57" s="1"/>
  <c r="AR183" i="57" a="1"/>
  <c r="AR183" i="57" s="1"/>
  <c r="AP183" i="57" a="1"/>
  <c r="AP183" i="57" s="1"/>
  <c r="AN183" i="57" a="1"/>
  <c r="AN183" i="57" s="1"/>
  <c r="AL183" i="57" a="1"/>
  <c r="AL183" i="57" s="1"/>
  <c r="AJ183" i="57" a="1"/>
  <c r="AJ183" i="57" s="1"/>
  <c r="AH183" i="57" a="1"/>
  <c r="AH183" i="57" s="1"/>
  <c r="AF183" i="57" a="1"/>
  <c r="AF183" i="57" s="1"/>
  <c r="AD183" i="57" a="1"/>
  <c r="AD183" i="57" s="1"/>
  <c r="AA184" i="57"/>
  <c r="AO183" i="57" a="1"/>
  <c r="AO183" i="57" s="1"/>
  <c r="AG183" i="57" a="1"/>
  <c r="AG183" i="57" s="1"/>
  <c r="AQ183" i="57" a="1"/>
  <c r="AQ183" i="57" s="1"/>
  <c r="AI183" i="57" a="1"/>
  <c r="AI183" i="57" s="1"/>
  <c r="AS183" i="57" a="1"/>
  <c r="AS183" i="57" s="1"/>
  <c r="AK183" i="57" a="1"/>
  <c r="AK183" i="57" s="1"/>
  <c r="AC183" i="57" a="1"/>
  <c r="AC183" i="57" s="1"/>
  <c r="AU183" i="57" a="1"/>
  <c r="AU183" i="57" s="1"/>
  <c r="AM183" i="57" a="1"/>
  <c r="AM183" i="57" s="1"/>
  <c r="AE183" i="57" a="1"/>
  <c r="AE183" i="57" s="1"/>
  <c r="AA288" i="57"/>
  <c r="AU287" i="57" a="1"/>
  <c r="AU287" i="57" s="1"/>
  <c r="AS287" i="57" a="1"/>
  <c r="AS287" i="57" s="1"/>
  <c r="AQ287" i="57" a="1"/>
  <c r="AQ287" i="57" s="1"/>
  <c r="AO287" i="57" a="1"/>
  <c r="AO287" i="57" s="1"/>
  <c r="AM287" i="57" a="1"/>
  <c r="AM287" i="57" s="1"/>
  <c r="AK287" i="57" a="1"/>
  <c r="AK287" i="57" s="1"/>
  <c r="AI287" i="57" a="1"/>
  <c r="AI287" i="57" s="1"/>
  <c r="AG287" i="57" a="1"/>
  <c r="AG287" i="57" s="1"/>
  <c r="AE287" i="57" a="1"/>
  <c r="AE287" i="57" s="1"/>
  <c r="AC287" i="57" a="1"/>
  <c r="AC287" i="57" s="1"/>
  <c r="AT287" i="57" a="1"/>
  <c r="AT287" i="57" s="1"/>
  <c r="AP287" i="57" a="1"/>
  <c r="AP287" i="57" s="1"/>
  <c r="AL287" i="57" a="1"/>
  <c r="AL287" i="57" s="1"/>
  <c r="AH287" i="57" a="1"/>
  <c r="AH287" i="57" s="1"/>
  <c r="AD287" i="57" a="1"/>
  <c r="AD287" i="57" s="1"/>
  <c r="AV287" i="57" a="1"/>
  <c r="AV287" i="57" s="1"/>
  <c r="AR287" i="57" a="1"/>
  <c r="AR287" i="57" s="1"/>
  <c r="AN287" i="57" a="1"/>
  <c r="AN287" i="57" s="1"/>
  <c r="AJ287" i="57" a="1"/>
  <c r="AJ287" i="57" s="1"/>
  <c r="AF287" i="57" a="1"/>
  <c r="AF287" i="57" s="1"/>
  <c r="AU247" i="57" a="1"/>
  <c r="AU247" i="57" s="1"/>
  <c r="AR247" i="57" a="1"/>
  <c r="AR247" i="57" s="1"/>
  <c r="AM247" i="57" a="1"/>
  <c r="AM247" i="57" s="1"/>
  <c r="BB240" i="57" s="1"/>
  <c r="AJ247" i="57" a="1"/>
  <c r="AJ247" i="57" s="1"/>
  <c r="AE247" i="57" a="1"/>
  <c r="AE247" i="57" s="1"/>
  <c r="AA248" i="57"/>
  <c r="AT247" i="57" a="1"/>
  <c r="AT247" i="57" s="1"/>
  <c r="AO247" i="57" a="1"/>
  <c r="AO247" i="57" s="1"/>
  <c r="AL247" i="57" a="1"/>
  <c r="AL247" i="57" s="1"/>
  <c r="AG247" i="57" a="1"/>
  <c r="AG247" i="57" s="1"/>
  <c r="AD247" i="57" a="1"/>
  <c r="AD247" i="57" s="1"/>
  <c r="AV247" i="57" a="1"/>
  <c r="AV247" i="57" s="1"/>
  <c r="AQ247" i="57" a="1"/>
  <c r="AQ247" i="57" s="1"/>
  <c r="BA240" i="57" s="1"/>
  <c r="AN247" i="57" a="1"/>
  <c r="AN247" i="57" s="1"/>
  <c r="AI247" i="57" a="1"/>
  <c r="AI247" i="57" s="1"/>
  <c r="AF247" i="57" a="1"/>
  <c r="AF247" i="57" s="1"/>
  <c r="AP247" i="57" a="1"/>
  <c r="AP247" i="57" s="1"/>
  <c r="AC247" i="57" a="1"/>
  <c r="AC247" i="57" s="1"/>
  <c r="AK247" i="57" a="1"/>
  <c r="AK247" i="57" s="1"/>
  <c r="AS247" i="57" a="1"/>
  <c r="AS247" i="57" s="1"/>
  <c r="AH247" i="57" a="1"/>
  <c r="AH247" i="57" s="1"/>
  <c r="AA92" i="57"/>
  <c r="AU91" i="57" a="1"/>
  <c r="AU91" i="57" s="1"/>
  <c r="AS91" i="57" a="1"/>
  <c r="AS91" i="57" s="1"/>
  <c r="AQ91" i="57" a="1"/>
  <c r="AQ91" i="57" s="1"/>
  <c r="AO91" i="57" a="1"/>
  <c r="AO91" i="57" s="1"/>
  <c r="AM91" i="57" a="1"/>
  <c r="AM91" i="57" s="1"/>
  <c r="AK91" i="57" a="1"/>
  <c r="AK91" i="57" s="1"/>
  <c r="AI91" i="57" a="1"/>
  <c r="AI91" i="57" s="1"/>
  <c r="AG91" i="57" a="1"/>
  <c r="AG91" i="57" s="1"/>
  <c r="AE91" i="57" a="1"/>
  <c r="AE91" i="57" s="1"/>
  <c r="AC91" i="57" a="1"/>
  <c r="AC91" i="57" s="1"/>
  <c r="AV91" i="57" a="1"/>
  <c r="AV91" i="57" s="1"/>
  <c r="AT91" i="57" a="1"/>
  <c r="AT91" i="57" s="1"/>
  <c r="AR91" i="57" a="1"/>
  <c r="AR91" i="57" s="1"/>
  <c r="AP91" i="57" a="1"/>
  <c r="AP91" i="57" s="1"/>
  <c r="AN91" i="57" a="1"/>
  <c r="AN91" i="57" s="1"/>
  <c r="AL91" i="57" a="1"/>
  <c r="AL91" i="57" s="1"/>
  <c r="AJ91" i="57" a="1"/>
  <c r="AJ91" i="57" s="1"/>
  <c r="AH91" i="57" a="1"/>
  <c r="AH91" i="57" s="1"/>
  <c r="AF91" i="57" a="1"/>
  <c r="AF91" i="57" s="1"/>
  <c r="AZ84" i="57" s="1"/>
  <c r="BP12" i="57" s="1"/>
  <c r="AD91" i="57" a="1"/>
  <c r="AD91" i="57" s="1"/>
  <c r="BA84" i="57"/>
  <c r="BQ12" i="57" s="1"/>
  <c r="BA214" i="57"/>
  <c r="AT157" i="57" a="1"/>
  <c r="AT157" i="57" s="1"/>
  <c r="AP157" i="57" a="1"/>
  <c r="AP157" i="57" s="1"/>
  <c r="AJ157" i="57" a="1"/>
  <c r="AJ157" i="57" s="1"/>
  <c r="AG157" i="57" a="1"/>
  <c r="AG157" i="57" s="1"/>
  <c r="AA158" i="57"/>
  <c r="AS157" i="57" a="1"/>
  <c r="AS157" i="57" s="1"/>
  <c r="AO157" i="57" a="1"/>
  <c r="AO157" i="57" s="1"/>
  <c r="AL157" i="57" a="1"/>
  <c r="AL157" i="57" s="1"/>
  <c r="AI157" i="57" a="1"/>
  <c r="AI157" i="57" s="1"/>
  <c r="AD157" i="57" a="1"/>
  <c r="AD157" i="57" s="1"/>
  <c r="AV157" i="57" a="1"/>
  <c r="AV157" i="57" s="1"/>
  <c r="AR157" i="57" a="1"/>
  <c r="AR157" i="57" s="1"/>
  <c r="AN157" i="57" a="1"/>
  <c r="AN157" i="57" s="1"/>
  <c r="AK157" i="57" a="1"/>
  <c r="AK157" i="57" s="1"/>
  <c r="AF157" i="57" a="1"/>
  <c r="AF157" i="57" s="1"/>
  <c r="AC157" i="57" a="1"/>
  <c r="AC157" i="57" s="1"/>
  <c r="AU157" i="57" a="1"/>
  <c r="AU157" i="57" s="1"/>
  <c r="AQ157" i="57" a="1"/>
  <c r="AQ157" i="57" s="1"/>
  <c r="AM157" i="57" a="1"/>
  <c r="AM157" i="57" s="1"/>
  <c r="AH157" i="57" a="1"/>
  <c r="AH157" i="57" s="1"/>
  <c r="AE157" i="57" a="1"/>
  <c r="AE157" i="57" s="1"/>
  <c r="AA275" i="57"/>
  <c r="AU274" i="57" a="1"/>
  <c r="AU274" i="57" s="1"/>
  <c r="AS274" i="57" a="1"/>
  <c r="AS274" i="57" s="1"/>
  <c r="AQ274" i="57" a="1"/>
  <c r="AQ274" i="57" s="1"/>
  <c r="AO274" i="57" a="1"/>
  <c r="AO274" i="57" s="1"/>
  <c r="AM274" i="57" a="1"/>
  <c r="AM274" i="57" s="1"/>
  <c r="AK274" i="57" a="1"/>
  <c r="AK274" i="57" s="1"/>
  <c r="AI274" i="57" a="1"/>
  <c r="AI274" i="57" s="1"/>
  <c r="AG274" i="57" a="1"/>
  <c r="AG274" i="57" s="1"/>
  <c r="AE274" i="57" a="1"/>
  <c r="AE274" i="57" s="1"/>
  <c r="AC274" i="57" a="1"/>
  <c r="AC274" i="57" s="1"/>
  <c r="AV274" i="57" a="1"/>
  <c r="AV274" i="57" s="1"/>
  <c r="AN274" i="57" a="1"/>
  <c r="AN274" i="57" s="1"/>
  <c r="AF274" i="57" a="1"/>
  <c r="AF274" i="57" s="1"/>
  <c r="AJ274" i="57" a="1"/>
  <c r="AJ274" i="57" s="1"/>
  <c r="AT274" i="57" a="1"/>
  <c r="AT274" i="57" s="1"/>
  <c r="AP274" i="57" a="1"/>
  <c r="AP274" i="57" s="1"/>
  <c r="AL274" i="57" a="1"/>
  <c r="AL274" i="57" s="1"/>
  <c r="AH274" i="57" a="1"/>
  <c r="AH274" i="57" s="1"/>
  <c r="AR274" i="57" a="1"/>
  <c r="AR274" i="57" s="1"/>
  <c r="AD274" i="57" a="1"/>
  <c r="AD274" i="57" s="1"/>
  <c r="AV39" i="57" a="1"/>
  <c r="AV39" i="57" s="1"/>
  <c r="AT39" i="57" a="1"/>
  <c r="AT39" i="57" s="1"/>
  <c r="AR39" i="57" a="1"/>
  <c r="AR39" i="57" s="1"/>
  <c r="AP39" i="57" a="1"/>
  <c r="AP39" i="57" s="1"/>
  <c r="AN39" i="57" a="1"/>
  <c r="AN39" i="57" s="1"/>
  <c r="AL39" i="57" a="1"/>
  <c r="AL39" i="57" s="1"/>
  <c r="AJ39" i="57" a="1"/>
  <c r="AJ39" i="57" s="1"/>
  <c r="AH39" i="57" a="1"/>
  <c r="AH39" i="57" s="1"/>
  <c r="AF39" i="57" a="1"/>
  <c r="AF39" i="57" s="1"/>
  <c r="AD39" i="57" a="1"/>
  <c r="AD39" i="57" s="1"/>
  <c r="AU39" i="57" a="1"/>
  <c r="AU39" i="57" s="1"/>
  <c r="AM39" i="57" a="1"/>
  <c r="AM39" i="57" s="1"/>
  <c r="AE39" i="57" a="1"/>
  <c r="AE39" i="57" s="1"/>
  <c r="AA40" i="57"/>
  <c r="AO39" i="57" a="1"/>
  <c r="AO39" i="57" s="1"/>
  <c r="AG39" i="57" a="1"/>
  <c r="AG39" i="57" s="1"/>
  <c r="AY32" i="57" s="1"/>
  <c r="BO8" i="57" s="1"/>
  <c r="AQ39" i="57" a="1"/>
  <c r="AQ39" i="57" s="1"/>
  <c r="AI39" i="57" a="1"/>
  <c r="AI39" i="57" s="1"/>
  <c r="AS39" i="57" a="1"/>
  <c r="AS39" i="57" s="1"/>
  <c r="AK39" i="57" a="1"/>
  <c r="AK39" i="57" s="1"/>
  <c r="AC39" i="57" a="1"/>
  <c r="AC39" i="57" s="1"/>
  <c r="AZ32" i="57" s="1"/>
  <c r="BP8" i="57" s="1"/>
  <c r="AU300" i="57" a="1"/>
  <c r="AU300" i="57" s="1"/>
  <c r="AP300" i="57" a="1"/>
  <c r="AP300" i="57" s="1"/>
  <c r="AM300" i="57" a="1"/>
  <c r="AM300" i="57" s="1"/>
  <c r="AH300" i="57" a="1"/>
  <c r="AH300" i="57" s="1"/>
  <c r="AE300" i="57" a="1"/>
  <c r="AE300" i="57" s="1"/>
  <c r="AA301" i="57"/>
  <c r="AR300" i="57" a="1"/>
  <c r="AR300" i="57" s="1"/>
  <c r="AO300" i="57" a="1"/>
  <c r="AO300" i="57" s="1"/>
  <c r="AJ300" i="57" a="1"/>
  <c r="AJ300" i="57" s="1"/>
  <c r="AG300" i="57" a="1"/>
  <c r="AG300" i="57" s="1"/>
  <c r="AV300" i="57" a="1"/>
  <c r="AV300" i="57" s="1"/>
  <c r="AS300" i="57" a="1"/>
  <c r="AS300" i="57" s="1"/>
  <c r="AN300" i="57" a="1"/>
  <c r="AN300" i="57" s="1"/>
  <c r="AK300" i="57" a="1"/>
  <c r="AK300" i="57" s="1"/>
  <c r="AF300" i="57" a="1"/>
  <c r="AF300" i="57" s="1"/>
  <c r="AC300" i="57" a="1"/>
  <c r="AC300" i="57" s="1"/>
  <c r="AQ300" i="57" a="1"/>
  <c r="AQ300" i="57" s="1"/>
  <c r="AD300" i="57" a="1"/>
  <c r="AD300" i="57" s="1"/>
  <c r="AL300" i="57" a="1"/>
  <c r="AL300" i="57" s="1"/>
  <c r="AT300" i="57" a="1"/>
  <c r="AT300" i="57" s="1"/>
  <c r="AI300" i="57" a="1"/>
  <c r="AI300" i="57" s="1"/>
  <c r="AA261" i="57"/>
  <c r="AU260" i="57" a="1"/>
  <c r="AU260" i="57" s="1"/>
  <c r="AS260" i="57" a="1"/>
  <c r="AS260" i="57" s="1"/>
  <c r="AQ260" i="57" a="1"/>
  <c r="AQ260" i="57" s="1"/>
  <c r="AO260" i="57" a="1"/>
  <c r="AO260" i="57" s="1"/>
  <c r="AM260" i="57" a="1"/>
  <c r="AM260" i="57" s="1"/>
  <c r="AK260" i="57" a="1"/>
  <c r="AK260" i="57" s="1"/>
  <c r="AI260" i="57" a="1"/>
  <c r="AI260" i="57" s="1"/>
  <c r="AG260" i="57" a="1"/>
  <c r="AG260" i="57" s="1"/>
  <c r="AY253" i="57" s="1"/>
  <c r="AE260" i="57" a="1"/>
  <c r="AE260" i="57" s="1"/>
  <c r="AC260" i="57" a="1"/>
  <c r="AC260" i="57" s="1"/>
  <c r="AT260" i="57" a="1"/>
  <c r="AT260" i="57" s="1"/>
  <c r="AL260" i="57" a="1"/>
  <c r="AL260" i="57" s="1"/>
  <c r="AD260" i="57" a="1"/>
  <c r="AD260" i="57" s="1"/>
  <c r="AP260" i="57" a="1"/>
  <c r="AP260" i="57" s="1"/>
  <c r="AF260" i="57" a="1"/>
  <c r="AF260" i="57" s="1"/>
  <c r="AN260" i="57" a="1"/>
  <c r="AN260" i="57" s="1"/>
  <c r="AJ260" i="57" a="1"/>
  <c r="AJ260" i="57" s="1"/>
  <c r="AV260" i="57" a="1"/>
  <c r="AV260" i="57" s="1"/>
  <c r="AR260" i="57" a="1"/>
  <c r="AR260" i="57" s="1"/>
  <c r="AH260" i="57" a="1"/>
  <c r="AH260" i="57" s="1"/>
  <c r="AS208" i="57" a="1"/>
  <c r="AS208" i="57" s="1"/>
  <c r="AP208" i="57" a="1"/>
  <c r="AP208" i="57" s="1"/>
  <c r="AK208" i="57" a="1"/>
  <c r="AK208" i="57" s="1"/>
  <c r="AH208" i="57" a="1"/>
  <c r="AH208" i="57" s="1"/>
  <c r="AC208" i="57" a="1"/>
  <c r="AC208" i="57" s="1"/>
  <c r="AU208" i="57" a="1"/>
  <c r="AU208" i="57" s="1"/>
  <c r="AR208" i="57" a="1"/>
  <c r="AR208" i="57" s="1"/>
  <c r="AM208" i="57" a="1"/>
  <c r="AM208" i="57" s="1"/>
  <c r="AJ208" i="57" a="1"/>
  <c r="AJ208" i="57" s="1"/>
  <c r="AE208" i="57" a="1"/>
  <c r="AE208" i="57" s="1"/>
  <c r="AZ201" i="57" s="1"/>
  <c r="AA209" i="57"/>
  <c r="AT208" i="57" a="1"/>
  <c r="AT208" i="57" s="1"/>
  <c r="AO208" i="57" a="1"/>
  <c r="AO208" i="57" s="1"/>
  <c r="AL208" i="57" a="1"/>
  <c r="AL208" i="57" s="1"/>
  <c r="AG208" i="57" a="1"/>
  <c r="AG208" i="57" s="1"/>
  <c r="AY201" i="57" s="1"/>
  <c r="AD208" i="57" a="1"/>
  <c r="AD208" i="57" s="1"/>
  <c r="AV208" i="57" a="1"/>
  <c r="AV208" i="57" s="1"/>
  <c r="AQ208" i="57" a="1"/>
  <c r="AQ208" i="57" s="1"/>
  <c r="BA201" i="57" s="1"/>
  <c r="AN208" i="57" a="1"/>
  <c r="AN208" i="57" s="1"/>
  <c r="AI208" i="57" a="1"/>
  <c r="AI208" i="57" s="1"/>
  <c r="AF208" i="57" a="1"/>
  <c r="AF208" i="57" s="1"/>
  <c r="AV65" i="57" a="1"/>
  <c r="AV65" i="57" s="1"/>
  <c r="AT65" i="57" a="1"/>
  <c r="AT65" i="57" s="1"/>
  <c r="AR65" i="57" a="1"/>
  <c r="AR65" i="57" s="1"/>
  <c r="AP65" i="57" a="1"/>
  <c r="AP65" i="57" s="1"/>
  <c r="AN65" i="57" a="1"/>
  <c r="AN65" i="57" s="1"/>
  <c r="AL65" i="57" a="1"/>
  <c r="AL65" i="57" s="1"/>
  <c r="AJ65" i="57" a="1"/>
  <c r="AJ65" i="57" s="1"/>
  <c r="AH65" i="57" a="1"/>
  <c r="AH65" i="57" s="1"/>
  <c r="AF65" i="57" a="1"/>
  <c r="AF65" i="57" s="1"/>
  <c r="AD65" i="57" a="1"/>
  <c r="AD65" i="57" s="1"/>
  <c r="AA66" i="57"/>
  <c r="AU65" i="57" a="1"/>
  <c r="AU65" i="57" s="1"/>
  <c r="AS65" i="57" a="1"/>
  <c r="AS65" i="57" s="1"/>
  <c r="AQ65" i="57" a="1"/>
  <c r="AQ65" i="57" s="1"/>
  <c r="AO65" i="57" a="1"/>
  <c r="AO65" i="57" s="1"/>
  <c r="AM65" i="57" a="1"/>
  <c r="AM65" i="57" s="1"/>
  <c r="AK65" i="57" a="1"/>
  <c r="AK65" i="57" s="1"/>
  <c r="AI65" i="57" a="1"/>
  <c r="AI65" i="57" s="1"/>
  <c r="AG65" i="57" a="1"/>
  <c r="AG65" i="57" s="1"/>
  <c r="AY58" i="57" s="1"/>
  <c r="BO10" i="57" s="1"/>
  <c r="AE65" i="57" a="1"/>
  <c r="AE65" i="57" s="1"/>
  <c r="AC65" i="57" a="1"/>
  <c r="AC65" i="57" s="1"/>
  <c r="AZ58" i="57" s="1"/>
  <c r="BP10" i="57" s="1"/>
  <c r="AV119" i="57" a="1"/>
  <c r="AV119" i="57" s="1"/>
  <c r="AR119" i="57" a="1"/>
  <c r="AR119" i="57" s="1"/>
  <c r="AN119" i="57" a="1"/>
  <c r="AN119" i="57" s="1"/>
  <c r="AJ119" i="57" a="1"/>
  <c r="AJ119" i="57" s="1"/>
  <c r="AF119" i="57" a="1"/>
  <c r="AF119" i="57" s="1"/>
  <c r="AU119" i="57" a="1"/>
  <c r="AU119" i="57" s="1"/>
  <c r="AQ119" i="57" a="1"/>
  <c r="AQ119" i="57" s="1"/>
  <c r="AM119" i="57" a="1"/>
  <c r="AM119" i="57" s="1"/>
  <c r="AI119" i="57" a="1"/>
  <c r="AI119" i="57" s="1"/>
  <c r="AE119" i="57" a="1"/>
  <c r="AE119" i="57" s="1"/>
  <c r="AT119" i="57" a="1"/>
  <c r="AT119" i="57" s="1"/>
  <c r="AP119" i="57" a="1"/>
  <c r="AP119" i="57" s="1"/>
  <c r="AL119" i="57" a="1"/>
  <c r="AL119" i="57" s="1"/>
  <c r="AH119" i="57" a="1"/>
  <c r="AH119" i="57" s="1"/>
  <c r="AD119" i="57" a="1"/>
  <c r="AD119" i="57" s="1"/>
  <c r="AA120" i="57"/>
  <c r="AS119" i="57" a="1"/>
  <c r="AS119" i="57" s="1"/>
  <c r="AO119" i="57" a="1"/>
  <c r="AO119" i="57" s="1"/>
  <c r="AK119" i="57" a="1"/>
  <c r="AK119" i="57" s="1"/>
  <c r="AG119" i="57" a="1"/>
  <c r="AG119" i="57" s="1"/>
  <c r="AC119" i="57" a="1"/>
  <c r="AC119" i="57" s="1"/>
  <c r="AU14" i="57" a="1"/>
  <c r="AU14" i="57" s="1"/>
  <c r="AS14" i="57" a="1"/>
  <c r="AS14" i="57" s="1"/>
  <c r="AQ14" i="57" a="1"/>
  <c r="AQ14" i="57" s="1"/>
  <c r="AO14" i="57" a="1"/>
  <c r="AO14" i="57" s="1"/>
  <c r="AM14" i="57" a="1"/>
  <c r="AM14" i="57" s="1"/>
  <c r="AK14" i="57" a="1"/>
  <c r="AK14" i="57" s="1"/>
  <c r="AI14" i="57" a="1"/>
  <c r="AI14" i="57" s="1"/>
  <c r="AG14" i="57" a="1"/>
  <c r="AG14" i="57" s="1"/>
  <c r="AE14" i="57" a="1"/>
  <c r="AE14" i="57" s="1"/>
  <c r="AC14" i="57" a="1"/>
  <c r="AC14" i="57" s="1"/>
  <c r="AR14" i="57" a="1"/>
  <c r="AR14" i="57" s="1"/>
  <c r="AJ14" i="57" a="1"/>
  <c r="AJ14" i="57" s="1"/>
  <c r="AA15" i="57"/>
  <c r="AV14" i="57" a="1"/>
  <c r="AV14" i="57" s="1"/>
  <c r="AN14" i="57" a="1"/>
  <c r="AN14" i="57" s="1"/>
  <c r="AF14" i="57" a="1"/>
  <c r="AF14" i="57" s="1"/>
  <c r="AP14" i="57" a="1"/>
  <c r="AP14" i="57" s="1"/>
  <c r="AH14" i="57" a="1"/>
  <c r="AH14" i="57" s="1"/>
  <c r="AT14" i="57" a="1"/>
  <c r="AT14" i="57" s="1"/>
  <c r="AL14" i="57" a="1"/>
  <c r="AL14" i="57" s="1"/>
  <c r="AD14" i="57" a="1"/>
  <c r="AD14" i="57" s="1"/>
  <c r="AT312" i="57" a="1"/>
  <c r="AT312" i="57" s="1"/>
  <c r="AP312" i="57" a="1"/>
  <c r="AP312" i="57" s="1"/>
  <c r="AL312" i="57" a="1"/>
  <c r="AL312" i="57" s="1"/>
  <c r="AH312" i="57" a="1"/>
  <c r="AH312" i="57" s="1"/>
  <c r="AD312" i="57" a="1"/>
  <c r="AD312" i="57" s="1"/>
  <c r="AA313" i="57"/>
  <c r="AS312" i="57" a="1"/>
  <c r="AS312" i="57" s="1"/>
  <c r="AO312" i="57" a="1"/>
  <c r="AO312" i="57" s="1"/>
  <c r="AK312" i="57" a="1"/>
  <c r="AK312" i="57" s="1"/>
  <c r="AG312" i="57" a="1"/>
  <c r="AG312" i="57" s="1"/>
  <c r="AY305" i="57" s="1"/>
  <c r="AC312" i="57" a="1"/>
  <c r="AC312" i="57" s="1"/>
  <c r="AZ305" i="57" s="1"/>
  <c r="AV312" i="57" a="1"/>
  <c r="AV312" i="57" s="1"/>
  <c r="AR312" i="57" a="1"/>
  <c r="AR312" i="57" s="1"/>
  <c r="AN312" i="57" a="1"/>
  <c r="AN312" i="57" s="1"/>
  <c r="AJ312" i="57" a="1"/>
  <c r="AJ312" i="57" s="1"/>
  <c r="AF312" i="57" a="1"/>
  <c r="AF312" i="57" s="1"/>
  <c r="AU312" i="57" a="1"/>
  <c r="AU312" i="57" s="1"/>
  <c r="AQ312" i="57" a="1"/>
  <c r="AQ312" i="57" s="1"/>
  <c r="BA305" i="57" s="1"/>
  <c r="AM312" i="57" a="1"/>
  <c r="AM312" i="57" s="1"/>
  <c r="BB305" i="57" s="1"/>
  <c r="AI312" i="57" a="1"/>
  <c r="AI312" i="57" s="1"/>
  <c r="AE312" i="57" a="1"/>
  <c r="AE312" i="57" s="1"/>
  <c r="AA223" i="57"/>
  <c r="AV130" i="57" a="1"/>
  <c r="AV130" i="57" s="1"/>
  <c r="AT130" i="57" a="1"/>
  <c r="AT130" i="57" s="1"/>
  <c r="AR130" i="57" a="1"/>
  <c r="AR130" i="57" s="1"/>
  <c r="AP130" i="57" a="1"/>
  <c r="AP130" i="57" s="1"/>
  <c r="AN130" i="57" a="1"/>
  <c r="AN130" i="57" s="1"/>
  <c r="AL130" i="57" a="1"/>
  <c r="AL130" i="57" s="1"/>
  <c r="AJ130" i="57" a="1"/>
  <c r="AJ130" i="57" s="1"/>
  <c r="AH130" i="57" a="1"/>
  <c r="AH130" i="57" s="1"/>
  <c r="AF130" i="57" a="1"/>
  <c r="AF130" i="57" s="1"/>
  <c r="AD130" i="57" a="1"/>
  <c r="AD130" i="57" s="1"/>
  <c r="AA131" i="57"/>
  <c r="AU130" i="57" a="1"/>
  <c r="AU130" i="57" s="1"/>
  <c r="AS130" i="57" a="1"/>
  <c r="AS130" i="57" s="1"/>
  <c r="AQ130" i="57" a="1"/>
  <c r="AQ130" i="57" s="1"/>
  <c r="BA123" i="57" s="1"/>
  <c r="BQ15" i="57" s="1"/>
  <c r="AO130" i="57" a="1"/>
  <c r="AO130" i="57" s="1"/>
  <c r="AM130" i="57" a="1"/>
  <c r="AM130" i="57" s="1"/>
  <c r="BB123" i="57" s="1"/>
  <c r="BR15" i="57" s="1"/>
  <c r="AK130" i="57" a="1"/>
  <c r="AK130" i="57" s="1"/>
  <c r="AI130" i="57" a="1"/>
  <c r="AI130" i="57" s="1"/>
  <c r="AG130" i="57" a="1"/>
  <c r="AG130" i="57" s="1"/>
  <c r="AY123" i="57" s="1"/>
  <c r="BO15" i="57" s="1"/>
  <c r="AE130" i="57" a="1"/>
  <c r="AE130" i="57" s="1"/>
  <c r="AC130" i="57" a="1"/>
  <c r="AC130" i="57" s="1"/>
  <c r="BB253" i="57"/>
  <c r="BA45" i="57"/>
  <c r="BQ9" i="57" s="1"/>
  <c r="BA58" i="57"/>
  <c r="BQ10" i="57" s="1"/>
  <c r="AV196" i="57" a="1"/>
  <c r="AV196" i="57" s="1"/>
  <c r="AT196" i="57" a="1"/>
  <c r="AT196" i="57" s="1"/>
  <c r="AR196" i="57" a="1"/>
  <c r="AR196" i="57" s="1"/>
  <c r="AP196" i="57" a="1"/>
  <c r="AP196" i="57" s="1"/>
  <c r="AN196" i="57" a="1"/>
  <c r="AN196" i="57" s="1"/>
  <c r="AL196" i="57" a="1"/>
  <c r="AL196" i="57" s="1"/>
  <c r="AJ196" i="57" a="1"/>
  <c r="AJ196" i="57" s="1"/>
  <c r="AH196" i="57" a="1"/>
  <c r="AH196" i="57" s="1"/>
  <c r="AF196" i="57" a="1"/>
  <c r="AF196" i="57" s="1"/>
  <c r="AD196" i="57" a="1"/>
  <c r="AD196" i="57" s="1"/>
  <c r="AA197" i="57"/>
  <c r="AS196" i="57" a="1"/>
  <c r="AS196" i="57" s="1"/>
  <c r="AO196" i="57" a="1"/>
  <c r="AO196" i="57" s="1"/>
  <c r="AK196" i="57" a="1"/>
  <c r="AK196" i="57" s="1"/>
  <c r="AG196" i="57" a="1"/>
  <c r="AG196" i="57" s="1"/>
  <c r="AC196" i="57" a="1"/>
  <c r="AC196" i="57" s="1"/>
  <c r="AU196" i="57" a="1"/>
  <c r="AU196" i="57" s="1"/>
  <c r="AQ196" i="57" a="1"/>
  <c r="AQ196" i="57" s="1"/>
  <c r="AM196" i="57" a="1"/>
  <c r="AM196" i="57" s="1"/>
  <c r="AI196" i="57" a="1"/>
  <c r="AI196" i="57" s="1"/>
  <c r="AE196" i="57" a="1"/>
  <c r="AE196" i="57" s="1"/>
  <c r="AZ240" i="57"/>
  <c r="BB97" i="57"/>
  <c r="BR13" i="57" s="1"/>
  <c r="AY97" i="57"/>
  <c r="BO13" i="57" s="1"/>
  <c r="BA253" i="57"/>
  <c r="AA170" i="57"/>
  <c r="AU169" i="57" a="1"/>
  <c r="AU169" i="57" s="1"/>
  <c r="AS169" i="57" a="1"/>
  <c r="AS169" i="57" s="1"/>
  <c r="AQ169" i="57" a="1"/>
  <c r="AQ169" i="57" s="1"/>
  <c r="AO169" i="57" a="1"/>
  <c r="AO169" i="57" s="1"/>
  <c r="AM169" i="57" a="1"/>
  <c r="AM169" i="57" s="1"/>
  <c r="AK169" i="57" a="1"/>
  <c r="AK169" i="57" s="1"/>
  <c r="AI169" i="57" a="1"/>
  <c r="AI169" i="57" s="1"/>
  <c r="AG169" i="57" a="1"/>
  <c r="AG169" i="57" s="1"/>
  <c r="AE169" i="57" a="1"/>
  <c r="AE169" i="57" s="1"/>
  <c r="AC169" i="57" a="1"/>
  <c r="AC169" i="57" s="1"/>
  <c r="AV169" i="57" a="1"/>
  <c r="AV169" i="57" s="1"/>
  <c r="AT169" i="57" a="1"/>
  <c r="AT169" i="57" s="1"/>
  <c r="AR169" i="57" a="1"/>
  <c r="AR169" i="57" s="1"/>
  <c r="AP169" i="57" a="1"/>
  <c r="AP169" i="57" s="1"/>
  <c r="AN169" i="57" a="1"/>
  <c r="AN169" i="57" s="1"/>
  <c r="AL169" i="57" a="1"/>
  <c r="AL169" i="57" s="1"/>
  <c r="AJ169" i="57" a="1"/>
  <c r="AJ169" i="57" s="1"/>
  <c r="AH169" i="57" a="1"/>
  <c r="AH169" i="57" s="1"/>
  <c r="AF169" i="57" a="1"/>
  <c r="AF169" i="57" s="1"/>
  <c r="AD169" i="57" a="1"/>
  <c r="AD169" i="57" s="1"/>
  <c r="AV80" i="57" a="1"/>
  <c r="AV80" i="57" s="1"/>
  <c r="AT80" i="57" a="1"/>
  <c r="AT80" i="57" s="1"/>
  <c r="AR80" i="57" a="1"/>
  <c r="AR80" i="57" s="1"/>
  <c r="AP80" i="57" a="1"/>
  <c r="AP80" i="57" s="1"/>
  <c r="AN80" i="57" a="1"/>
  <c r="AN80" i="57" s="1"/>
  <c r="AL80" i="57" a="1"/>
  <c r="AL80" i="57" s="1"/>
  <c r="AJ80" i="57" a="1"/>
  <c r="AJ80" i="57" s="1"/>
  <c r="AH80" i="57" a="1"/>
  <c r="AH80" i="57" s="1"/>
  <c r="AF80" i="57" a="1"/>
  <c r="AF80" i="57" s="1"/>
  <c r="AD80" i="57" a="1"/>
  <c r="AD80" i="57" s="1"/>
  <c r="AA81" i="57"/>
  <c r="AO80" i="57" a="1"/>
  <c r="AO80" i="57" s="1"/>
  <c r="AG80" i="57" a="1"/>
  <c r="AG80" i="57" s="1"/>
  <c r="AU80" i="57" a="1"/>
  <c r="AU80" i="57" s="1"/>
  <c r="AM80" i="57" a="1"/>
  <c r="AM80" i="57" s="1"/>
  <c r="AE80" i="57" a="1"/>
  <c r="AE80" i="57" s="1"/>
  <c r="AS80" i="57" a="1"/>
  <c r="AS80" i="57" s="1"/>
  <c r="AK80" i="57" a="1"/>
  <c r="AK80" i="57" s="1"/>
  <c r="AC80" i="57" a="1"/>
  <c r="AC80" i="57" s="1"/>
  <c r="AQ80" i="57" a="1"/>
  <c r="AQ80" i="57" s="1"/>
  <c r="AI80" i="57" a="1"/>
  <c r="AI80" i="57" s="1"/>
  <c r="BB58" i="57"/>
  <c r="BR10" i="57" s="1"/>
  <c r="BB201" i="57" l="1"/>
  <c r="AY162" i="57"/>
  <c r="BA162" i="57"/>
  <c r="AZ162" i="57"/>
  <c r="BB162" i="57"/>
  <c r="AZ123" i="57"/>
  <c r="BP15" i="57" s="1"/>
  <c r="BA97" i="57"/>
  <c r="BQ13" i="57" s="1"/>
  <c r="AY84" i="57"/>
  <c r="BO12" i="57" s="1"/>
  <c r="BB84" i="57"/>
  <c r="BR12" i="57" s="1"/>
  <c r="BB45" i="57"/>
  <c r="BR9" i="57" s="1"/>
  <c r="BA19" i="57"/>
  <c r="BQ7" i="57" s="1"/>
  <c r="BB32" i="57"/>
  <c r="BR8" i="57" s="1"/>
  <c r="AM27" i="57" a="1"/>
  <c r="AM27" i="57" s="1"/>
  <c r="AL27" i="57" a="1"/>
  <c r="AL27" i="57" s="1"/>
  <c r="AA28" i="57"/>
  <c r="AI27" i="57" a="1"/>
  <c r="AI27" i="57" s="1"/>
  <c r="AK27" i="57" a="1"/>
  <c r="AK27" i="57" s="1"/>
  <c r="AV27" i="57" a="1"/>
  <c r="AV27" i="57" s="1"/>
  <c r="AJ27" i="57" a="1"/>
  <c r="AJ27" i="57" s="1"/>
  <c r="AH27" i="57" a="1"/>
  <c r="AH27" i="57" s="1"/>
  <c r="AU27" i="57" a="1"/>
  <c r="AU27" i="57" s="1"/>
  <c r="AE27" i="57" a="1"/>
  <c r="AE27" i="57" s="1"/>
  <c r="AO27" i="57" a="1"/>
  <c r="AO27" i="57" s="1"/>
  <c r="AQ27" i="57" a="1"/>
  <c r="AQ27" i="57" s="1"/>
  <c r="AS27" i="57" a="1"/>
  <c r="AS27" i="57" s="1"/>
  <c r="AC27" i="57" a="1"/>
  <c r="AC27" i="57" s="1"/>
  <c r="AR27" i="57" a="1"/>
  <c r="AR27" i="57" s="1"/>
  <c r="AT27" i="57" a="1"/>
  <c r="AT27" i="57" s="1"/>
  <c r="AG27" i="57" a="1"/>
  <c r="AG27" i="57" s="1"/>
  <c r="AN27" i="57" a="1"/>
  <c r="AN27" i="57" s="1"/>
  <c r="AP27" i="57" a="1"/>
  <c r="AP27" i="57" s="1"/>
  <c r="AD27" i="57" a="1"/>
  <c r="AD27" i="57" s="1"/>
  <c r="AF27" i="57" a="1"/>
  <c r="AF27" i="57" s="1"/>
  <c r="BA32" i="57"/>
  <c r="BQ8" i="57" s="1"/>
  <c r="AY240" i="57"/>
  <c r="AZ253" i="57"/>
  <c r="AA224" i="57"/>
  <c r="AA314" i="57"/>
  <c r="AS313" i="57" a="1"/>
  <c r="AS313" i="57" s="1"/>
  <c r="AO313" i="57" a="1"/>
  <c r="AO313" i="57" s="1"/>
  <c r="AK313" i="57" a="1"/>
  <c r="AK313" i="57" s="1"/>
  <c r="AG313" i="57" a="1"/>
  <c r="AG313" i="57" s="1"/>
  <c r="AC313" i="57" a="1"/>
  <c r="AC313" i="57" s="1"/>
  <c r="AV313" i="57" a="1"/>
  <c r="AV313" i="57" s="1"/>
  <c r="AR313" i="57" a="1"/>
  <c r="AR313" i="57" s="1"/>
  <c r="AN313" i="57" a="1"/>
  <c r="AN313" i="57" s="1"/>
  <c r="AJ313" i="57" a="1"/>
  <c r="AJ313" i="57" s="1"/>
  <c r="AF313" i="57" a="1"/>
  <c r="AF313" i="57" s="1"/>
  <c r="AU313" i="57" a="1"/>
  <c r="AU313" i="57" s="1"/>
  <c r="AQ313" i="57" a="1"/>
  <c r="AQ313" i="57" s="1"/>
  <c r="AM313" i="57" a="1"/>
  <c r="AM313" i="57" s="1"/>
  <c r="AI313" i="57" a="1"/>
  <c r="AI313" i="57" s="1"/>
  <c r="AE313" i="57" a="1"/>
  <c r="AE313" i="57" s="1"/>
  <c r="AT313" i="57" a="1"/>
  <c r="AT313" i="57" s="1"/>
  <c r="AP313" i="57" a="1"/>
  <c r="AP313" i="57" s="1"/>
  <c r="AL313" i="57" a="1"/>
  <c r="AL313" i="57" s="1"/>
  <c r="AH313" i="57" a="1"/>
  <c r="AH313" i="57" s="1"/>
  <c r="AD313" i="57" a="1"/>
  <c r="AD313" i="57" s="1"/>
  <c r="AV209" i="57" a="1"/>
  <c r="AV209" i="57" s="1"/>
  <c r="AS209" i="57" a="1"/>
  <c r="AS209" i="57" s="1"/>
  <c r="AN209" i="57" a="1"/>
  <c r="AN209" i="57" s="1"/>
  <c r="AK209" i="57" a="1"/>
  <c r="AK209" i="57" s="1"/>
  <c r="AF209" i="57" a="1"/>
  <c r="AF209" i="57" s="1"/>
  <c r="AC209" i="57" a="1"/>
  <c r="AC209" i="57" s="1"/>
  <c r="AU209" i="57" a="1"/>
  <c r="AU209" i="57" s="1"/>
  <c r="AP209" i="57" a="1"/>
  <c r="AP209" i="57" s="1"/>
  <c r="AM209" i="57" a="1"/>
  <c r="AM209" i="57" s="1"/>
  <c r="AH209" i="57" a="1"/>
  <c r="AH209" i="57" s="1"/>
  <c r="AE209" i="57" a="1"/>
  <c r="AE209" i="57" s="1"/>
  <c r="AA210" i="57"/>
  <c r="AR209" i="57" a="1"/>
  <c r="AR209" i="57" s="1"/>
  <c r="AO209" i="57" a="1"/>
  <c r="AO209" i="57" s="1"/>
  <c r="AJ209" i="57" a="1"/>
  <c r="AJ209" i="57" s="1"/>
  <c r="AG209" i="57" a="1"/>
  <c r="AG209" i="57" s="1"/>
  <c r="AT209" i="57" a="1"/>
  <c r="AT209" i="57" s="1"/>
  <c r="AQ209" i="57" a="1"/>
  <c r="AQ209" i="57" s="1"/>
  <c r="AL209" i="57" a="1"/>
  <c r="AL209" i="57" s="1"/>
  <c r="AI209" i="57" a="1"/>
  <c r="AI209" i="57" s="1"/>
  <c r="AD209" i="57" a="1"/>
  <c r="AD209" i="57" s="1"/>
  <c r="AT53" i="57" a="1"/>
  <c r="AT53" i="57" s="1"/>
  <c r="AP53" i="57" a="1"/>
  <c r="AP53" i="57" s="1"/>
  <c r="AL53" i="57" a="1"/>
  <c r="AL53" i="57" s="1"/>
  <c r="AH53" i="57" a="1"/>
  <c r="AH53" i="57" s="1"/>
  <c r="AD53" i="57" a="1"/>
  <c r="AD53" i="57" s="1"/>
  <c r="AA54" i="57"/>
  <c r="AS53" i="57" a="1"/>
  <c r="AS53" i="57" s="1"/>
  <c r="AO53" i="57" a="1"/>
  <c r="AO53" i="57" s="1"/>
  <c r="AK53" i="57" a="1"/>
  <c r="AK53" i="57" s="1"/>
  <c r="AG53" i="57" a="1"/>
  <c r="AG53" i="57" s="1"/>
  <c r="AC53" i="57" a="1"/>
  <c r="AC53" i="57" s="1"/>
  <c r="AV53" i="57" a="1"/>
  <c r="AV53" i="57" s="1"/>
  <c r="AR53" i="57" a="1"/>
  <c r="AR53" i="57" s="1"/>
  <c r="AN53" i="57" a="1"/>
  <c r="AN53" i="57" s="1"/>
  <c r="AJ53" i="57" a="1"/>
  <c r="AJ53" i="57" s="1"/>
  <c r="AF53" i="57" a="1"/>
  <c r="AF53" i="57" s="1"/>
  <c r="AU53" i="57" a="1"/>
  <c r="AU53" i="57" s="1"/>
  <c r="AQ53" i="57" a="1"/>
  <c r="AQ53" i="57" s="1"/>
  <c r="AM53" i="57" a="1"/>
  <c r="AM53" i="57" s="1"/>
  <c r="AI53" i="57" a="1"/>
  <c r="AI53" i="57" s="1"/>
  <c r="AE53" i="57" a="1"/>
  <c r="AE53" i="57" s="1"/>
  <c r="AV236" i="57" a="1"/>
  <c r="AV236" i="57" s="1"/>
  <c r="AT236" i="57" a="1"/>
  <c r="AT236" i="57" s="1"/>
  <c r="AR236" i="57" a="1"/>
  <c r="AR236" i="57" s="1"/>
  <c r="BJ227" i="57" s="1"/>
  <c r="AP236" i="57" a="1"/>
  <c r="AP236" i="57" s="1"/>
  <c r="AN236" i="57" a="1"/>
  <c r="AN236" i="57" s="1"/>
  <c r="AL236" i="57" a="1"/>
  <c r="AL236" i="57" s="1"/>
  <c r="AJ236" i="57" a="1"/>
  <c r="AJ236" i="57" s="1"/>
  <c r="AH236" i="57" a="1"/>
  <c r="AH236" i="57" s="1"/>
  <c r="AF236" i="57" a="1"/>
  <c r="AF236" i="57" s="1"/>
  <c r="AD236" i="57" a="1"/>
  <c r="AD236" i="57" s="1"/>
  <c r="AS236" i="57" a="1"/>
  <c r="AS236" i="57" s="1"/>
  <c r="AK236" i="57" a="1"/>
  <c r="AK236" i="57" s="1"/>
  <c r="AC236" i="57" a="1"/>
  <c r="AC236" i="57" s="1"/>
  <c r="AQ236" i="57" a="1"/>
  <c r="AQ236" i="57" s="1"/>
  <c r="AI236" i="57" a="1"/>
  <c r="AI236" i="57" s="1"/>
  <c r="AA237" i="57"/>
  <c r="AO236" i="57" a="1"/>
  <c r="AO236" i="57" s="1"/>
  <c r="AG236" i="57" a="1"/>
  <c r="AG236" i="57" s="1"/>
  <c r="AU236" i="57" a="1"/>
  <c r="AU236" i="57" s="1"/>
  <c r="AM236" i="57" a="1"/>
  <c r="AM236" i="57" s="1"/>
  <c r="AE236" i="57" a="1"/>
  <c r="AE236" i="57" s="1"/>
  <c r="AV170" i="57" a="1"/>
  <c r="AV170" i="57" s="1"/>
  <c r="AT170" i="57" a="1"/>
  <c r="AT170" i="57" s="1"/>
  <c r="AR170" i="57" a="1"/>
  <c r="AR170" i="57" s="1"/>
  <c r="AP170" i="57" a="1"/>
  <c r="AP170" i="57" s="1"/>
  <c r="AN170" i="57" a="1"/>
  <c r="AN170" i="57" s="1"/>
  <c r="AL170" i="57" a="1"/>
  <c r="AL170" i="57" s="1"/>
  <c r="AJ170" i="57" a="1"/>
  <c r="AJ170" i="57" s="1"/>
  <c r="AH170" i="57" a="1"/>
  <c r="AH170" i="57" s="1"/>
  <c r="AF170" i="57" a="1"/>
  <c r="AF170" i="57" s="1"/>
  <c r="AD170" i="57" a="1"/>
  <c r="AD170" i="57" s="1"/>
  <c r="AA171" i="57"/>
  <c r="AU170" i="57" a="1"/>
  <c r="AU170" i="57" s="1"/>
  <c r="AS170" i="57" a="1"/>
  <c r="AS170" i="57" s="1"/>
  <c r="AQ170" i="57" a="1"/>
  <c r="AQ170" i="57" s="1"/>
  <c r="AO170" i="57" a="1"/>
  <c r="AO170" i="57" s="1"/>
  <c r="AM170" i="57" a="1"/>
  <c r="AM170" i="57" s="1"/>
  <c r="AK170" i="57" a="1"/>
  <c r="AK170" i="57" s="1"/>
  <c r="AI170" i="57" a="1"/>
  <c r="AI170" i="57" s="1"/>
  <c r="AG170" i="57" a="1"/>
  <c r="AG170" i="57" s="1"/>
  <c r="AE170" i="57" a="1"/>
  <c r="AE170" i="57" s="1"/>
  <c r="AC170" i="57" a="1"/>
  <c r="AC170" i="57" s="1"/>
  <c r="AA132" i="57"/>
  <c r="AU131" i="57" a="1"/>
  <c r="AU131" i="57" s="1"/>
  <c r="AS131" i="57" a="1"/>
  <c r="AS131" i="57" s="1"/>
  <c r="AQ131" i="57" a="1"/>
  <c r="AQ131" i="57" s="1"/>
  <c r="AO131" i="57" a="1"/>
  <c r="AO131" i="57" s="1"/>
  <c r="AM131" i="57" a="1"/>
  <c r="AM131" i="57" s="1"/>
  <c r="AK131" i="57" a="1"/>
  <c r="AK131" i="57" s="1"/>
  <c r="AI131" i="57" a="1"/>
  <c r="AI131" i="57" s="1"/>
  <c r="AG131" i="57" a="1"/>
  <c r="AG131" i="57" s="1"/>
  <c r="AE131" i="57" a="1"/>
  <c r="AE131" i="57" s="1"/>
  <c r="AC131" i="57" a="1"/>
  <c r="AC131" i="57" s="1"/>
  <c r="AV131" i="57" a="1"/>
  <c r="AV131" i="57" s="1"/>
  <c r="AT131" i="57" a="1"/>
  <c r="AT131" i="57" s="1"/>
  <c r="AR131" i="57" a="1"/>
  <c r="AR131" i="57" s="1"/>
  <c r="AP131" i="57" a="1"/>
  <c r="AP131" i="57" s="1"/>
  <c r="AN131" i="57" a="1"/>
  <c r="AN131" i="57" s="1"/>
  <c r="AL131" i="57" a="1"/>
  <c r="AL131" i="57" s="1"/>
  <c r="AJ131" i="57" a="1"/>
  <c r="AJ131" i="57" s="1"/>
  <c r="AH131" i="57" a="1"/>
  <c r="AH131" i="57" s="1"/>
  <c r="AF131" i="57" a="1"/>
  <c r="AF131" i="57" s="1"/>
  <c r="AD131" i="57" a="1"/>
  <c r="AD131" i="57" s="1"/>
  <c r="AU120" i="57" a="1"/>
  <c r="AU120" i="57" s="1"/>
  <c r="AQ120" i="57" a="1"/>
  <c r="AQ120" i="57" s="1"/>
  <c r="AM120" i="57" a="1"/>
  <c r="AM120" i="57" s="1"/>
  <c r="AI120" i="57" a="1"/>
  <c r="AI120" i="57" s="1"/>
  <c r="AE120" i="57" a="1"/>
  <c r="AE120" i="57" s="1"/>
  <c r="AT120" i="57" a="1"/>
  <c r="AT120" i="57" s="1"/>
  <c r="AP120" i="57" a="1"/>
  <c r="AP120" i="57" s="1"/>
  <c r="AL120" i="57" a="1"/>
  <c r="AL120" i="57" s="1"/>
  <c r="AH120" i="57" a="1"/>
  <c r="AH120" i="57" s="1"/>
  <c r="AD120" i="57" a="1"/>
  <c r="AD120" i="57" s="1"/>
  <c r="AA121" i="57"/>
  <c r="AS120" i="57" a="1"/>
  <c r="AS120" i="57" s="1"/>
  <c r="AO120" i="57" a="1"/>
  <c r="AO120" i="57" s="1"/>
  <c r="AK120" i="57" a="1"/>
  <c r="AK120" i="57" s="1"/>
  <c r="AG120" i="57" a="1"/>
  <c r="AG120" i="57" s="1"/>
  <c r="AC120" i="57" a="1"/>
  <c r="AC120" i="57" s="1"/>
  <c r="AV120" i="57" a="1"/>
  <c r="AV120" i="57" s="1"/>
  <c r="AR120" i="57" a="1"/>
  <c r="AR120" i="57" s="1"/>
  <c r="AN120" i="57" a="1"/>
  <c r="AN120" i="57" s="1"/>
  <c r="AJ120" i="57" a="1"/>
  <c r="AJ120" i="57" s="1"/>
  <c r="AF120" i="57" a="1"/>
  <c r="AF120" i="57" s="1"/>
  <c r="AV261" i="57" a="1"/>
  <c r="AV261" i="57" s="1"/>
  <c r="AT261" i="57" a="1"/>
  <c r="AT261" i="57" s="1"/>
  <c r="AR261" i="57" a="1"/>
  <c r="AR261" i="57" s="1"/>
  <c r="AP261" i="57" a="1"/>
  <c r="AP261" i="57" s="1"/>
  <c r="AN261" i="57" a="1"/>
  <c r="AN261" i="57" s="1"/>
  <c r="AL261" i="57" a="1"/>
  <c r="AL261" i="57" s="1"/>
  <c r="AJ261" i="57" a="1"/>
  <c r="AJ261" i="57" s="1"/>
  <c r="AH261" i="57" a="1"/>
  <c r="AH261" i="57" s="1"/>
  <c r="AF261" i="57" a="1"/>
  <c r="AF261" i="57" s="1"/>
  <c r="AD261" i="57" a="1"/>
  <c r="AD261" i="57" s="1"/>
  <c r="AA262" i="57"/>
  <c r="AO261" i="57" a="1"/>
  <c r="AO261" i="57" s="1"/>
  <c r="AG261" i="57" a="1"/>
  <c r="AG261" i="57" s="1"/>
  <c r="AM261" i="57" a="1"/>
  <c r="AM261" i="57" s="1"/>
  <c r="AI261" i="57" a="1"/>
  <c r="AI261" i="57" s="1"/>
  <c r="AS261" i="57" a="1"/>
  <c r="AS261" i="57" s="1"/>
  <c r="AE261" i="57" a="1"/>
  <c r="AE261" i="57" s="1"/>
  <c r="AQ261" i="57" a="1"/>
  <c r="AQ261" i="57" s="1"/>
  <c r="AC261" i="57" a="1"/>
  <c r="AC261" i="57" s="1"/>
  <c r="AU261" i="57" a="1"/>
  <c r="AU261" i="57" s="1"/>
  <c r="AK261" i="57" a="1"/>
  <c r="AK261" i="57" s="1"/>
  <c r="AV105" i="57" a="1"/>
  <c r="AV105" i="57" s="1"/>
  <c r="AT105" i="57" a="1"/>
  <c r="AT105" i="57" s="1"/>
  <c r="AR105" i="57" a="1"/>
  <c r="AR105" i="57" s="1"/>
  <c r="AP105" i="57" a="1"/>
  <c r="AP105" i="57" s="1"/>
  <c r="AN105" i="57" a="1"/>
  <c r="AN105" i="57" s="1"/>
  <c r="AL105" i="57" a="1"/>
  <c r="AL105" i="57" s="1"/>
  <c r="AJ105" i="57" a="1"/>
  <c r="AJ105" i="57" s="1"/>
  <c r="AH105" i="57" a="1"/>
  <c r="AH105" i="57" s="1"/>
  <c r="AF105" i="57" a="1"/>
  <c r="AF105" i="57" s="1"/>
  <c r="AD105" i="57" a="1"/>
  <c r="AD105" i="57" s="1"/>
  <c r="AA106" i="57"/>
  <c r="AU105" i="57" a="1"/>
  <c r="AU105" i="57" s="1"/>
  <c r="AS105" i="57" a="1"/>
  <c r="AS105" i="57" s="1"/>
  <c r="AQ105" i="57" a="1"/>
  <c r="AQ105" i="57" s="1"/>
  <c r="AO105" i="57" a="1"/>
  <c r="AO105" i="57" s="1"/>
  <c r="AM105" i="57" a="1"/>
  <c r="AM105" i="57" s="1"/>
  <c r="AK105" i="57" a="1"/>
  <c r="AK105" i="57" s="1"/>
  <c r="AI105" i="57" a="1"/>
  <c r="AI105" i="57" s="1"/>
  <c r="AG105" i="57" a="1"/>
  <c r="AG105" i="57" s="1"/>
  <c r="AE105" i="57" a="1"/>
  <c r="AE105" i="57" s="1"/>
  <c r="AC105" i="57" a="1"/>
  <c r="AC105" i="57" s="1"/>
  <c r="AS301" i="57" a="1"/>
  <c r="AS301" i="57" s="1"/>
  <c r="AP301" i="57" a="1"/>
  <c r="AP301" i="57" s="1"/>
  <c r="AK301" i="57" a="1"/>
  <c r="AK301" i="57" s="1"/>
  <c r="AH301" i="57" a="1"/>
  <c r="AH301" i="57" s="1"/>
  <c r="AC301" i="57" a="1"/>
  <c r="AC301" i="57" s="1"/>
  <c r="AU301" i="57" a="1"/>
  <c r="AU301" i="57" s="1"/>
  <c r="AR301" i="57" a="1"/>
  <c r="AR301" i="57" s="1"/>
  <c r="AM301" i="57" a="1"/>
  <c r="AM301" i="57" s="1"/>
  <c r="AJ301" i="57" a="1"/>
  <c r="AJ301" i="57" s="1"/>
  <c r="AE301" i="57" a="1"/>
  <c r="AE301" i="57" s="1"/>
  <c r="AV301" i="57" a="1"/>
  <c r="AV301" i="57" s="1"/>
  <c r="AQ301" i="57" a="1"/>
  <c r="AQ301" i="57" s="1"/>
  <c r="AN301" i="57" a="1"/>
  <c r="AN301" i="57" s="1"/>
  <c r="AI301" i="57" a="1"/>
  <c r="AI301" i="57" s="1"/>
  <c r="AF301" i="57" a="1"/>
  <c r="AF301" i="57" s="1"/>
  <c r="AG301" i="57" a="1"/>
  <c r="AG301" i="57" s="1"/>
  <c r="AO301" i="57" a="1"/>
  <c r="AO301" i="57" s="1"/>
  <c r="AD301" i="57" a="1"/>
  <c r="AD301" i="57" s="1"/>
  <c r="AA302" i="57"/>
  <c r="AL301" i="57" a="1"/>
  <c r="AL301" i="57" s="1"/>
  <c r="AT301" i="57" a="1"/>
  <c r="AT301" i="57" s="1"/>
  <c r="AV275" i="57" a="1"/>
  <c r="AV275" i="57" s="1"/>
  <c r="AT275" i="57" a="1"/>
  <c r="AT275" i="57" s="1"/>
  <c r="AR275" i="57" a="1"/>
  <c r="AR275" i="57" s="1"/>
  <c r="AP275" i="57" a="1"/>
  <c r="AP275" i="57" s="1"/>
  <c r="AN275" i="57" a="1"/>
  <c r="AN275" i="57" s="1"/>
  <c r="AL275" i="57" a="1"/>
  <c r="AL275" i="57" s="1"/>
  <c r="AJ275" i="57" a="1"/>
  <c r="AJ275" i="57" s="1"/>
  <c r="AH275" i="57" a="1"/>
  <c r="AH275" i="57" s="1"/>
  <c r="AF275" i="57" a="1"/>
  <c r="AF275" i="57" s="1"/>
  <c r="AD275" i="57" a="1"/>
  <c r="AD275" i="57" s="1"/>
  <c r="AQ275" i="57" a="1"/>
  <c r="AQ275" i="57" s="1"/>
  <c r="AI275" i="57" a="1"/>
  <c r="AI275" i="57" s="1"/>
  <c r="AU275" i="57" a="1"/>
  <c r="AU275" i="57" s="1"/>
  <c r="AG275" i="57" a="1"/>
  <c r="AG275" i="57" s="1"/>
  <c r="AC275" i="57" a="1"/>
  <c r="AC275" i="57" s="1"/>
  <c r="AM275" i="57" a="1"/>
  <c r="AM275" i="57" s="1"/>
  <c r="AA276" i="57"/>
  <c r="AS275" i="57" a="1"/>
  <c r="AS275" i="57" s="1"/>
  <c r="AE275" i="57" a="1"/>
  <c r="AE275" i="57" s="1"/>
  <c r="AO275" i="57" a="1"/>
  <c r="AO275" i="57" s="1"/>
  <c r="AK275" i="57" a="1"/>
  <c r="AK275" i="57" s="1"/>
  <c r="AA185" i="57"/>
  <c r="AU184" i="57" a="1"/>
  <c r="AU184" i="57" s="1"/>
  <c r="AS184" i="57" a="1"/>
  <c r="AS184" i="57" s="1"/>
  <c r="AQ184" i="57" a="1"/>
  <c r="AQ184" i="57" s="1"/>
  <c r="AO184" i="57" a="1"/>
  <c r="AO184" i="57" s="1"/>
  <c r="AM184" i="57" a="1"/>
  <c r="AM184" i="57" s="1"/>
  <c r="AK184" i="57" a="1"/>
  <c r="AK184" i="57" s="1"/>
  <c r="AI184" i="57" a="1"/>
  <c r="AI184" i="57" s="1"/>
  <c r="AG184" i="57" a="1"/>
  <c r="AG184" i="57" s="1"/>
  <c r="AE184" i="57" a="1"/>
  <c r="AE184" i="57" s="1"/>
  <c r="AC184" i="57" a="1"/>
  <c r="AC184" i="57" s="1"/>
  <c r="AR184" i="57" a="1"/>
  <c r="AR184" i="57" s="1"/>
  <c r="BJ175" i="57" s="1"/>
  <c r="AJ184" i="57" a="1"/>
  <c r="AJ184" i="57" s="1"/>
  <c r="AT184" i="57" a="1"/>
  <c r="AT184" i="57" s="1"/>
  <c r="AL184" i="57" a="1"/>
  <c r="AL184" i="57" s="1"/>
  <c r="AD184" i="57" a="1"/>
  <c r="AD184" i="57" s="1"/>
  <c r="AV184" i="57" a="1"/>
  <c r="AV184" i="57" s="1"/>
  <c r="AN184" i="57" a="1"/>
  <c r="AN184" i="57" s="1"/>
  <c r="AF184" i="57" a="1"/>
  <c r="AF184" i="57" s="1"/>
  <c r="AP184" i="57" a="1"/>
  <c r="AP184" i="57" s="1"/>
  <c r="AH184" i="57" a="1"/>
  <c r="AH184" i="57" s="1"/>
  <c r="BE175" i="57" s="1"/>
  <c r="AV145" i="57" a="1"/>
  <c r="AV145" i="57" s="1"/>
  <c r="AT145" i="57" a="1"/>
  <c r="AT145" i="57" s="1"/>
  <c r="AR145" i="57" a="1"/>
  <c r="AR145" i="57" s="1"/>
  <c r="AP145" i="57" a="1"/>
  <c r="AP145" i="57" s="1"/>
  <c r="AN145" i="57" a="1"/>
  <c r="AN145" i="57" s="1"/>
  <c r="AL145" i="57" a="1"/>
  <c r="AL145" i="57" s="1"/>
  <c r="AJ145" i="57" a="1"/>
  <c r="AJ145" i="57" s="1"/>
  <c r="AH145" i="57" a="1"/>
  <c r="AH145" i="57" s="1"/>
  <c r="AF145" i="57" a="1"/>
  <c r="AF145" i="57" s="1"/>
  <c r="AD145" i="57" a="1"/>
  <c r="AD145" i="57" s="1"/>
  <c r="AA146" i="57"/>
  <c r="AU145" i="57" a="1"/>
  <c r="AU145" i="57" s="1"/>
  <c r="AS145" i="57" a="1"/>
  <c r="AS145" i="57" s="1"/>
  <c r="AQ145" i="57" a="1"/>
  <c r="AQ145" i="57" s="1"/>
  <c r="AO145" i="57" a="1"/>
  <c r="AO145" i="57" s="1"/>
  <c r="AM145" i="57" a="1"/>
  <c r="AM145" i="57" s="1"/>
  <c r="AK145" i="57" a="1"/>
  <c r="AK145" i="57" s="1"/>
  <c r="AI145" i="57" a="1"/>
  <c r="AI145" i="57" s="1"/>
  <c r="AG145" i="57" a="1"/>
  <c r="AG145" i="57" s="1"/>
  <c r="AE145" i="57" a="1"/>
  <c r="AE145" i="57" s="1"/>
  <c r="AC145" i="57" a="1"/>
  <c r="AC145" i="57" s="1"/>
  <c r="BE71" i="57"/>
  <c r="BU11" i="57" s="1"/>
  <c r="AA82" i="57"/>
  <c r="AU81" i="57" a="1"/>
  <c r="AU81" i="57" s="1"/>
  <c r="AS81" i="57" a="1"/>
  <c r="AS81" i="57" s="1"/>
  <c r="AQ81" i="57" a="1"/>
  <c r="AQ81" i="57" s="1"/>
  <c r="AO81" i="57" a="1"/>
  <c r="AO81" i="57" s="1"/>
  <c r="AM81" i="57" a="1"/>
  <c r="AM81" i="57" s="1"/>
  <c r="AK81" i="57" a="1"/>
  <c r="AK81" i="57" s="1"/>
  <c r="AI81" i="57" a="1"/>
  <c r="AI81" i="57" s="1"/>
  <c r="AG81" i="57" a="1"/>
  <c r="AG81" i="57" s="1"/>
  <c r="AE81" i="57" a="1"/>
  <c r="AE81" i="57" s="1"/>
  <c r="AC81" i="57" a="1"/>
  <c r="AC81" i="57" s="1"/>
  <c r="AR81" i="57" a="1"/>
  <c r="AR81" i="57" s="1"/>
  <c r="AJ81" i="57" a="1"/>
  <c r="AJ81" i="57" s="1"/>
  <c r="AP81" i="57" a="1"/>
  <c r="AP81" i="57" s="1"/>
  <c r="AH81" i="57" a="1"/>
  <c r="AH81" i="57" s="1"/>
  <c r="AV81" i="57" a="1"/>
  <c r="AV81" i="57" s="1"/>
  <c r="AN81" i="57" a="1"/>
  <c r="AN81" i="57" s="1"/>
  <c r="AF81" i="57" a="1"/>
  <c r="AF81" i="57" s="1"/>
  <c r="AT81" i="57" a="1"/>
  <c r="AT81" i="57" s="1"/>
  <c r="AL81" i="57" a="1"/>
  <c r="AL81" i="57" s="1"/>
  <c r="AD81" i="57" a="1"/>
  <c r="AD81" i="57" s="1"/>
  <c r="BJ71" i="57"/>
  <c r="BZ11" i="57" s="1"/>
  <c r="AV197" i="57" a="1"/>
  <c r="AV197" i="57" s="1"/>
  <c r="AT197" i="57" a="1"/>
  <c r="AT197" i="57" s="1"/>
  <c r="AR197" i="57" a="1"/>
  <c r="AR197" i="57" s="1"/>
  <c r="AP197" i="57" a="1"/>
  <c r="AP197" i="57" s="1"/>
  <c r="AN197" i="57" a="1"/>
  <c r="AN197" i="57" s="1"/>
  <c r="AL197" i="57" a="1"/>
  <c r="AL197" i="57" s="1"/>
  <c r="AJ197" i="57" a="1"/>
  <c r="AJ197" i="57" s="1"/>
  <c r="AH197" i="57" a="1"/>
  <c r="AH197" i="57" s="1"/>
  <c r="AU197" i="57" a="1"/>
  <c r="AU197" i="57" s="1"/>
  <c r="AM197" i="57" a="1"/>
  <c r="AM197" i="57" s="1"/>
  <c r="AA198" i="57"/>
  <c r="AO197" i="57" a="1"/>
  <c r="AO197" i="57" s="1"/>
  <c r="AG197" i="57" a="1"/>
  <c r="AG197" i="57" s="1"/>
  <c r="AE197" i="57" a="1"/>
  <c r="AE197" i="57" s="1"/>
  <c r="AC197" i="57" a="1"/>
  <c r="AC197" i="57" s="1"/>
  <c r="AK197" i="57" a="1"/>
  <c r="AK197" i="57" s="1"/>
  <c r="AF197" i="57" a="1"/>
  <c r="AF197" i="57" s="1"/>
  <c r="AI197" i="57" a="1"/>
  <c r="AI197" i="57" s="1"/>
  <c r="AS197" i="57" a="1"/>
  <c r="AS197" i="57" s="1"/>
  <c r="AD197" i="57" a="1"/>
  <c r="AD197" i="57" s="1"/>
  <c r="AQ197" i="57" a="1"/>
  <c r="AQ197" i="57" s="1"/>
  <c r="AU15" i="57" a="1"/>
  <c r="AU15" i="57" s="1"/>
  <c r="AS15" i="57" a="1"/>
  <c r="AS15" i="57" s="1"/>
  <c r="AQ15" i="57" a="1"/>
  <c r="AQ15" i="57" s="1"/>
  <c r="AO15" i="57" a="1"/>
  <c r="AO15" i="57" s="1"/>
  <c r="AM15" i="57" a="1"/>
  <c r="AM15" i="57" s="1"/>
  <c r="AK15" i="57" a="1"/>
  <c r="AK15" i="57" s="1"/>
  <c r="AI15" i="57" a="1"/>
  <c r="AI15" i="57" s="1"/>
  <c r="AG15" i="57" a="1"/>
  <c r="AG15" i="57" s="1"/>
  <c r="AE15" i="57" a="1"/>
  <c r="AE15" i="57" s="1"/>
  <c r="AC15" i="57" a="1"/>
  <c r="AC15" i="57" s="1"/>
  <c r="AA16" i="57"/>
  <c r="AV15" i="57" a="1"/>
  <c r="AV15" i="57" s="1"/>
  <c r="AN15" i="57" a="1"/>
  <c r="AN15" i="57" s="1"/>
  <c r="AF15" i="57" a="1"/>
  <c r="AF15" i="57" s="1"/>
  <c r="AR15" i="57" a="1"/>
  <c r="AR15" i="57" s="1"/>
  <c r="BJ6" i="57" s="1"/>
  <c r="BZ6" i="57" s="1"/>
  <c r="AJ15" i="57" a="1"/>
  <c r="AJ15" i="57" s="1"/>
  <c r="AT15" i="57" a="1"/>
  <c r="AT15" i="57" s="1"/>
  <c r="AL15" i="57" a="1"/>
  <c r="AL15" i="57" s="1"/>
  <c r="AD15" i="57" a="1"/>
  <c r="AD15" i="57" s="1"/>
  <c r="AP15" i="57" a="1"/>
  <c r="AP15" i="57" s="1"/>
  <c r="AH15" i="57" a="1"/>
  <c r="AH15" i="57" s="1"/>
  <c r="BE110" i="57"/>
  <c r="BU14" i="57" s="1"/>
  <c r="BJ110" i="57"/>
  <c r="BZ14" i="57" s="1"/>
  <c r="AA67" i="57"/>
  <c r="AU66" i="57" a="1"/>
  <c r="AU66" i="57" s="1"/>
  <c r="AS66" i="57" a="1"/>
  <c r="AS66" i="57" s="1"/>
  <c r="AQ66" i="57" a="1"/>
  <c r="AQ66" i="57" s="1"/>
  <c r="AO66" i="57" a="1"/>
  <c r="AO66" i="57" s="1"/>
  <c r="AM66" i="57" a="1"/>
  <c r="AM66" i="57" s="1"/>
  <c r="AK66" i="57" a="1"/>
  <c r="AK66" i="57" s="1"/>
  <c r="AI66" i="57" a="1"/>
  <c r="AI66" i="57" s="1"/>
  <c r="AG66" i="57" a="1"/>
  <c r="AG66" i="57" s="1"/>
  <c r="AE66" i="57" a="1"/>
  <c r="AE66" i="57" s="1"/>
  <c r="AC66" i="57" a="1"/>
  <c r="AC66" i="57" s="1"/>
  <c r="AV66" i="57" a="1"/>
  <c r="AV66" i="57" s="1"/>
  <c r="AT66" i="57" a="1"/>
  <c r="AT66" i="57" s="1"/>
  <c r="AR66" i="57" a="1"/>
  <c r="AR66" i="57" s="1"/>
  <c r="AP66" i="57" a="1"/>
  <c r="AP66" i="57" s="1"/>
  <c r="AN66" i="57" a="1"/>
  <c r="AN66" i="57" s="1"/>
  <c r="AL66" i="57" a="1"/>
  <c r="AL66" i="57" s="1"/>
  <c r="AJ66" i="57" a="1"/>
  <c r="AJ66" i="57" s="1"/>
  <c r="AH66" i="57" a="1"/>
  <c r="AH66" i="57" s="1"/>
  <c r="AF66" i="57" a="1"/>
  <c r="AF66" i="57" s="1"/>
  <c r="AD66" i="57" a="1"/>
  <c r="AD66" i="57" s="1"/>
  <c r="AA41" i="57"/>
  <c r="AU40" i="57" a="1"/>
  <c r="AU40" i="57" s="1"/>
  <c r="AS40" i="57" a="1"/>
  <c r="AS40" i="57" s="1"/>
  <c r="AQ40" i="57" a="1"/>
  <c r="AQ40" i="57" s="1"/>
  <c r="AO40" i="57" a="1"/>
  <c r="AO40" i="57" s="1"/>
  <c r="AM40" i="57" a="1"/>
  <c r="AM40" i="57" s="1"/>
  <c r="AK40" i="57" a="1"/>
  <c r="AK40" i="57" s="1"/>
  <c r="AI40" i="57" a="1"/>
  <c r="AI40" i="57" s="1"/>
  <c r="AG40" i="57" a="1"/>
  <c r="AG40" i="57" s="1"/>
  <c r="AE40" i="57" a="1"/>
  <c r="AE40" i="57" s="1"/>
  <c r="AC40" i="57" a="1"/>
  <c r="AC40" i="57" s="1"/>
  <c r="AP40" i="57" a="1"/>
  <c r="AP40" i="57" s="1"/>
  <c r="AH40" i="57" a="1"/>
  <c r="AH40" i="57" s="1"/>
  <c r="AR40" i="57" a="1"/>
  <c r="AR40" i="57" s="1"/>
  <c r="AJ40" i="57" a="1"/>
  <c r="AJ40" i="57" s="1"/>
  <c r="AT40" i="57" a="1"/>
  <c r="AT40" i="57" s="1"/>
  <c r="AL40" i="57" a="1"/>
  <c r="AL40" i="57" s="1"/>
  <c r="AD40" i="57" a="1"/>
  <c r="AD40" i="57" s="1"/>
  <c r="AV40" i="57" a="1"/>
  <c r="AV40" i="57" s="1"/>
  <c r="AN40" i="57" a="1"/>
  <c r="AN40" i="57" s="1"/>
  <c r="AF40" i="57" a="1"/>
  <c r="AF40" i="57" s="1"/>
  <c r="AA159" i="57"/>
  <c r="AS158" i="57" a="1"/>
  <c r="AS158" i="57" s="1"/>
  <c r="AO158" i="57" a="1"/>
  <c r="AO158" i="57" s="1"/>
  <c r="AK158" i="57" a="1"/>
  <c r="AK158" i="57" s="1"/>
  <c r="AG158" i="57" a="1"/>
  <c r="AG158" i="57" s="1"/>
  <c r="AC158" i="57" a="1"/>
  <c r="AC158" i="57" s="1"/>
  <c r="AV158" i="57" a="1"/>
  <c r="AV158" i="57" s="1"/>
  <c r="AR158" i="57" a="1"/>
  <c r="AR158" i="57" s="1"/>
  <c r="AN158" i="57" a="1"/>
  <c r="AN158" i="57" s="1"/>
  <c r="AJ158" i="57" a="1"/>
  <c r="AJ158" i="57" s="1"/>
  <c r="AF158" i="57" a="1"/>
  <c r="AF158" i="57" s="1"/>
  <c r="AU158" i="57" a="1"/>
  <c r="AU158" i="57" s="1"/>
  <c r="AQ158" i="57" a="1"/>
  <c r="AQ158" i="57" s="1"/>
  <c r="AM158" i="57" a="1"/>
  <c r="AM158" i="57" s="1"/>
  <c r="AI158" i="57" a="1"/>
  <c r="AI158" i="57" s="1"/>
  <c r="AE158" i="57" a="1"/>
  <c r="AE158" i="57" s="1"/>
  <c r="AT158" i="57" a="1"/>
  <c r="AT158" i="57" s="1"/>
  <c r="AP158" i="57" a="1"/>
  <c r="AP158" i="57" s="1"/>
  <c r="AL158" i="57" a="1"/>
  <c r="AL158" i="57" s="1"/>
  <c r="AH158" i="57" a="1"/>
  <c r="AH158" i="57" s="1"/>
  <c r="BE149" i="57" s="1"/>
  <c r="BU17" i="57" s="1"/>
  <c r="AD158" i="57" a="1"/>
  <c r="AD158" i="57" s="1"/>
  <c r="AV92" i="57" a="1"/>
  <c r="AV92" i="57" s="1"/>
  <c r="AT92" i="57" a="1"/>
  <c r="AT92" i="57" s="1"/>
  <c r="AR92" i="57" a="1"/>
  <c r="AR92" i="57" s="1"/>
  <c r="AP92" i="57" a="1"/>
  <c r="AP92" i="57" s="1"/>
  <c r="AN92" i="57" a="1"/>
  <c r="AN92" i="57" s="1"/>
  <c r="AL92" i="57" a="1"/>
  <c r="AL92" i="57" s="1"/>
  <c r="AJ92" i="57" a="1"/>
  <c r="AJ92" i="57" s="1"/>
  <c r="AH92" i="57" a="1"/>
  <c r="AH92" i="57" s="1"/>
  <c r="AF92" i="57" a="1"/>
  <c r="AF92" i="57" s="1"/>
  <c r="AD92" i="57" a="1"/>
  <c r="AD92" i="57" s="1"/>
  <c r="AA93" i="57"/>
  <c r="AU92" i="57" a="1"/>
  <c r="AU92" i="57" s="1"/>
  <c r="AS92" i="57" a="1"/>
  <c r="AS92" i="57" s="1"/>
  <c r="AQ92" i="57" a="1"/>
  <c r="AQ92" i="57" s="1"/>
  <c r="AO92" i="57" a="1"/>
  <c r="AO92" i="57" s="1"/>
  <c r="AM92" i="57" a="1"/>
  <c r="AM92" i="57" s="1"/>
  <c r="AK92" i="57" a="1"/>
  <c r="AK92" i="57" s="1"/>
  <c r="AI92" i="57" a="1"/>
  <c r="AI92" i="57" s="1"/>
  <c r="AG92" i="57" a="1"/>
  <c r="AG92" i="57" s="1"/>
  <c r="AE92" i="57" a="1"/>
  <c r="AE92" i="57" s="1"/>
  <c r="AC92" i="57" a="1"/>
  <c r="AC92" i="57" s="1"/>
  <c r="AU248" i="57" a="1"/>
  <c r="AU248" i="57" s="1"/>
  <c r="AP248" i="57" a="1"/>
  <c r="AP248" i="57" s="1"/>
  <c r="AM248" i="57" a="1"/>
  <c r="AM248" i="57" s="1"/>
  <c r="AH248" i="57" a="1"/>
  <c r="AH248" i="57" s="1"/>
  <c r="AE248" i="57" a="1"/>
  <c r="AE248" i="57" s="1"/>
  <c r="AA249" i="57"/>
  <c r="AR248" i="57" a="1"/>
  <c r="AR248" i="57" s="1"/>
  <c r="AO248" i="57" a="1"/>
  <c r="AO248" i="57" s="1"/>
  <c r="AJ248" i="57" a="1"/>
  <c r="AJ248" i="57" s="1"/>
  <c r="AG248" i="57" a="1"/>
  <c r="AG248" i="57" s="1"/>
  <c r="AT248" i="57" a="1"/>
  <c r="AT248" i="57" s="1"/>
  <c r="AQ248" i="57" a="1"/>
  <c r="AQ248" i="57" s="1"/>
  <c r="AL248" i="57" a="1"/>
  <c r="AL248" i="57" s="1"/>
  <c r="AI248" i="57" a="1"/>
  <c r="AI248" i="57" s="1"/>
  <c r="AD248" i="57" a="1"/>
  <c r="AD248" i="57" s="1"/>
  <c r="AF248" i="57" a="1"/>
  <c r="AF248" i="57" s="1"/>
  <c r="AN248" i="57" a="1"/>
  <c r="AN248" i="57" s="1"/>
  <c r="AC248" i="57" a="1"/>
  <c r="AC248" i="57" s="1"/>
  <c r="AV248" i="57" a="1"/>
  <c r="AV248" i="57" s="1"/>
  <c r="AK248" i="57" a="1"/>
  <c r="AK248" i="57" s="1"/>
  <c r="AS248" i="57" a="1"/>
  <c r="AS248" i="57" s="1"/>
  <c r="AA289" i="57"/>
  <c r="AU288" i="57" a="1"/>
  <c r="AU288" i="57" s="1"/>
  <c r="AS288" i="57" a="1"/>
  <c r="AS288" i="57" s="1"/>
  <c r="AQ288" i="57" a="1"/>
  <c r="AQ288" i="57" s="1"/>
  <c r="AO288" i="57" a="1"/>
  <c r="AO288" i="57" s="1"/>
  <c r="AV288" i="57" a="1"/>
  <c r="AV288" i="57" s="1"/>
  <c r="AT288" i="57" a="1"/>
  <c r="AT288" i="57" s="1"/>
  <c r="AR288" i="57" a="1"/>
  <c r="AR288" i="57" s="1"/>
  <c r="AP288" i="57" a="1"/>
  <c r="AP288" i="57" s="1"/>
  <c r="AN288" i="57" a="1"/>
  <c r="AN288" i="57" s="1"/>
  <c r="AL288" i="57" a="1"/>
  <c r="AL288" i="57" s="1"/>
  <c r="AJ288" i="57" a="1"/>
  <c r="AJ288" i="57" s="1"/>
  <c r="AH288" i="57" a="1"/>
  <c r="AH288" i="57" s="1"/>
  <c r="AF288" i="57" a="1"/>
  <c r="AF288" i="57" s="1"/>
  <c r="AD288" i="57" a="1"/>
  <c r="AD288" i="57" s="1"/>
  <c r="AK288" i="57" a="1"/>
  <c r="AK288" i="57" s="1"/>
  <c r="AG288" i="57" a="1"/>
  <c r="AG288" i="57" s="1"/>
  <c r="AC288" i="57" a="1"/>
  <c r="AC288" i="57" s="1"/>
  <c r="AM288" i="57" a="1"/>
  <c r="AM288" i="57" s="1"/>
  <c r="AI288" i="57" a="1"/>
  <c r="AI288" i="57" s="1"/>
  <c r="AE288" i="57" a="1"/>
  <c r="AE288" i="57" s="1"/>
  <c r="AV28" i="57" l="1" a="1"/>
  <c r="AV28" i="57" s="1"/>
  <c r="AF28" i="57" a="1"/>
  <c r="AF28" i="57" s="1"/>
  <c r="AK28" i="57" a="1"/>
  <c r="AK28" i="57" s="1"/>
  <c r="AM28" i="57" a="1"/>
  <c r="AM28" i="57" s="1"/>
  <c r="AO28" i="57" a="1"/>
  <c r="AO28" i="57" s="1"/>
  <c r="AQ28" i="57" a="1"/>
  <c r="AQ28" i="57" s="1"/>
  <c r="AH28" i="57" a="1"/>
  <c r="AH28" i="57" s="1"/>
  <c r="AC28" i="57" a="1"/>
  <c r="AC28" i="57" s="1"/>
  <c r="AJ28" i="57" a="1"/>
  <c r="AJ28" i="57" s="1"/>
  <c r="AL28" i="57" a="1"/>
  <c r="AL28" i="57" s="1"/>
  <c r="AN28" i="57" a="1"/>
  <c r="AN28" i="57" s="1"/>
  <c r="AS28" i="57" a="1"/>
  <c r="AS28" i="57" s="1"/>
  <c r="AU28" i="57" a="1"/>
  <c r="AU28" i="57" s="1"/>
  <c r="AE28" i="57" a="1"/>
  <c r="AE28" i="57" s="1"/>
  <c r="AG28" i="57" a="1"/>
  <c r="AG28" i="57" s="1"/>
  <c r="BE19" i="57" s="1"/>
  <c r="BU7" i="57" s="1"/>
  <c r="AA29" i="57"/>
  <c r="AI28" i="57" a="1"/>
  <c r="AI28" i="57" s="1"/>
  <c r="AP28" i="57" a="1"/>
  <c r="AP28" i="57" s="1"/>
  <c r="AR28" i="57" a="1"/>
  <c r="AR28" i="57" s="1"/>
  <c r="BJ19" i="57" s="1"/>
  <c r="AT28" i="57" a="1"/>
  <c r="AT28" i="57" s="1"/>
  <c r="AD28" i="57" a="1"/>
  <c r="AD28" i="57" s="1"/>
  <c r="BE279" i="57"/>
  <c r="AV289" i="57" a="1"/>
  <c r="AV289" i="57" s="1"/>
  <c r="AT289" i="57" a="1"/>
  <c r="AT289" i="57" s="1"/>
  <c r="AR289" i="57" a="1"/>
  <c r="AR289" i="57" s="1"/>
  <c r="AP289" i="57" a="1"/>
  <c r="AP289" i="57" s="1"/>
  <c r="AN289" i="57" a="1"/>
  <c r="AN289" i="57" s="1"/>
  <c r="AL289" i="57" a="1"/>
  <c r="AL289" i="57" s="1"/>
  <c r="AJ289" i="57" a="1"/>
  <c r="AJ289" i="57" s="1"/>
  <c r="AH289" i="57" a="1"/>
  <c r="AH289" i="57" s="1"/>
  <c r="AF289" i="57" a="1"/>
  <c r="AF289" i="57" s="1"/>
  <c r="AD289" i="57" a="1"/>
  <c r="AD289" i="57" s="1"/>
  <c r="AA290" i="57"/>
  <c r="AU289" i="57" a="1"/>
  <c r="AU289" i="57" s="1"/>
  <c r="AS289" i="57" a="1"/>
  <c r="AS289" i="57" s="1"/>
  <c r="AQ289" i="57" a="1"/>
  <c r="AQ289" i="57" s="1"/>
  <c r="AO289" i="57" a="1"/>
  <c r="AO289" i="57" s="1"/>
  <c r="AM289" i="57" a="1"/>
  <c r="AM289" i="57" s="1"/>
  <c r="AK289" i="57" a="1"/>
  <c r="AK289" i="57" s="1"/>
  <c r="AI289" i="57" a="1"/>
  <c r="AI289" i="57" s="1"/>
  <c r="AG289" i="57" a="1"/>
  <c r="AG289" i="57" s="1"/>
  <c r="AE289" i="57" a="1"/>
  <c r="AE289" i="57" s="1"/>
  <c r="AC289" i="57" a="1"/>
  <c r="AC289" i="57" s="1"/>
  <c r="AU249" i="57" a="1"/>
  <c r="AU249" i="57" s="1"/>
  <c r="AV249" i="57" a="1"/>
  <c r="AV249" i="57" s="1"/>
  <c r="AS249" i="57" a="1"/>
  <c r="AS249" i="57" s="1"/>
  <c r="AP249" i="57" a="1"/>
  <c r="AP249" i="57" s="1"/>
  <c r="AK249" i="57" a="1"/>
  <c r="AK249" i="57" s="1"/>
  <c r="AH249" i="57" a="1"/>
  <c r="AH249" i="57" s="1"/>
  <c r="AC249" i="57" a="1"/>
  <c r="AC249" i="57" s="1"/>
  <c r="AR249" i="57" a="1"/>
  <c r="AR249" i="57" s="1"/>
  <c r="AM249" i="57" a="1"/>
  <c r="AM249" i="57" s="1"/>
  <c r="AJ249" i="57" a="1"/>
  <c r="AJ249" i="57" s="1"/>
  <c r="AE249" i="57" a="1"/>
  <c r="AE249" i="57" s="1"/>
  <c r="AT249" i="57" a="1"/>
  <c r="AT249" i="57" s="1"/>
  <c r="AO249" i="57" a="1"/>
  <c r="AO249" i="57" s="1"/>
  <c r="AL249" i="57" a="1"/>
  <c r="AL249" i="57" s="1"/>
  <c r="AG249" i="57" a="1"/>
  <c r="AG249" i="57" s="1"/>
  <c r="AD249" i="57" a="1"/>
  <c r="AD249" i="57" s="1"/>
  <c r="AQ249" i="57" a="1"/>
  <c r="AQ249" i="57" s="1"/>
  <c r="AF249" i="57" a="1"/>
  <c r="AF249" i="57" s="1"/>
  <c r="AN249" i="57" a="1"/>
  <c r="AN249" i="57" s="1"/>
  <c r="AA250" i="57"/>
  <c r="AI249" i="57" a="1"/>
  <c r="AI249" i="57" s="1"/>
  <c r="AA94" i="57"/>
  <c r="AU93" i="57" a="1"/>
  <c r="AU93" i="57" s="1"/>
  <c r="AS93" i="57" a="1"/>
  <c r="AS93" i="57" s="1"/>
  <c r="AQ93" i="57" a="1"/>
  <c r="AQ93" i="57" s="1"/>
  <c r="AO93" i="57" a="1"/>
  <c r="AO93" i="57" s="1"/>
  <c r="AM93" i="57" a="1"/>
  <c r="AM93" i="57" s="1"/>
  <c r="AK93" i="57" a="1"/>
  <c r="AK93" i="57" s="1"/>
  <c r="AI93" i="57" a="1"/>
  <c r="AI93" i="57" s="1"/>
  <c r="AG93" i="57" a="1"/>
  <c r="AG93" i="57" s="1"/>
  <c r="AE93" i="57" a="1"/>
  <c r="AE93" i="57" s="1"/>
  <c r="AC93" i="57" a="1"/>
  <c r="AC93" i="57" s="1"/>
  <c r="AV93" i="57" a="1"/>
  <c r="AV93" i="57" s="1"/>
  <c r="AT93" i="57" a="1"/>
  <c r="AT93" i="57" s="1"/>
  <c r="AR93" i="57" a="1"/>
  <c r="AR93" i="57" s="1"/>
  <c r="BJ84" i="57" s="1"/>
  <c r="BZ12" i="57" s="1"/>
  <c r="AP93" i="57" a="1"/>
  <c r="AP93" i="57" s="1"/>
  <c r="AN93" i="57" a="1"/>
  <c r="AN93" i="57" s="1"/>
  <c r="AL93" i="57" a="1"/>
  <c r="AL93" i="57" s="1"/>
  <c r="AJ93" i="57" a="1"/>
  <c r="AJ93" i="57" s="1"/>
  <c r="AH93" i="57" a="1"/>
  <c r="AH93" i="57" s="1"/>
  <c r="BE84" i="57" s="1"/>
  <c r="BU12" i="57" s="1"/>
  <c r="AF93" i="57" a="1"/>
  <c r="AF93" i="57" s="1"/>
  <c r="AD93" i="57" a="1"/>
  <c r="AD93" i="57" s="1"/>
  <c r="BJ149" i="57"/>
  <c r="BZ17" i="57" s="1"/>
  <c r="AV41" i="57" a="1"/>
  <c r="AV41" i="57" s="1"/>
  <c r="AT41" i="57" a="1"/>
  <c r="AT41" i="57" s="1"/>
  <c r="AR41" i="57" a="1"/>
  <c r="AR41" i="57" s="1"/>
  <c r="AP41" i="57" a="1"/>
  <c r="AP41" i="57" s="1"/>
  <c r="AN41" i="57" a="1"/>
  <c r="AN41" i="57" s="1"/>
  <c r="AL41" i="57" a="1"/>
  <c r="AL41" i="57" s="1"/>
  <c r="AJ41" i="57" a="1"/>
  <c r="AJ41" i="57" s="1"/>
  <c r="AH41" i="57" a="1"/>
  <c r="AH41" i="57" s="1"/>
  <c r="AF41" i="57" a="1"/>
  <c r="AF41" i="57" s="1"/>
  <c r="AD41" i="57" a="1"/>
  <c r="AD41" i="57" s="1"/>
  <c r="AS41" i="57" a="1"/>
  <c r="AS41" i="57" s="1"/>
  <c r="AK41" i="57" a="1"/>
  <c r="AK41" i="57" s="1"/>
  <c r="AC41" i="57" a="1"/>
  <c r="AC41" i="57" s="1"/>
  <c r="AU41" i="57" a="1"/>
  <c r="AU41" i="57" s="1"/>
  <c r="AM41" i="57" a="1"/>
  <c r="AM41" i="57" s="1"/>
  <c r="AE41" i="57" a="1"/>
  <c r="AE41" i="57" s="1"/>
  <c r="AA42" i="57"/>
  <c r="AO41" i="57" a="1"/>
  <c r="AO41" i="57" s="1"/>
  <c r="AG41" i="57" a="1"/>
  <c r="AG41" i="57" s="1"/>
  <c r="AQ41" i="57" a="1"/>
  <c r="AQ41" i="57" s="1"/>
  <c r="AI41" i="57" a="1"/>
  <c r="AI41" i="57" s="1"/>
  <c r="BE6" i="57"/>
  <c r="BU6" i="57" s="1"/>
  <c r="BE266" i="57"/>
  <c r="AA172" i="57"/>
  <c r="AU171" i="57" a="1"/>
  <c r="AU171" i="57" s="1"/>
  <c r="AS171" i="57" a="1"/>
  <c r="AS171" i="57" s="1"/>
  <c r="AQ171" i="57" a="1"/>
  <c r="AQ171" i="57" s="1"/>
  <c r="AO171" i="57" a="1"/>
  <c r="AO171" i="57" s="1"/>
  <c r="AM171" i="57" a="1"/>
  <c r="AM171" i="57" s="1"/>
  <c r="AK171" i="57" a="1"/>
  <c r="AK171" i="57" s="1"/>
  <c r="AI171" i="57" a="1"/>
  <c r="AI171" i="57" s="1"/>
  <c r="AG171" i="57" a="1"/>
  <c r="AG171" i="57" s="1"/>
  <c r="AE171" i="57" a="1"/>
  <c r="AE171" i="57" s="1"/>
  <c r="AC171" i="57" a="1"/>
  <c r="AC171" i="57" s="1"/>
  <c r="AV171" i="57" a="1"/>
  <c r="AV171" i="57" s="1"/>
  <c r="AT171" i="57" a="1"/>
  <c r="AT171" i="57" s="1"/>
  <c r="AR171" i="57" a="1"/>
  <c r="AR171" i="57" s="1"/>
  <c r="BJ162" i="57" s="1"/>
  <c r="AP171" i="57" a="1"/>
  <c r="AP171" i="57" s="1"/>
  <c r="AN171" i="57" a="1"/>
  <c r="AN171" i="57" s="1"/>
  <c r="AL171" i="57" a="1"/>
  <c r="AL171" i="57" s="1"/>
  <c r="AJ171" i="57" a="1"/>
  <c r="AJ171" i="57" s="1"/>
  <c r="AH171" i="57" a="1"/>
  <c r="AH171" i="57" s="1"/>
  <c r="BE162" i="57" s="1"/>
  <c r="AF171" i="57" a="1"/>
  <c r="AF171" i="57" s="1"/>
  <c r="AD171" i="57" a="1"/>
  <c r="AD171" i="57" s="1"/>
  <c r="AA238" i="57"/>
  <c r="AU237" i="57" a="1"/>
  <c r="AU237" i="57" s="1"/>
  <c r="AS237" i="57" a="1"/>
  <c r="AS237" i="57" s="1"/>
  <c r="AQ237" i="57" a="1"/>
  <c r="AQ237" i="57" s="1"/>
  <c r="AO237" i="57" a="1"/>
  <c r="AO237" i="57" s="1"/>
  <c r="AM237" i="57" a="1"/>
  <c r="AM237" i="57" s="1"/>
  <c r="AK237" i="57" a="1"/>
  <c r="AK237" i="57" s="1"/>
  <c r="AI237" i="57" a="1"/>
  <c r="AI237" i="57" s="1"/>
  <c r="AG237" i="57" a="1"/>
  <c r="AG237" i="57" s="1"/>
  <c r="AE237" i="57" a="1"/>
  <c r="AE237" i="57" s="1"/>
  <c r="AC237" i="57" a="1"/>
  <c r="AC237" i="57" s="1"/>
  <c r="AV237" i="57" a="1"/>
  <c r="AV237" i="57" s="1"/>
  <c r="AN237" i="57" a="1"/>
  <c r="AN237" i="57" s="1"/>
  <c r="AF237" i="57" a="1"/>
  <c r="AF237" i="57" s="1"/>
  <c r="AT237" i="57" a="1"/>
  <c r="AT237" i="57" s="1"/>
  <c r="AL237" i="57" a="1"/>
  <c r="AL237" i="57" s="1"/>
  <c r="AD237" i="57" a="1"/>
  <c r="AD237" i="57" s="1"/>
  <c r="AR237" i="57" a="1"/>
  <c r="AR237" i="57" s="1"/>
  <c r="AJ237" i="57" a="1"/>
  <c r="AJ237" i="57" s="1"/>
  <c r="AP237" i="57" a="1"/>
  <c r="AP237" i="57" s="1"/>
  <c r="AH237" i="57" a="1"/>
  <c r="AH237" i="57" s="1"/>
  <c r="BE227" i="57"/>
  <c r="AV67" i="57" a="1"/>
  <c r="AV67" i="57" s="1"/>
  <c r="AT67" i="57" a="1"/>
  <c r="AT67" i="57" s="1"/>
  <c r="AR67" i="57" a="1"/>
  <c r="AR67" i="57" s="1"/>
  <c r="AP67" i="57" a="1"/>
  <c r="AP67" i="57" s="1"/>
  <c r="AN67" i="57" a="1"/>
  <c r="AN67" i="57" s="1"/>
  <c r="AL67" i="57" a="1"/>
  <c r="AL67" i="57" s="1"/>
  <c r="AJ67" i="57" a="1"/>
  <c r="AJ67" i="57" s="1"/>
  <c r="AH67" i="57" a="1"/>
  <c r="AH67" i="57" s="1"/>
  <c r="AF67" i="57" a="1"/>
  <c r="AF67" i="57" s="1"/>
  <c r="AD67" i="57" a="1"/>
  <c r="AD67" i="57" s="1"/>
  <c r="AA68" i="57"/>
  <c r="AU67" i="57" a="1"/>
  <c r="AU67" i="57" s="1"/>
  <c r="AS67" i="57" a="1"/>
  <c r="AS67" i="57" s="1"/>
  <c r="AQ67" i="57" a="1"/>
  <c r="AQ67" i="57" s="1"/>
  <c r="BJ58" i="57" s="1"/>
  <c r="BZ10" i="57" s="1"/>
  <c r="AO67" i="57" a="1"/>
  <c r="AO67" i="57" s="1"/>
  <c r="AM67" i="57" a="1"/>
  <c r="AM67" i="57" s="1"/>
  <c r="AK67" i="57" a="1"/>
  <c r="AK67" i="57" s="1"/>
  <c r="AI67" i="57" a="1"/>
  <c r="AI67" i="57" s="1"/>
  <c r="AG67" i="57" a="1"/>
  <c r="AG67" i="57" s="1"/>
  <c r="AE67" i="57" a="1"/>
  <c r="AE67" i="57" s="1"/>
  <c r="AC67" i="57" a="1"/>
  <c r="AC67" i="57" s="1"/>
  <c r="BJ266" i="57"/>
  <c r="BE292" i="57"/>
  <c r="AA263" i="57"/>
  <c r="AU262" i="57" a="1"/>
  <c r="AU262" i="57" s="1"/>
  <c r="AS262" i="57" a="1"/>
  <c r="AS262" i="57" s="1"/>
  <c r="AQ262" i="57" a="1"/>
  <c r="AQ262" i="57" s="1"/>
  <c r="AO262" i="57" a="1"/>
  <c r="AO262" i="57" s="1"/>
  <c r="AM262" i="57" a="1"/>
  <c r="AM262" i="57" s="1"/>
  <c r="AK262" i="57" a="1"/>
  <c r="AK262" i="57" s="1"/>
  <c r="AI262" i="57" a="1"/>
  <c r="AI262" i="57" s="1"/>
  <c r="AG262" i="57" a="1"/>
  <c r="AG262" i="57" s="1"/>
  <c r="AE262" i="57" a="1"/>
  <c r="AE262" i="57" s="1"/>
  <c r="AC262" i="57" a="1"/>
  <c r="AC262" i="57" s="1"/>
  <c r="AR262" i="57" a="1"/>
  <c r="AR262" i="57" s="1"/>
  <c r="BJ253" i="57" s="1"/>
  <c r="AJ262" i="57" a="1"/>
  <c r="AJ262" i="57" s="1"/>
  <c r="AT262" i="57" a="1"/>
  <c r="AT262" i="57" s="1"/>
  <c r="AF262" i="57" a="1"/>
  <c r="AF262" i="57" s="1"/>
  <c r="AV262" i="57" a="1"/>
  <c r="AV262" i="57" s="1"/>
  <c r="AL262" i="57" a="1"/>
  <c r="AL262" i="57" s="1"/>
  <c r="AH262" i="57" a="1"/>
  <c r="AH262" i="57" s="1"/>
  <c r="BE253" i="57" s="1"/>
  <c r="AP262" i="57" a="1"/>
  <c r="AP262" i="57" s="1"/>
  <c r="AN262" i="57" a="1"/>
  <c r="AN262" i="57" s="1"/>
  <c r="AD262" i="57" a="1"/>
  <c r="AD262" i="57" s="1"/>
  <c r="AV132" i="57" a="1"/>
  <c r="AV132" i="57" s="1"/>
  <c r="AT132" i="57" a="1"/>
  <c r="AT132" i="57" s="1"/>
  <c r="AR132" i="57" a="1"/>
  <c r="AR132" i="57" s="1"/>
  <c r="AP132" i="57" a="1"/>
  <c r="AP132" i="57" s="1"/>
  <c r="AN132" i="57" a="1"/>
  <c r="AN132" i="57" s="1"/>
  <c r="AL132" i="57" a="1"/>
  <c r="AL132" i="57" s="1"/>
  <c r="AJ132" i="57" a="1"/>
  <c r="AJ132" i="57" s="1"/>
  <c r="AH132" i="57" a="1"/>
  <c r="AH132" i="57" s="1"/>
  <c r="AF132" i="57" a="1"/>
  <c r="AF132" i="57" s="1"/>
  <c r="AD132" i="57" a="1"/>
  <c r="AD132" i="57" s="1"/>
  <c r="AA133" i="57"/>
  <c r="AU132" i="57" a="1"/>
  <c r="AU132" i="57" s="1"/>
  <c r="AS132" i="57" a="1"/>
  <c r="AS132" i="57" s="1"/>
  <c r="AQ132" i="57" a="1"/>
  <c r="AQ132" i="57" s="1"/>
  <c r="AO132" i="57" a="1"/>
  <c r="AO132" i="57" s="1"/>
  <c r="AM132" i="57" a="1"/>
  <c r="AM132" i="57" s="1"/>
  <c r="AK132" i="57" a="1"/>
  <c r="AK132" i="57" s="1"/>
  <c r="AI132" i="57" a="1"/>
  <c r="AI132" i="57" s="1"/>
  <c r="AG132" i="57" a="1"/>
  <c r="AG132" i="57" s="1"/>
  <c r="AE132" i="57" a="1"/>
  <c r="AE132" i="57" s="1"/>
  <c r="AC132" i="57" a="1"/>
  <c r="AC132" i="57" s="1"/>
  <c r="AU16" i="57" a="1"/>
  <c r="AU16" i="57" s="1"/>
  <c r="AS16" i="57" a="1"/>
  <c r="AS16" i="57" s="1"/>
  <c r="AQ16" i="57" a="1"/>
  <c r="AQ16" i="57" s="1"/>
  <c r="AO16" i="57" a="1"/>
  <c r="AO16" i="57" s="1"/>
  <c r="AM16" i="57" a="1"/>
  <c r="AM16" i="57" s="1"/>
  <c r="AK16" i="57" a="1"/>
  <c r="AK16" i="57" s="1"/>
  <c r="AI16" i="57" a="1"/>
  <c r="AI16" i="57" s="1"/>
  <c r="AG16" i="57" a="1"/>
  <c r="AG16" i="57" s="1"/>
  <c r="AE16" i="57" a="1"/>
  <c r="AE16" i="57" s="1"/>
  <c r="AC16" i="57" a="1"/>
  <c r="AC16" i="57" s="1"/>
  <c r="AR16" i="57" a="1"/>
  <c r="AR16" i="57" s="1"/>
  <c r="AJ16" i="57" a="1"/>
  <c r="AJ16" i="57" s="1"/>
  <c r="AA17" i="57"/>
  <c r="AV16" i="57" a="1"/>
  <c r="AV16" i="57" s="1"/>
  <c r="AN16" i="57" a="1"/>
  <c r="AN16" i="57" s="1"/>
  <c r="AF16" i="57" a="1"/>
  <c r="AF16" i="57" s="1"/>
  <c r="AP16" i="57" a="1"/>
  <c r="AP16" i="57" s="1"/>
  <c r="AH16" i="57" a="1"/>
  <c r="AH16" i="57" s="1"/>
  <c r="AT16" i="57" a="1"/>
  <c r="AT16" i="57" s="1"/>
  <c r="AL16" i="57" a="1"/>
  <c r="AL16" i="57" s="1"/>
  <c r="AD16" i="57" a="1"/>
  <c r="AD16" i="57" s="1"/>
  <c r="BE188" i="57"/>
  <c r="BE136" i="57"/>
  <c r="BU16" i="57" s="1"/>
  <c r="AV185" i="57" a="1"/>
  <c r="AV185" i="57" s="1"/>
  <c r="AT185" i="57" a="1"/>
  <c r="AT185" i="57" s="1"/>
  <c r="AR185" i="57" a="1"/>
  <c r="AR185" i="57" s="1"/>
  <c r="AP185" i="57" a="1"/>
  <c r="AP185" i="57" s="1"/>
  <c r="AN185" i="57" a="1"/>
  <c r="AN185" i="57" s="1"/>
  <c r="AL185" i="57" a="1"/>
  <c r="AL185" i="57" s="1"/>
  <c r="AJ185" i="57" a="1"/>
  <c r="AJ185" i="57" s="1"/>
  <c r="AH185" i="57" a="1"/>
  <c r="AH185" i="57" s="1"/>
  <c r="AF185" i="57" a="1"/>
  <c r="AF185" i="57" s="1"/>
  <c r="AD185" i="57" a="1"/>
  <c r="AD185" i="57" s="1"/>
  <c r="AU185" i="57" a="1"/>
  <c r="AU185" i="57" s="1"/>
  <c r="AM185" i="57" a="1"/>
  <c r="AM185" i="57" s="1"/>
  <c r="AE185" i="57" a="1"/>
  <c r="AE185" i="57" s="1"/>
  <c r="AA186" i="57"/>
  <c r="AO185" i="57" a="1"/>
  <c r="AO185" i="57" s="1"/>
  <c r="AG185" i="57" a="1"/>
  <c r="AG185" i="57" s="1"/>
  <c r="AQ185" i="57" a="1"/>
  <c r="AQ185" i="57" s="1"/>
  <c r="AI185" i="57" a="1"/>
  <c r="AI185" i="57" s="1"/>
  <c r="AS185" i="57" a="1"/>
  <c r="AS185" i="57" s="1"/>
  <c r="AK185" i="57" a="1"/>
  <c r="AK185" i="57" s="1"/>
  <c r="AC185" i="57" a="1"/>
  <c r="AC185" i="57" s="1"/>
  <c r="AV302" i="57" a="1"/>
  <c r="AV302" i="57" s="1"/>
  <c r="AS302" i="57" a="1"/>
  <c r="AS302" i="57" s="1"/>
  <c r="AN302" i="57" a="1"/>
  <c r="AN302" i="57" s="1"/>
  <c r="AK302" i="57" a="1"/>
  <c r="AK302" i="57" s="1"/>
  <c r="AF302" i="57" a="1"/>
  <c r="AF302" i="57" s="1"/>
  <c r="AC302" i="57" a="1"/>
  <c r="AC302" i="57" s="1"/>
  <c r="AU302" i="57" a="1"/>
  <c r="AU302" i="57" s="1"/>
  <c r="AP302" i="57" a="1"/>
  <c r="AP302" i="57" s="1"/>
  <c r="AM302" i="57" a="1"/>
  <c r="AM302" i="57" s="1"/>
  <c r="AH302" i="57" a="1"/>
  <c r="AH302" i="57" s="1"/>
  <c r="AE302" i="57" a="1"/>
  <c r="AE302" i="57" s="1"/>
  <c r="AT302" i="57" a="1"/>
  <c r="AT302" i="57" s="1"/>
  <c r="AQ302" i="57" a="1"/>
  <c r="AQ302" i="57" s="1"/>
  <c r="AL302" i="57" a="1"/>
  <c r="AL302" i="57" s="1"/>
  <c r="AI302" i="57" a="1"/>
  <c r="AI302" i="57" s="1"/>
  <c r="AD302" i="57" a="1"/>
  <c r="AD302" i="57" s="1"/>
  <c r="AR302" i="57" a="1"/>
  <c r="AR302" i="57" s="1"/>
  <c r="AG302" i="57" a="1"/>
  <c r="AG302" i="57" s="1"/>
  <c r="AO302" i="57" a="1"/>
  <c r="AO302" i="57" s="1"/>
  <c r="AA303" i="57"/>
  <c r="AJ302" i="57" a="1"/>
  <c r="AJ302" i="57" s="1"/>
  <c r="AT121" i="57" a="1"/>
  <c r="AT121" i="57" s="1"/>
  <c r="AP121" i="57" a="1"/>
  <c r="AP121" i="57" s="1"/>
  <c r="AL121" i="57" a="1"/>
  <c r="AL121" i="57" s="1"/>
  <c r="AH121" i="57" a="1"/>
  <c r="AH121" i="57" s="1"/>
  <c r="AD121" i="57" a="1"/>
  <c r="AD121" i="57" s="1"/>
  <c r="AS121" i="57" a="1"/>
  <c r="AS121" i="57" s="1"/>
  <c r="AO121" i="57" a="1"/>
  <c r="AO121" i="57" s="1"/>
  <c r="AK121" i="57" a="1"/>
  <c r="AK121" i="57" s="1"/>
  <c r="AG121" i="57" a="1"/>
  <c r="AG121" i="57" s="1"/>
  <c r="AC121" i="57" a="1"/>
  <c r="AC121" i="57" s="1"/>
  <c r="AV121" i="57" a="1"/>
  <c r="AV121" i="57" s="1"/>
  <c r="AR121" i="57" a="1"/>
  <c r="AR121" i="57" s="1"/>
  <c r="AN121" i="57" a="1"/>
  <c r="AN121" i="57" s="1"/>
  <c r="AJ121" i="57" a="1"/>
  <c r="AJ121" i="57" s="1"/>
  <c r="AF121" i="57" a="1"/>
  <c r="AF121" i="57" s="1"/>
  <c r="AU121" i="57" a="1"/>
  <c r="AU121" i="57" s="1"/>
  <c r="AQ121" i="57" a="1"/>
  <c r="AQ121" i="57" s="1"/>
  <c r="AM121" i="57" a="1"/>
  <c r="AM121" i="57" s="1"/>
  <c r="AI121" i="57" a="1"/>
  <c r="AI121" i="57" s="1"/>
  <c r="AE121" i="57" a="1"/>
  <c r="AE121" i="57" s="1"/>
  <c r="AV210" i="57" a="1"/>
  <c r="AV210" i="57" s="1"/>
  <c r="AQ210" i="57" a="1"/>
  <c r="AQ210" i="57" s="1"/>
  <c r="AN210" i="57" a="1"/>
  <c r="AN210" i="57" s="1"/>
  <c r="AI210" i="57" a="1"/>
  <c r="AI210" i="57" s="1"/>
  <c r="AF210" i="57" a="1"/>
  <c r="AF210" i="57" s="1"/>
  <c r="AS210" i="57" a="1"/>
  <c r="AS210" i="57" s="1"/>
  <c r="AP210" i="57" a="1"/>
  <c r="AP210" i="57" s="1"/>
  <c r="AK210" i="57" a="1"/>
  <c r="AK210" i="57" s="1"/>
  <c r="AH210" i="57" a="1"/>
  <c r="AH210" i="57" s="1"/>
  <c r="AC210" i="57" a="1"/>
  <c r="AC210" i="57" s="1"/>
  <c r="AU210" i="57" a="1"/>
  <c r="AU210" i="57" s="1"/>
  <c r="AR210" i="57" a="1"/>
  <c r="AR210" i="57" s="1"/>
  <c r="BJ201" i="57" s="1"/>
  <c r="AM210" i="57" a="1"/>
  <c r="AM210" i="57" s="1"/>
  <c r="AJ210" i="57" a="1"/>
  <c r="AJ210" i="57" s="1"/>
  <c r="AE210" i="57" a="1"/>
  <c r="AE210" i="57" s="1"/>
  <c r="AA211" i="57"/>
  <c r="AT210" i="57" a="1"/>
  <c r="AT210" i="57" s="1"/>
  <c r="AO210" i="57" a="1"/>
  <c r="AO210" i="57" s="1"/>
  <c r="AL210" i="57" a="1"/>
  <c r="AL210" i="57" s="1"/>
  <c r="AG210" i="57" a="1"/>
  <c r="AG210" i="57" s="1"/>
  <c r="AD210" i="57" a="1"/>
  <c r="AD210" i="57" s="1"/>
  <c r="AV314" i="57" a="1"/>
  <c r="AV314" i="57" s="1"/>
  <c r="AR314" i="57" a="1"/>
  <c r="AR314" i="57" s="1"/>
  <c r="AN314" i="57" a="1"/>
  <c r="AN314" i="57" s="1"/>
  <c r="AJ314" i="57" a="1"/>
  <c r="AJ314" i="57" s="1"/>
  <c r="AF314" i="57" a="1"/>
  <c r="AF314" i="57" s="1"/>
  <c r="AU314" i="57" a="1"/>
  <c r="AU314" i="57" s="1"/>
  <c r="AQ314" i="57" a="1"/>
  <c r="AQ314" i="57" s="1"/>
  <c r="AM314" i="57" a="1"/>
  <c r="AM314" i="57" s="1"/>
  <c r="AI314" i="57" a="1"/>
  <c r="AI314" i="57" s="1"/>
  <c r="AE314" i="57" a="1"/>
  <c r="AE314" i="57" s="1"/>
  <c r="AT314" i="57" a="1"/>
  <c r="AT314" i="57" s="1"/>
  <c r="AP314" i="57" a="1"/>
  <c r="AP314" i="57" s="1"/>
  <c r="AL314" i="57" a="1"/>
  <c r="AL314" i="57" s="1"/>
  <c r="AH314" i="57" a="1"/>
  <c r="AH314" i="57" s="1"/>
  <c r="AD314" i="57" a="1"/>
  <c r="AD314" i="57" s="1"/>
  <c r="AA315" i="57"/>
  <c r="AS314" i="57" a="1"/>
  <c r="AS314" i="57" s="1"/>
  <c r="AO314" i="57" a="1"/>
  <c r="AO314" i="57" s="1"/>
  <c r="AK314" i="57" a="1"/>
  <c r="AK314" i="57" s="1"/>
  <c r="AG314" i="57" a="1"/>
  <c r="AG314" i="57" s="1"/>
  <c r="AC314" i="57" a="1"/>
  <c r="AC314" i="57" s="1"/>
  <c r="AA225" i="57"/>
  <c r="AV159" i="57" a="1"/>
  <c r="AV159" i="57" s="1"/>
  <c r="AR159" i="57" a="1"/>
  <c r="AR159" i="57" s="1"/>
  <c r="AN159" i="57" a="1"/>
  <c r="AN159" i="57" s="1"/>
  <c r="AJ159" i="57" a="1"/>
  <c r="AJ159" i="57" s="1"/>
  <c r="AF159" i="57" a="1"/>
  <c r="AF159" i="57" s="1"/>
  <c r="AU159" i="57" a="1"/>
  <c r="AU159" i="57" s="1"/>
  <c r="AQ159" i="57" a="1"/>
  <c r="AQ159" i="57" s="1"/>
  <c r="AM159" i="57" a="1"/>
  <c r="AM159" i="57" s="1"/>
  <c r="AI159" i="57" a="1"/>
  <c r="AI159" i="57" s="1"/>
  <c r="AE159" i="57" a="1"/>
  <c r="AE159" i="57" s="1"/>
  <c r="AT159" i="57" a="1"/>
  <c r="AT159" i="57" s="1"/>
  <c r="AP159" i="57" a="1"/>
  <c r="AP159" i="57" s="1"/>
  <c r="AL159" i="57" a="1"/>
  <c r="AL159" i="57" s="1"/>
  <c r="AH159" i="57" a="1"/>
  <c r="AH159" i="57" s="1"/>
  <c r="AD159" i="57" a="1"/>
  <c r="AD159" i="57" s="1"/>
  <c r="AA160" i="57"/>
  <c r="AS159" i="57" a="1"/>
  <c r="AS159" i="57" s="1"/>
  <c r="AO159" i="57" a="1"/>
  <c r="AO159" i="57" s="1"/>
  <c r="AK159" i="57" a="1"/>
  <c r="AK159" i="57" s="1"/>
  <c r="AG159" i="57" a="1"/>
  <c r="AG159" i="57" s="1"/>
  <c r="AC159" i="57" a="1"/>
  <c r="AC159" i="57" s="1"/>
  <c r="AA199" i="57"/>
  <c r="AU198" i="57" a="1"/>
  <c r="AU198" i="57" s="1"/>
  <c r="AS198" i="57" a="1"/>
  <c r="AS198" i="57" s="1"/>
  <c r="AQ198" i="57" a="1"/>
  <c r="AQ198" i="57" s="1"/>
  <c r="AO198" i="57" a="1"/>
  <c r="AO198" i="57" s="1"/>
  <c r="AM198" i="57" a="1"/>
  <c r="AM198" i="57" s="1"/>
  <c r="AK198" i="57" a="1"/>
  <c r="AK198" i="57" s="1"/>
  <c r="AI198" i="57" a="1"/>
  <c r="AI198" i="57" s="1"/>
  <c r="AG198" i="57" a="1"/>
  <c r="AG198" i="57" s="1"/>
  <c r="AE198" i="57" a="1"/>
  <c r="AE198" i="57" s="1"/>
  <c r="AC198" i="57" a="1"/>
  <c r="AC198" i="57" s="1"/>
  <c r="AP198" i="57" a="1"/>
  <c r="AP198" i="57" s="1"/>
  <c r="AH198" i="57" a="1"/>
  <c r="AH198" i="57" s="1"/>
  <c r="AR198" i="57" a="1"/>
  <c r="AR198" i="57" s="1"/>
  <c r="AJ198" i="57" a="1"/>
  <c r="AJ198" i="57" s="1"/>
  <c r="AV198" i="57" a="1"/>
  <c r="AV198" i="57" s="1"/>
  <c r="AN198" i="57" a="1"/>
  <c r="AN198" i="57" s="1"/>
  <c r="AL198" i="57" a="1"/>
  <c r="AL198" i="57" s="1"/>
  <c r="AF198" i="57" a="1"/>
  <c r="AF198" i="57" s="1"/>
  <c r="AT198" i="57" a="1"/>
  <c r="AT198" i="57" s="1"/>
  <c r="AD198" i="57" a="1"/>
  <c r="AD198" i="57" s="1"/>
  <c r="BJ188" i="57"/>
  <c r="AV82" i="57" a="1"/>
  <c r="AV82" i="57" s="1"/>
  <c r="AT82" i="57" a="1"/>
  <c r="AT82" i="57" s="1"/>
  <c r="AR82" i="57" a="1"/>
  <c r="AR82" i="57" s="1"/>
  <c r="AP82" i="57" a="1"/>
  <c r="AP82" i="57" s="1"/>
  <c r="AN82" i="57" a="1"/>
  <c r="AN82" i="57" s="1"/>
  <c r="AL82" i="57" a="1"/>
  <c r="AL82" i="57" s="1"/>
  <c r="AJ82" i="57" a="1"/>
  <c r="AJ82" i="57" s="1"/>
  <c r="AH82" i="57" a="1"/>
  <c r="AH82" i="57" s="1"/>
  <c r="AF82" i="57" a="1"/>
  <c r="AF82" i="57" s="1"/>
  <c r="AD82" i="57" a="1"/>
  <c r="AD82" i="57" s="1"/>
  <c r="AU82" i="57" a="1"/>
  <c r="AU82" i="57" s="1"/>
  <c r="AM82" i="57" a="1"/>
  <c r="AM82" i="57" s="1"/>
  <c r="AE82" i="57" a="1"/>
  <c r="AE82" i="57" s="1"/>
  <c r="AS82" i="57" a="1"/>
  <c r="AS82" i="57" s="1"/>
  <c r="AK82" i="57" a="1"/>
  <c r="AK82" i="57" s="1"/>
  <c r="AC82" i="57" a="1"/>
  <c r="AC82" i="57" s="1"/>
  <c r="AQ82" i="57" a="1"/>
  <c r="AQ82" i="57" s="1"/>
  <c r="AI82" i="57" a="1"/>
  <c r="AI82" i="57" s="1"/>
  <c r="AO82" i="57" a="1"/>
  <c r="AO82" i="57" s="1"/>
  <c r="AG82" i="57" a="1"/>
  <c r="AG82" i="57" s="1"/>
  <c r="AA147" i="57"/>
  <c r="AU146" i="57" a="1"/>
  <c r="AU146" i="57" s="1"/>
  <c r="AS146" i="57" a="1"/>
  <c r="AS146" i="57" s="1"/>
  <c r="AQ146" i="57" a="1"/>
  <c r="AQ146" i="57" s="1"/>
  <c r="AO146" i="57" a="1"/>
  <c r="AO146" i="57" s="1"/>
  <c r="AM146" i="57" a="1"/>
  <c r="AM146" i="57" s="1"/>
  <c r="AK146" i="57" a="1"/>
  <c r="AK146" i="57" s="1"/>
  <c r="AI146" i="57" a="1"/>
  <c r="AI146" i="57" s="1"/>
  <c r="AG146" i="57" a="1"/>
  <c r="AG146" i="57" s="1"/>
  <c r="AE146" i="57" a="1"/>
  <c r="AE146" i="57" s="1"/>
  <c r="AC146" i="57" a="1"/>
  <c r="AC146" i="57" s="1"/>
  <c r="AV146" i="57" a="1"/>
  <c r="AV146" i="57" s="1"/>
  <c r="AT146" i="57" a="1"/>
  <c r="AT146" i="57" s="1"/>
  <c r="AR146" i="57" a="1"/>
  <c r="AR146" i="57" s="1"/>
  <c r="AP146" i="57" a="1"/>
  <c r="AP146" i="57" s="1"/>
  <c r="AN146" i="57" a="1"/>
  <c r="AN146" i="57" s="1"/>
  <c r="AL146" i="57" a="1"/>
  <c r="AL146" i="57" s="1"/>
  <c r="AJ146" i="57" a="1"/>
  <c r="AJ146" i="57" s="1"/>
  <c r="AH146" i="57" a="1"/>
  <c r="AH146" i="57" s="1"/>
  <c r="AF146" i="57" a="1"/>
  <c r="AF146" i="57" s="1"/>
  <c r="AD146" i="57" a="1"/>
  <c r="AD146" i="57" s="1"/>
  <c r="BJ136" i="57"/>
  <c r="BZ16" i="57" s="1"/>
  <c r="AA277" i="57"/>
  <c r="AU276" i="57" a="1"/>
  <c r="AU276" i="57" s="1"/>
  <c r="AS276" i="57" a="1"/>
  <c r="AS276" i="57" s="1"/>
  <c r="AQ276" i="57" a="1"/>
  <c r="AQ276" i="57" s="1"/>
  <c r="AO276" i="57" a="1"/>
  <c r="AO276" i="57" s="1"/>
  <c r="AM276" i="57" a="1"/>
  <c r="AM276" i="57" s="1"/>
  <c r="AK276" i="57" a="1"/>
  <c r="AK276" i="57" s="1"/>
  <c r="AI276" i="57" a="1"/>
  <c r="AI276" i="57" s="1"/>
  <c r="AG276" i="57" a="1"/>
  <c r="AG276" i="57" s="1"/>
  <c r="AE276" i="57" a="1"/>
  <c r="AE276" i="57" s="1"/>
  <c r="AC276" i="57" a="1"/>
  <c r="AC276" i="57" s="1"/>
  <c r="AT276" i="57" a="1"/>
  <c r="AT276" i="57" s="1"/>
  <c r="AL276" i="57" a="1"/>
  <c r="AL276" i="57" s="1"/>
  <c r="AD276" i="57" a="1"/>
  <c r="AD276" i="57" s="1"/>
  <c r="AR276" i="57" a="1"/>
  <c r="AR276" i="57" s="1"/>
  <c r="AN276" i="57" a="1"/>
  <c r="AN276" i="57" s="1"/>
  <c r="AJ276" i="57" a="1"/>
  <c r="AJ276" i="57" s="1"/>
  <c r="AF276" i="57" a="1"/>
  <c r="AF276" i="57" s="1"/>
  <c r="AP276" i="57" a="1"/>
  <c r="AP276" i="57" s="1"/>
  <c r="AV276" i="57" a="1"/>
  <c r="AV276" i="57" s="1"/>
  <c r="AH276" i="57" a="1"/>
  <c r="AH276" i="57" s="1"/>
  <c r="AA107" i="57"/>
  <c r="AU106" i="57" a="1"/>
  <c r="AU106" i="57" s="1"/>
  <c r="AS106" i="57" a="1"/>
  <c r="AS106" i="57" s="1"/>
  <c r="AQ106" i="57" a="1"/>
  <c r="AQ106" i="57" s="1"/>
  <c r="AO106" i="57" a="1"/>
  <c r="AO106" i="57" s="1"/>
  <c r="AM106" i="57" a="1"/>
  <c r="AM106" i="57" s="1"/>
  <c r="AK106" i="57" a="1"/>
  <c r="AK106" i="57" s="1"/>
  <c r="AI106" i="57" a="1"/>
  <c r="AI106" i="57" s="1"/>
  <c r="AG106" i="57" a="1"/>
  <c r="AG106" i="57" s="1"/>
  <c r="AE106" i="57" a="1"/>
  <c r="AE106" i="57" s="1"/>
  <c r="AC106" i="57" a="1"/>
  <c r="AC106" i="57" s="1"/>
  <c r="AV106" i="57" a="1"/>
  <c r="AV106" i="57" s="1"/>
  <c r="AT106" i="57" a="1"/>
  <c r="AT106" i="57" s="1"/>
  <c r="AR106" i="57" a="1"/>
  <c r="AR106" i="57" s="1"/>
  <c r="BJ97" i="57" s="1"/>
  <c r="BZ13" i="57" s="1"/>
  <c r="AP106" i="57" a="1"/>
  <c r="AP106" i="57" s="1"/>
  <c r="AN106" i="57" a="1"/>
  <c r="AN106" i="57" s="1"/>
  <c r="AL106" i="57" a="1"/>
  <c r="AL106" i="57" s="1"/>
  <c r="AJ106" i="57" a="1"/>
  <c r="AJ106" i="57" s="1"/>
  <c r="AH106" i="57" a="1"/>
  <c r="AH106" i="57" s="1"/>
  <c r="BE97" i="57" s="1"/>
  <c r="BU13" i="57" s="1"/>
  <c r="AF106" i="57" a="1"/>
  <c r="AF106" i="57" s="1"/>
  <c r="AD106" i="57" a="1"/>
  <c r="AD106" i="57" s="1"/>
  <c r="AA55" i="57"/>
  <c r="AS54" i="57" a="1"/>
  <c r="AS54" i="57" s="1"/>
  <c r="AO54" i="57" a="1"/>
  <c r="AO54" i="57" s="1"/>
  <c r="AK54" i="57" a="1"/>
  <c r="AK54" i="57" s="1"/>
  <c r="AG54" i="57" a="1"/>
  <c r="AG54" i="57" s="1"/>
  <c r="AC54" i="57" a="1"/>
  <c r="AC54" i="57" s="1"/>
  <c r="AV54" i="57" a="1"/>
  <c r="AV54" i="57" s="1"/>
  <c r="AR54" i="57" a="1"/>
  <c r="AR54" i="57" s="1"/>
  <c r="AN54" i="57" a="1"/>
  <c r="AN54" i="57" s="1"/>
  <c r="AJ54" i="57" a="1"/>
  <c r="AJ54" i="57" s="1"/>
  <c r="AF54" i="57" a="1"/>
  <c r="AF54" i="57" s="1"/>
  <c r="AU54" i="57" a="1"/>
  <c r="AU54" i="57" s="1"/>
  <c r="AQ54" i="57" a="1"/>
  <c r="AQ54" i="57" s="1"/>
  <c r="AM54" i="57" a="1"/>
  <c r="AM54" i="57" s="1"/>
  <c r="AI54" i="57" a="1"/>
  <c r="AI54" i="57" s="1"/>
  <c r="AE54" i="57" a="1"/>
  <c r="AE54" i="57" s="1"/>
  <c r="AT54" i="57" a="1"/>
  <c r="AT54" i="57" s="1"/>
  <c r="AP54" i="57" a="1"/>
  <c r="AP54" i="57" s="1"/>
  <c r="AL54" i="57" a="1"/>
  <c r="AL54" i="57" s="1"/>
  <c r="AH54" i="57" a="1"/>
  <c r="AH54" i="57" s="1"/>
  <c r="BE45" i="57" s="1"/>
  <c r="BU9" i="57" s="1"/>
  <c r="AD54" i="57" a="1"/>
  <c r="AD54" i="57" s="1"/>
  <c r="BH110" i="57" l="1"/>
  <c r="BX14" i="57" s="1"/>
  <c r="BC110" i="57"/>
  <c r="BS14" i="57" s="1"/>
  <c r="BK110" i="57"/>
  <c r="CA14" i="57" s="1"/>
  <c r="BF71" i="57"/>
  <c r="BV11" i="57" s="1"/>
  <c r="BJ45" i="57"/>
  <c r="BZ9" i="57" s="1"/>
  <c r="BE32" i="57"/>
  <c r="BU8" i="57" s="1"/>
  <c r="AU29" i="57" a="1"/>
  <c r="AU29" i="57" s="1"/>
  <c r="AE29" i="57" a="1"/>
  <c r="AE29" i="57" s="1"/>
  <c r="AL29" i="57" a="1"/>
  <c r="AL29" i="57" s="1"/>
  <c r="AQ29" i="57" a="1"/>
  <c r="AQ29" i="57" s="1"/>
  <c r="AS29" i="57" a="1"/>
  <c r="AS29" i="57" s="1"/>
  <c r="AR29" i="57" a="1"/>
  <c r="AR29" i="57" s="1"/>
  <c r="AA30" i="57"/>
  <c r="AG29" i="57" a="1"/>
  <c r="AG29" i="57" s="1"/>
  <c r="AN29" i="57" a="1"/>
  <c r="AN29" i="57" s="1"/>
  <c r="AP29" i="57" a="1"/>
  <c r="AP29" i="57" s="1"/>
  <c r="AC29" i="57" a="1"/>
  <c r="AC29" i="57" s="1"/>
  <c r="AM29" i="57" a="1"/>
  <c r="AM29" i="57" s="1"/>
  <c r="AT29" i="57" a="1"/>
  <c r="AT29" i="57" s="1"/>
  <c r="AD29" i="57" a="1"/>
  <c r="AD29" i="57" s="1"/>
  <c r="AI29" i="57" a="1"/>
  <c r="AI29" i="57" s="1"/>
  <c r="AK29" i="57" a="1"/>
  <c r="AK29" i="57" s="1"/>
  <c r="AJ29" i="57" a="1"/>
  <c r="AJ29" i="57" s="1"/>
  <c r="AO29" i="57" a="1"/>
  <c r="AO29" i="57" s="1"/>
  <c r="AV29" i="57" a="1"/>
  <c r="AV29" i="57" s="1"/>
  <c r="AF29" i="57" a="1"/>
  <c r="AF29" i="57" s="1"/>
  <c r="AH29" i="57" a="1"/>
  <c r="AH29" i="57" s="1"/>
  <c r="AV107" i="57" a="1"/>
  <c r="AV107" i="57" s="1"/>
  <c r="AT107" i="57" a="1"/>
  <c r="AT107" i="57" s="1"/>
  <c r="AR107" i="57" a="1"/>
  <c r="AR107" i="57" s="1"/>
  <c r="AP107" i="57" a="1"/>
  <c r="AP107" i="57" s="1"/>
  <c r="AN107" i="57" a="1"/>
  <c r="AN107" i="57" s="1"/>
  <c r="AL107" i="57" a="1"/>
  <c r="AL107" i="57" s="1"/>
  <c r="AJ107" i="57" a="1"/>
  <c r="AJ107" i="57" s="1"/>
  <c r="AH107" i="57" a="1"/>
  <c r="AH107" i="57" s="1"/>
  <c r="AF107" i="57" a="1"/>
  <c r="AF107" i="57" s="1"/>
  <c r="AD107" i="57" a="1"/>
  <c r="AD107" i="57" s="1"/>
  <c r="AA108" i="57"/>
  <c r="AU107" i="57" a="1"/>
  <c r="AU107" i="57" s="1"/>
  <c r="AS107" i="57" a="1"/>
  <c r="AS107" i="57" s="1"/>
  <c r="AQ107" i="57" a="1"/>
  <c r="AQ107" i="57" s="1"/>
  <c r="AO107" i="57" a="1"/>
  <c r="AO107" i="57" s="1"/>
  <c r="AM107" i="57" a="1"/>
  <c r="AM107" i="57" s="1"/>
  <c r="AK107" i="57" a="1"/>
  <c r="AK107" i="57" s="1"/>
  <c r="AI107" i="57" a="1"/>
  <c r="AI107" i="57" s="1"/>
  <c r="AG107" i="57" a="1"/>
  <c r="AG107" i="57" s="1"/>
  <c r="AE107" i="57" a="1"/>
  <c r="AE107" i="57" s="1"/>
  <c r="AC107" i="57" a="1"/>
  <c r="AC107" i="57" s="1"/>
  <c r="BI71" i="57"/>
  <c r="BY11" i="57" s="1"/>
  <c r="BF110" i="57"/>
  <c r="BV14" i="57" s="1"/>
  <c r="BI110" i="57"/>
  <c r="BY14" i="57" s="1"/>
  <c r="BJ32" i="57"/>
  <c r="BZ8" i="57" s="1"/>
  <c r="AV94" i="57" a="1"/>
  <c r="AV94" i="57" s="1"/>
  <c r="AT94" i="57" a="1"/>
  <c r="AT94" i="57" s="1"/>
  <c r="AR94" i="57" a="1"/>
  <c r="AR94" i="57" s="1"/>
  <c r="AP94" i="57" a="1"/>
  <c r="AP94" i="57" s="1"/>
  <c r="AN94" i="57" a="1"/>
  <c r="AN94" i="57" s="1"/>
  <c r="AL94" i="57" a="1"/>
  <c r="AL94" i="57" s="1"/>
  <c r="AJ94" i="57" a="1"/>
  <c r="AJ94" i="57" s="1"/>
  <c r="AH94" i="57" a="1"/>
  <c r="AH94" i="57" s="1"/>
  <c r="AF94" i="57" a="1"/>
  <c r="AF94" i="57" s="1"/>
  <c r="AD94" i="57" a="1"/>
  <c r="AD94" i="57" s="1"/>
  <c r="AA95" i="57"/>
  <c r="AU94" i="57" a="1"/>
  <c r="AU94" i="57" s="1"/>
  <c r="AS94" i="57" a="1"/>
  <c r="AS94" i="57" s="1"/>
  <c r="AQ94" i="57" a="1"/>
  <c r="AQ94" i="57" s="1"/>
  <c r="AO94" i="57" a="1"/>
  <c r="AO94" i="57" s="1"/>
  <c r="AM94" i="57" a="1"/>
  <c r="AM94" i="57" s="1"/>
  <c r="AK94" i="57" a="1"/>
  <c r="AK94" i="57" s="1"/>
  <c r="AI94" i="57" a="1"/>
  <c r="AI94" i="57" s="1"/>
  <c r="AG94" i="57" a="1"/>
  <c r="AG94" i="57" s="1"/>
  <c r="AE94" i="57" a="1"/>
  <c r="AE94" i="57" s="1"/>
  <c r="AC94" i="57" a="1"/>
  <c r="AC94" i="57" s="1"/>
  <c r="BE240" i="57"/>
  <c r="AV290" i="57" a="1"/>
  <c r="AV290" i="57" s="1"/>
  <c r="AT290" i="57" a="1"/>
  <c r="AT290" i="57" s="1"/>
  <c r="AR290" i="57" a="1"/>
  <c r="AR290" i="57" s="1"/>
  <c r="AP290" i="57" a="1"/>
  <c r="AP290" i="57" s="1"/>
  <c r="AO290" i="57" a="1"/>
  <c r="AO290" i="57" s="1"/>
  <c r="AM290" i="57" a="1"/>
  <c r="AM290" i="57" s="1"/>
  <c r="AK290" i="57" a="1"/>
  <c r="AK290" i="57" s="1"/>
  <c r="AU290" i="57" a="1"/>
  <c r="AU290" i="57" s="1"/>
  <c r="AQ290" i="57" a="1"/>
  <c r="AQ290" i="57" s="1"/>
  <c r="AN290" i="57" a="1"/>
  <c r="AN290" i="57" s="1"/>
  <c r="AI290" i="57" a="1"/>
  <c r="AI290" i="57" s="1"/>
  <c r="AG290" i="57" a="1"/>
  <c r="AG290" i="57" s="1"/>
  <c r="AE290" i="57" a="1"/>
  <c r="AE290" i="57" s="1"/>
  <c r="AC290" i="57" a="1"/>
  <c r="AC290" i="57" s="1"/>
  <c r="AS290" i="57" a="1"/>
  <c r="AS290" i="57" s="1"/>
  <c r="AJ290" i="57" a="1"/>
  <c r="AJ290" i="57" s="1"/>
  <c r="AH290" i="57" a="1"/>
  <c r="AH290" i="57" s="1"/>
  <c r="AF290" i="57" a="1"/>
  <c r="AF290" i="57" s="1"/>
  <c r="BD279" i="57" s="1"/>
  <c r="AD290" i="57" a="1"/>
  <c r="AD290" i="57" s="1"/>
  <c r="BC279" i="57" s="1"/>
  <c r="AL290" i="57" a="1"/>
  <c r="AL290" i="57" s="1"/>
  <c r="AV277" i="57" a="1"/>
  <c r="AV277" i="57" s="1"/>
  <c r="AT277" i="57" a="1"/>
  <c r="AT277" i="57" s="1"/>
  <c r="AR277" i="57" a="1"/>
  <c r="AR277" i="57" s="1"/>
  <c r="AP277" i="57" a="1"/>
  <c r="AP277" i="57" s="1"/>
  <c r="AN277" i="57" a="1"/>
  <c r="AN277" i="57" s="1"/>
  <c r="AL277" i="57" a="1"/>
  <c r="AL277" i="57" s="1"/>
  <c r="AJ277" i="57" a="1"/>
  <c r="AJ277" i="57" s="1"/>
  <c r="BF266" i="57" s="1"/>
  <c r="AH277" i="57" a="1"/>
  <c r="AH277" i="57" s="1"/>
  <c r="AF277" i="57" a="1"/>
  <c r="AF277" i="57" s="1"/>
  <c r="BD266" i="57" s="1"/>
  <c r="AD277" i="57" a="1"/>
  <c r="AD277" i="57" s="1"/>
  <c r="BC266" i="57" s="1"/>
  <c r="AO277" i="57" a="1"/>
  <c r="AO277" i="57" s="1"/>
  <c r="AG277" i="57" a="1"/>
  <c r="AG277" i="57" s="1"/>
  <c r="AK277" i="57" a="1"/>
  <c r="AK277" i="57" s="1"/>
  <c r="AU277" i="57" a="1"/>
  <c r="AU277" i="57" s="1"/>
  <c r="AQ277" i="57" a="1"/>
  <c r="AQ277" i="57" s="1"/>
  <c r="AC277" i="57" a="1"/>
  <c r="AC277" i="57" s="1"/>
  <c r="AM277" i="57" a="1"/>
  <c r="AM277" i="57" s="1"/>
  <c r="AI277" i="57" a="1"/>
  <c r="AI277" i="57" s="1"/>
  <c r="AS277" i="57" a="1"/>
  <c r="AS277" i="57" s="1"/>
  <c r="AE277" i="57" a="1"/>
  <c r="AE277" i="57" s="1"/>
  <c r="AV199" i="57" a="1"/>
  <c r="AV199" i="57" s="1"/>
  <c r="AT199" i="57" a="1"/>
  <c r="AT199" i="57" s="1"/>
  <c r="AR199" i="57" a="1"/>
  <c r="AR199" i="57" s="1"/>
  <c r="AP199" i="57" a="1"/>
  <c r="AP199" i="57" s="1"/>
  <c r="AN199" i="57" a="1"/>
  <c r="AN199" i="57" s="1"/>
  <c r="AL199" i="57" a="1"/>
  <c r="AL199" i="57" s="1"/>
  <c r="AJ199" i="57" a="1"/>
  <c r="AJ199" i="57" s="1"/>
  <c r="AH199" i="57" a="1"/>
  <c r="AH199" i="57" s="1"/>
  <c r="AF199" i="57" a="1"/>
  <c r="AF199" i="57" s="1"/>
  <c r="AD199" i="57" a="1"/>
  <c r="AD199" i="57" s="1"/>
  <c r="AS199" i="57" a="1"/>
  <c r="AS199" i="57" s="1"/>
  <c r="AK199" i="57" a="1"/>
  <c r="AK199" i="57" s="1"/>
  <c r="AC199" i="57" a="1"/>
  <c r="AC199" i="57" s="1"/>
  <c r="AU199" i="57" a="1"/>
  <c r="AU199" i="57" s="1"/>
  <c r="AM199" i="57" a="1"/>
  <c r="AM199" i="57" s="1"/>
  <c r="AE199" i="57" a="1"/>
  <c r="AE199" i="57" s="1"/>
  <c r="AO199" i="57" a="1"/>
  <c r="AO199" i="57" s="1"/>
  <c r="AQ199" i="57" a="1"/>
  <c r="AQ199" i="57" s="1"/>
  <c r="AI199" i="57" a="1"/>
  <c r="AI199" i="57" s="1"/>
  <c r="AG199" i="57" a="1"/>
  <c r="AG199" i="57" s="1"/>
  <c r="AU315" i="57" a="1"/>
  <c r="AU315" i="57" s="1"/>
  <c r="AQ315" i="57" a="1"/>
  <c r="AQ315" i="57" s="1"/>
  <c r="AM315" i="57" a="1"/>
  <c r="AM315" i="57" s="1"/>
  <c r="AI315" i="57" a="1"/>
  <c r="AI315" i="57" s="1"/>
  <c r="AE315" i="57" a="1"/>
  <c r="AE315" i="57" s="1"/>
  <c r="AT315" i="57" a="1"/>
  <c r="AT315" i="57" s="1"/>
  <c r="AP315" i="57" a="1"/>
  <c r="AP315" i="57" s="1"/>
  <c r="AL315" i="57" a="1"/>
  <c r="AL315" i="57" s="1"/>
  <c r="AH315" i="57" a="1"/>
  <c r="AH315" i="57" s="1"/>
  <c r="AD315" i="57" a="1"/>
  <c r="AD315" i="57" s="1"/>
  <c r="AA316" i="57"/>
  <c r="AS315" i="57" a="1"/>
  <c r="AS315" i="57" s="1"/>
  <c r="AO315" i="57" a="1"/>
  <c r="AO315" i="57" s="1"/>
  <c r="AK315" i="57" a="1"/>
  <c r="AK315" i="57" s="1"/>
  <c r="AG315" i="57" a="1"/>
  <c r="AG315" i="57" s="1"/>
  <c r="AC315" i="57" a="1"/>
  <c r="AC315" i="57" s="1"/>
  <c r="AV315" i="57" a="1"/>
  <c r="AV315" i="57" s="1"/>
  <c r="AR315" i="57" a="1"/>
  <c r="AR315" i="57" s="1"/>
  <c r="AN315" i="57" a="1"/>
  <c r="AN315" i="57" s="1"/>
  <c r="AJ315" i="57" a="1"/>
  <c r="AJ315" i="57" s="1"/>
  <c r="AF315" i="57" a="1"/>
  <c r="AF315" i="57" s="1"/>
  <c r="BE201" i="57"/>
  <c r="BE123" i="57"/>
  <c r="BU15" i="57" s="1"/>
  <c r="AV263" i="57" a="1"/>
  <c r="AV263" i="57" s="1"/>
  <c r="AT263" i="57" a="1"/>
  <c r="AT263" i="57" s="1"/>
  <c r="AR263" i="57" a="1"/>
  <c r="AR263" i="57" s="1"/>
  <c r="AP263" i="57" a="1"/>
  <c r="AP263" i="57" s="1"/>
  <c r="AN263" i="57" a="1"/>
  <c r="AN263" i="57" s="1"/>
  <c r="AL263" i="57" a="1"/>
  <c r="AL263" i="57" s="1"/>
  <c r="AJ263" i="57" a="1"/>
  <c r="AJ263" i="57" s="1"/>
  <c r="AH263" i="57" a="1"/>
  <c r="AH263" i="57" s="1"/>
  <c r="AF263" i="57" a="1"/>
  <c r="AF263" i="57" s="1"/>
  <c r="AD263" i="57" a="1"/>
  <c r="AD263" i="57" s="1"/>
  <c r="AU263" i="57" a="1"/>
  <c r="AU263" i="57" s="1"/>
  <c r="AM263" i="57" a="1"/>
  <c r="AM263" i="57" s="1"/>
  <c r="AE263" i="57" a="1"/>
  <c r="AE263" i="57" s="1"/>
  <c r="AS263" i="57" a="1"/>
  <c r="AS263" i="57" s="1"/>
  <c r="AO263" i="57" a="1"/>
  <c r="AO263" i="57" s="1"/>
  <c r="AK263" i="57" a="1"/>
  <c r="AK263" i="57" s="1"/>
  <c r="AG263" i="57" a="1"/>
  <c r="AG263" i="57" s="1"/>
  <c r="AQ263" i="57" a="1"/>
  <c r="AQ263" i="57" s="1"/>
  <c r="AC263" i="57" a="1"/>
  <c r="AC263" i="57" s="1"/>
  <c r="AA264" i="57"/>
  <c r="AI263" i="57" a="1"/>
  <c r="AI263" i="57" s="1"/>
  <c r="BE58" i="57"/>
  <c r="BU10" i="57" s="1"/>
  <c r="BC71" i="57"/>
  <c r="BS11" i="57" s="1"/>
  <c r="BG71" i="57"/>
  <c r="BW11" i="57" s="1"/>
  <c r="BK71" i="57"/>
  <c r="CA11" i="57" s="1"/>
  <c r="AT211" i="57" a="1"/>
  <c r="AT211" i="57" s="1"/>
  <c r="AQ211" i="57" a="1"/>
  <c r="AQ211" i="57" s="1"/>
  <c r="AL211" i="57" a="1"/>
  <c r="AL211" i="57" s="1"/>
  <c r="AI211" i="57" a="1"/>
  <c r="AI211" i="57" s="1"/>
  <c r="AD211" i="57" a="1"/>
  <c r="AD211" i="57" s="1"/>
  <c r="AV211" i="57" a="1"/>
  <c r="AV211" i="57" s="1"/>
  <c r="AS211" i="57" a="1"/>
  <c r="AS211" i="57" s="1"/>
  <c r="AN211" i="57" a="1"/>
  <c r="AN211" i="57" s="1"/>
  <c r="AK211" i="57" a="1"/>
  <c r="AK211" i="57" s="1"/>
  <c r="AF211" i="57" a="1"/>
  <c r="AF211" i="57" s="1"/>
  <c r="AC211" i="57" a="1"/>
  <c r="AC211" i="57" s="1"/>
  <c r="AU211" i="57" a="1"/>
  <c r="AU211" i="57" s="1"/>
  <c r="AP211" i="57" a="1"/>
  <c r="AP211" i="57" s="1"/>
  <c r="AM211" i="57" a="1"/>
  <c r="AM211" i="57" s="1"/>
  <c r="AH211" i="57" a="1"/>
  <c r="AH211" i="57" s="1"/>
  <c r="AE211" i="57" a="1"/>
  <c r="AE211" i="57" s="1"/>
  <c r="AA212" i="57"/>
  <c r="AR211" i="57" a="1"/>
  <c r="AR211" i="57" s="1"/>
  <c r="AO211" i="57" a="1"/>
  <c r="AO211" i="57" s="1"/>
  <c r="AJ211" i="57" a="1"/>
  <c r="AJ211" i="57" s="1"/>
  <c r="AG211" i="57" a="1"/>
  <c r="AG211" i="57" s="1"/>
  <c r="AU186" i="57" a="1"/>
  <c r="AU186" i="57" s="1"/>
  <c r="AS186" i="57" a="1"/>
  <c r="AS186" i="57" s="1"/>
  <c r="AQ186" i="57" a="1"/>
  <c r="AQ186" i="57" s="1"/>
  <c r="AO186" i="57" a="1"/>
  <c r="AO186" i="57" s="1"/>
  <c r="AM186" i="57" a="1"/>
  <c r="AM186" i="57" s="1"/>
  <c r="AK186" i="57" a="1"/>
  <c r="AK186" i="57" s="1"/>
  <c r="AI186" i="57" a="1"/>
  <c r="AI186" i="57" s="1"/>
  <c r="AG186" i="57" a="1"/>
  <c r="AG186" i="57" s="1"/>
  <c r="AE186" i="57" a="1"/>
  <c r="AE186" i="57" s="1"/>
  <c r="AC186" i="57" a="1"/>
  <c r="AC186" i="57" s="1"/>
  <c r="AP186" i="57" a="1"/>
  <c r="AP186" i="57" s="1"/>
  <c r="BI175" i="57" s="1"/>
  <c r="AH186" i="57" a="1"/>
  <c r="AH186" i="57" s="1"/>
  <c r="AR186" i="57" a="1"/>
  <c r="AR186" i="57" s="1"/>
  <c r="AJ186" i="57" a="1"/>
  <c r="AJ186" i="57" s="1"/>
  <c r="BF175" i="57" s="1"/>
  <c r="AT186" i="57" a="1"/>
  <c r="AT186" i="57" s="1"/>
  <c r="BK175" i="57" s="1"/>
  <c r="AL186" i="57" a="1"/>
  <c r="AL186" i="57" s="1"/>
  <c r="BG175" i="57" s="1"/>
  <c r="AD186" i="57" a="1"/>
  <c r="AD186" i="57" s="1"/>
  <c r="BC175" i="57" s="1"/>
  <c r="AV186" i="57" a="1"/>
  <c r="AV186" i="57" s="1"/>
  <c r="BL175" i="57" s="1"/>
  <c r="AN186" i="57" a="1"/>
  <c r="AN186" i="57" s="1"/>
  <c r="BH175" i="57" s="1"/>
  <c r="AF186" i="57" a="1"/>
  <c r="AF186" i="57" s="1"/>
  <c r="BD175" i="57" s="1"/>
  <c r="AU17" i="57" a="1"/>
  <c r="AU17" i="57" s="1"/>
  <c r="AS17" i="57" a="1"/>
  <c r="AS17" i="57" s="1"/>
  <c r="AQ17" i="57" a="1"/>
  <c r="AQ17" i="57" s="1"/>
  <c r="AO17" i="57" a="1"/>
  <c r="AO17" i="57" s="1"/>
  <c r="AM17" i="57" a="1"/>
  <c r="AM17" i="57" s="1"/>
  <c r="AK17" i="57" a="1"/>
  <c r="AK17" i="57" s="1"/>
  <c r="AI17" i="57" a="1"/>
  <c r="AI17" i="57" s="1"/>
  <c r="AG17" i="57" a="1"/>
  <c r="AG17" i="57" s="1"/>
  <c r="AE17" i="57" a="1"/>
  <c r="AE17" i="57" s="1"/>
  <c r="AC17" i="57" a="1"/>
  <c r="AC17" i="57" s="1"/>
  <c r="AV17" i="57" a="1"/>
  <c r="AV17" i="57" s="1"/>
  <c r="AN17" i="57" a="1"/>
  <c r="AN17" i="57" s="1"/>
  <c r="AF17" i="57" a="1"/>
  <c r="AF17" i="57" s="1"/>
  <c r="AR17" i="57" a="1"/>
  <c r="AR17" i="57" s="1"/>
  <c r="AJ17" i="57" a="1"/>
  <c r="AJ17" i="57" s="1"/>
  <c r="AT17" i="57" a="1"/>
  <c r="AT17" i="57" s="1"/>
  <c r="AL17" i="57" a="1"/>
  <c r="AL17" i="57" s="1"/>
  <c r="AD17" i="57" a="1"/>
  <c r="AD17" i="57" s="1"/>
  <c r="AP17" i="57" a="1"/>
  <c r="AP17" i="57" s="1"/>
  <c r="AH17" i="57" a="1"/>
  <c r="AH17" i="57" s="1"/>
  <c r="AA134" i="57"/>
  <c r="AU133" i="57" a="1"/>
  <c r="AU133" i="57" s="1"/>
  <c r="AS133" i="57" a="1"/>
  <c r="AS133" i="57" s="1"/>
  <c r="AQ133" i="57" a="1"/>
  <c r="AQ133" i="57" s="1"/>
  <c r="AO133" i="57" a="1"/>
  <c r="AO133" i="57" s="1"/>
  <c r="AM133" i="57" a="1"/>
  <c r="AM133" i="57" s="1"/>
  <c r="AK133" i="57" a="1"/>
  <c r="AK133" i="57" s="1"/>
  <c r="AI133" i="57" a="1"/>
  <c r="AI133" i="57" s="1"/>
  <c r="AG133" i="57" a="1"/>
  <c r="AG133" i="57" s="1"/>
  <c r="AE133" i="57" a="1"/>
  <c r="AE133" i="57" s="1"/>
  <c r="AC133" i="57" a="1"/>
  <c r="AC133" i="57" s="1"/>
  <c r="AV133" i="57" a="1"/>
  <c r="AV133" i="57" s="1"/>
  <c r="AT133" i="57" a="1"/>
  <c r="AT133" i="57" s="1"/>
  <c r="AR133" i="57" a="1"/>
  <c r="AR133" i="57" s="1"/>
  <c r="AP133" i="57" a="1"/>
  <c r="AP133" i="57" s="1"/>
  <c r="AN133" i="57" a="1"/>
  <c r="AN133" i="57" s="1"/>
  <c r="AL133" i="57" a="1"/>
  <c r="AL133" i="57" s="1"/>
  <c r="AJ133" i="57" a="1"/>
  <c r="AJ133" i="57" s="1"/>
  <c r="AH133" i="57" a="1"/>
  <c r="AH133" i="57" s="1"/>
  <c r="AF133" i="57" a="1"/>
  <c r="AF133" i="57" s="1"/>
  <c r="AD133" i="57" a="1"/>
  <c r="AD133" i="57" s="1"/>
  <c r="BJ123" i="57"/>
  <c r="BZ15" i="57" s="1"/>
  <c r="AA69" i="57"/>
  <c r="AU68" i="57" a="1"/>
  <c r="AU68" i="57" s="1"/>
  <c r="AS68" i="57" a="1"/>
  <c r="AS68" i="57" s="1"/>
  <c r="AQ68" i="57" a="1"/>
  <c r="AQ68" i="57" s="1"/>
  <c r="AO68" i="57" a="1"/>
  <c r="AO68" i="57" s="1"/>
  <c r="AM68" i="57" a="1"/>
  <c r="AM68" i="57" s="1"/>
  <c r="AK68" i="57" a="1"/>
  <c r="AK68" i="57" s="1"/>
  <c r="AI68" i="57" a="1"/>
  <c r="AI68" i="57" s="1"/>
  <c r="AG68" i="57" a="1"/>
  <c r="AG68" i="57" s="1"/>
  <c r="AE68" i="57" a="1"/>
  <c r="AE68" i="57" s="1"/>
  <c r="AC68" i="57" a="1"/>
  <c r="AC68" i="57" s="1"/>
  <c r="AV68" i="57" a="1"/>
  <c r="AV68" i="57" s="1"/>
  <c r="AT68" i="57" a="1"/>
  <c r="AT68" i="57" s="1"/>
  <c r="AR68" i="57" a="1"/>
  <c r="AR68" i="57" s="1"/>
  <c r="AP68" i="57" a="1"/>
  <c r="AP68" i="57" s="1"/>
  <c r="AN68" i="57" a="1"/>
  <c r="AN68" i="57" s="1"/>
  <c r="AL68" i="57" a="1"/>
  <c r="AL68" i="57" s="1"/>
  <c r="AJ68" i="57" a="1"/>
  <c r="AJ68" i="57" s="1"/>
  <c r="AH68" i="57" a="1"/>
  <c r="AH68" i="57" s="1"/>
  <c r="AF68" i="57" a="1"/>
  <c r="AF68" i="57" s="1"/>
  <c r="AD68" i="57" a="1"/>
  <c r="AD68" i="57" s="1"/>
  <c r="AV238" i="57" a="1"/>
  <c r="AV238" i="57" s="1"/>
  <c r="AT238" i="57" a="1"/>
  <c r="AT238" i="57" s="1"/>
  <c r="AR238" i="57" a="1"/>
  <c r="AR238" i="57" s="1"/>
  <c r="AP238" i="57" a="1"/>
  <c r="AP238" i="57" s="1"/>
  <c r="AN238" i="57" a="1"/>
  <c r="AN238" i="57" s="1"/>
  <c r="BH227" i="57" s="1"/>
  <c r="AL238" i="57" a="1"/>
  <c r="AL238" i="57" s="1"/>
  <c r="AJ238" i="57" a="1"/>
  <c r="AJ238" i="57" s="1"/>
  <c r="AH238" i="57" a="1"/>
  <c r="AH238" i="57" s="1"/>
  <c r="AF238" i="57" a="1"/>
  <c r="AF238" i="57" s="1"/>
  <c r="AD238" i="57" a="1"/>
  <c r="AD238" i="57" s="1"/>
  <c r="AQ238" i="57" a="1"/>
  <c r="AQ238" i="57" s="1"/>
  <c r="AI238" i="57" a="1"/>
  <c r="AI238" i="57" s="1"/>
  <c r="AO238" i="57" a="1"/>
  <c r="AO238" i="57" s="1"/>
  <c r="AG238" i="57" a="1"/>
  <c r="AG238" i="57" s="1"/>
  <c r="AU238" i="57" a="1"/>
  <c r="AU238" i="57" s="1"/>
  <c r="AM238" i="57" a="1"/>
  <c r="AM238" i="57" s="1"/>
  <c r="AE238" i="57" a="1"/>
  <c r="AE238" i="57" s="1"/>
  <c r="AS238" i="57" a="1"/>
  <c r="AS238" i="57" s="1"/>
  <c r="AK238" i="57" a="1"/>
  <c r="AK238" i="57" s="1"/>
  <c r="AC238" i="57" a="1"/>
  <c r="AC238" i="57" s="1"/>
  <c r="AA43" i="57"/>
  <c r="AU42" i="57" a="1"/>
  <c r="AU42" i="57" s="1"/>
  <c r="AS42" i="57" a="1"/>
  <c r="AS42" i="57" s="1"/>
  <c r="AQ42" i="57" a="1"/>
  <c r="AQ42" i="57" s="1"/>
  <c r="AO42" i="57" a="1"/>
  <c r="AO42" i="57" s="1"/>
  <c r="AM42" i="57" a="1"/>
  <c r="AM42" i="57" s="1"/>
  <c r="AK42" i="57" a="1"/>
  <c r="AK42" i="57" s="1"/>
  <c r="AI42" i="57" a="1"/>
  <c r="AI42" i="57" s="1"/>
  <c r="AG42" i="57" a="1"/>
  <c r="AG42" i="57" s="1"/>
  <c r="AE42" i="57" a="1"/>
  <c r="AE42" i="57" s="1"/>
  <c r="AC42" i="57" a="1"/>
  <c r="AC42" i="57" s="1"/>
  <c r="AV42" i="57" a="1"/>
  <c r="AV42" i="57" s="1"/>
  <c r="AN42" i="57" a="1"/>
  <c r="AN42" i="57" s="1"/>
  <c r="AF42" i="57" a="1"/>
  <c r="AF42" i="57" s="1"/>
  <c r="AP42" i="57" a="1"/>
  <c r="AP42" i="57" s="1"/>
  <c r="AH42" i="57" a="1"/>
  <c r="AH42" i="57" s="1"/>
  <c r="AR42" i="57" a="1"/>
  <c r="AR42" i="57" s="1"/>
  <c r="AJ42" i="57" a="1"/>
  <c r="AJ42" i="57" s="1"/>
  <c r="AT42" i="57" a="1"/>
  <c r="AT42" i="57" s="1"/>
  <c r="AL42" i="57" a="1"/>
  <c r="AL42" i="57" s="1"/>
  <c r="AD42" i="57" a="1"/>
  <c r="AD42" i="57" s="1"/>
  <c r="AU250" i="57" a="1"/>
  <c r="AU250" i="57" s="1"/>
  <c r="AP250" i="57" a="1"/>
  <c r="AP250" i="57" s="1"/>
  <c r="AM250" i="57" a="1"/>
  <c r="AM250" i="57" s="1"/>
  <c r="AH250" i="57" a="1"/>
  <c r="AH250" i="57" s="1"/>
  <c r="AE250" i="57" a="1"/>
  <c r="AE250" i="57" s="1"/>
  <c r="AS250" i="57" a="1"/>
  <c r="AS250" i="57" s="1"/>
  <c r="AO250" i="57" a="1"/>
  <c r="AO250" i="57" s="1"/>
  <c r="AL250" i="57" a="1"/>
  <c r="AL250" i="57" s="1"/>
  <c r="AV250" i="57" a="1"/>
  <c r="AV250" i="57" s="1"/>
  <c r="AR250" i="57" a="1"/>
  <c r="AR250" i="57" s="1"/>
  <c r="AK250" i="57" a="1"/>
  <c r="AK250" i="57" s="1"/>
  <c r="AG250" i="57" a="1"/>
  <c r="AG250" i="57" s="1"/>
  <c r="AD250" i="57" a="1"/>
  <c r="AD250" i="57" s="1"/>
  <c r="AQ250" i="57" a="1"/>
  <c r="AQ250" i="57" s="1"/>
  <c r="AN250" i="57" a="1"/>
  <c r="AN250" i="57" s="1"/>
  <c r="AJ250" i="57" a="1"/>
  <c r="AJ250" i="57" s="1"/>
  <c r="AC250" i="57" a="1"/>
  <c r="AC250" i="57" s="1"/>
  <c r="AA251" i="57"/>
  <c r="AI250" i="57" a="1"/>
  <c r="AI250" i="57" s="1"/>
  <c r="AT250" i="57" a="1"/>
  <c r="AT250" i="57" s="1"/>
  <c r="AF250" i="57" a="1"/>
  <c r="AF250" i="57" s="1"/>
  <c r="BJ240" i="57"/>
  <c r="AV55" i="57" a="1"/>
  <c r="AV55" i="57" s="1"/>
  <c r="AR55" i="57" a="1"/>
  <c r="AR55" i="57" s="1"/>
  <c r="AN55" i="57" a="1"/>
  <c r="AN55" i="57" s="1"/>
  <c r="AJ55" i="57" a="1"/>
  <c r="AJ55" i="57" s="1"/>
  <c r="AF55" i="57" a="1"/>
  <c r="AF55" i="57" s="1"/>
  <c r="AU55" i="57" a="1"/>
  <c r="AU55" i="57" s="1"/>
  <c r="AQ55" i="57" a="1"/>
  <c r="AQ55" i="57" s="1"/>
  <c r="AM55" i="57" a="1"/>
  <c r="AM55" i="57" s="1"/>
  <c r="AI55" i="57" a="1"/>
  <c r="AI55" i="57" s="1"/>
  <c r="AE55" i="57" a="1"/>
  <c r="AE55" i="57" s="1"/>
  <c r="AT55" i="57" a="1"/>
  <c r="AT55" i="57" s="1"/>
  <c r="AP55" i="57" a="1"/>
  <c r="AP55" i="57" s="1"/>
  <c r="AL55" i="57" a="1"/>
  <c r="AL55" i="57" s="1"/>
  <c r="AH55" i="57" a="1"/>
  <c r="AH55" i="57" s="1"/>
  <c r="AD55" i="57" a="1"/>
  <c r="AD55" i="57" s="1"/>
  <c r="AA56" i="57"/>
  <c r="AS55" i="57" a="1"/>
  <c r="AS55" i="57" s="1"/>
  <c r="AO55" i="57" a="1"/>
  <c r="AO55" i="57" s="1"/>
  <c r="AK55" i="57" a="1"/>
  <c r="AK55" i="57" s="1"/>
  <c r="AG55" i="57" a="1"/>
  <c r="AG55" i="57" s="1"/>
  <c r="AC55" i="57" a="1"/>
  <c r="AC55" i="57" s="1"/>
  <c r="AV147" i="57" a="1"/>
  <c r="AV147" i="57" s="1"/>
  <c r="AT147" i="57" a="1"/>
  <c r="AT147" i="57" s="1"/>
  <c r="AR147" i="57" a="1"/>
  <c r="AR147" i="57" s="1"/>
  <c r="AP147" i="57" a="1"/>
  <c r="AP147" i="57" s="1"/>
  <c r="AN147" i="57" a="1"/>
  <c r="AN147" i="57" s="1"/>
  <c r="AO147" i="57" a="1"/>
  <c r="AO147" i="57" s="1"/>
  <c r="AQ147" i="57" a="1"/>
  <c r="AQ147" i="57" s="1"/>
  <c r="AL147" i="57" a="1"/>
  <c r="AL147" i="57" s="1"/>
  <c r="AJ147" i="57" a="1"/>
  <c r="AJ147" i="57" s="1"/>
  <c r="AH147" i="57" a="1"/>
  <c r="AH147" i="57" s="1"/>
  <c r="AF147" i="57" a="1"/>
  <c r="AF147" i="57" s="1"/>
  <c r="AD147" i="57" a="1"/>
  <c r="AD147" i="57" s="1"/>
  <c r="AS147" i="57" a="1"/>
  <c r="AS147" i="57" s="1"/>
  <c r="AU147" i="57" a="1"/>
  <c r="AU147" i="57" s="1"/>
  <c r="AM147" i="57" a="1"/>
  <c r="AM147" i="57" s="1"/>
  <c r="AK147" i="57" a="1"/>
  <c r="AK147" i="57" s="1"/>
  <c r="AI147" i="57" a="1"/>
  <c r="AI147" i="57" s="1"/>
  <c r="AG147" i="57" a="1"/>
  <c r="AG147" i="57" s="1"/>
  <c r="AE147" i="57" a="1"/>
  <c r="AE147" i="57" s="1"/>
  <c r="AC147" i="57" a="1"/>
  <c r="AC147" i="57" s="1"/>
  <c r="BD71" i="57"/>
  <c r="BT11" i="57" s="1"/>
  <c r="BH71" i="57"/>
  <c r="BX11" i="57" s="1"/>
  <c r="BL71" i="57"/>
  <c r="CB11" i="57" s="1"/>
  <c r="AU160" i="57" a="1"/>
  <c r="AU160" i="57" s="1"/>
  <c r="AQ160" i="57" a="1"/>
  <c r="AQ160" i="57" s="1"/>
  <c r="AM160" i="57" a="1"/>
  <c r="AM160" i="57" s="1"/>
  <c r="AI160" i="57" a="1"/>
  <c r="AI160" i="57" s="1"/>
  <c r="AE160" i="57" a="1"/>
  <c r="AE160" i="57" s="1"/>
  <c r="AT160" i="57" a="1"/>
  <c r="AT160" i="57" s="1"/>
  <c r="AP160" i="57" a="1"/>
  <c r="AP160" i="57" s="1"/>
  <c r="AL160" i="57" a="1"/>
  <c r="AL160" i="57" s="1"/>
  <c r="AH160" i="57" a="1"/>
  <c r="AH160" i="57" s="1"/>
  <c r="AD160" i="57" a="1"/>
  <c r="AD160" i="57" s="1"/>
  <c r="AS160" i="57" a="1"/>
  <c r="AS160" i="57" s="1"/>
  <c r="AO160" i="57" a="1"/>
  <c r="AO160" i="57" s="1"/>
  <c r="AK160" i="57" a="1"/>
  <c r="AK160" i="57" s="1"/>
  <c r="AG160" i="57" a="1"/>
  <c r="AG160" i="57" s="1"/>
  <c r="AC160" i="57" a="1"/>
  <c r="AC160" i="57" s="1"/>
  <c r="AV160" i="57" a="1"/>
  <c r="AV160" i="57" s="1"/>
  <c r="BL149" i="57" s="1"/>
  <c r="CB17" i="57" s="1"/>
  <c r="AR160" i="57" a="1"/>
  <c r="AR160" i="57" s="1"/>
  <c r="AN160" i="57" a="1"/>
  <c r="AN160" i="57" s="1"/>
  <c r="BH149" i="57" s="1"/>
  <c r="BX17" i="57" s="1"/>
  <c r="AJ160" i="57" a="1"/>
  <c r="AJ160" i="57" s="1"/>
  <c r="BF149" i="57" s="1"/>
  <c r="BV17" i="57" s="1"/>
  <c r="AF160" i="57" a="1"/>
  <c r="AF160" i="57" s="1"/>
  <c r="BD149" i="57" s="1"/>
  <c r="BT17" i="57" s="1"/>
  <c r="BD110" i="57"/>
  <c r="BT14" i="57" s="1"/>
  <c r="BL110" i="57"/>
  <c r="CB14" i="57" s="1"/>
  <c r="BG110" i="57"/>
  <c r="BW14" i="57" s="1"/>
  <c r="AU303" i="57" a="1"/>
  <c r="AU303" i="57" s="1"/>
  <c r="AS303" i="57" a="1"/>
  <c r="AS303" i="57" s="1"/>
  <c r="AQ303" i="57" a="1"/>
  <c r="AQ303" i="57" s="1"/>
  <c r="AO303" i="57" a="1"/>
  <c r="AO303" i="57" s="1"/>
  <c r="AV303" i="57" a="1"/>
  <c r="AV303" i="57" s="1"/>
  <c r="AR303" i="57" a="1"/>
  <c r="AR303" i="57" s="1"/>
  <c r="AN303" i="57" a="1"/>
  <c r="AN303" i="57" s="1"/>
  <c r="AI303" i="57" a="1"/>
  <c r="AI303" i="57" s="1"/>
  <c r="AF303" i="57" a="1"/>
  <c r="AF303" i="57" s="1"/>
  <c r="AK303" i="57" a="1"/>
  <c r="AK303" i="57" s="1"/>
  <c r="AH303" i="57" a="1"/>
  <c r="AH303" i="57" s="1"/>
  <c r="AC303" i="57" a="1"/>
  <c r="AC303" i="57" s="1"/>
  <c r="AL303" i="57" a="1"/>
  <c r="AL303" i="57" s="1"/>
  <c r="BG292" i="57" s="1"/>
  <c r="AG303" i="57" a="1"/>
  <c r="AG303" i="57" s="1"/>
  <c r="AD303" i="57" a="1"/>
  <c r="AD303" i="57" s="1"/>
  <c r="BC292" i="57" s="1"/>
  <c r="AT303" i="57" a="1"/>
  <c r="AT303" i="57" s="1"/>
  <c r="AP303" i="57" a="1"/>
  <c r="AP303" i="57" s="1"/>
  <c r="AE303" i="57" a="1"/>
  <c r="AE303" i="57" s="1"/>
  <c r="AM303" i="57" a="1"/>
  <c r="AM303" i="57" s="1"/>
  <c r="AJ303" i="57" a="1"/>
  <c r="AJ303" i="57" s="1"/>
  <c r="BF292" i="57" s="1"/>
  <c r="AV172" i="57" a="1"/>
  <c r="AV172" i="57" s="1"/>
  <c r="AT172" i="57" a="1"/>
  <c r="AT172" i="57" s="1"/>
  <c r="AR172" i="57" a="1"/>
  <c r="AR172" i="57" s="1"/>
  <c r="AP172" i="57" a="1"/>
  <c r="AP172" i="57" s="1"/>
  <c r="AN172" i="57" a="1"/>
  <c r="AN172" i="57" s="1"/>
  <c r="AL172" i="57" a="1"/>
  <c r="AL172" i="57" s="1"/>
  <c r="AJ172" i="57" a="1"/>
  <c r="AJ172" i="57" s="1"/>
  <c r="AH172" i="57" a="1"/>
  <c r="AH172" i="57" s="1"/>
  <c r="AF172" i="57" a="1"/>
  <c r="AF172" i="57" s="1"/>
  <c r="AD172" i="57" a="1"/>
  <c r="AD172" i="57" s="1"/>
  <c r="AA173" i="57"/>
  <c r="AU172" i="57" a="1"/>
  <c r="AU172" i="57" s="1"/>
  <c r="AS172" i="57" a="1"/>
  <c r="AS172" i="57" s="1"/>
  <c r="AQ172" i="57" a="1"/>
  <c r="AQ172" i="57" s="1"/>
  <c r="AO172" i="57" a="1"/>
  <c r="AO172" i="57" s="1"/>
  <c r="AM172" i="57" a="1"/>
  <c r="AM172" i="57" s="1"/>
  <c r="AK172" i="57" a="1"/>
  <c r="AK172" i="57" s="1"/>
  <c r="AI172" i="57" a="1"/>
  <c r="AI172" i="57" s="1"/>
  <c r="AG172" i="57" a="1"/>
  <c r="AG172" i="57" s="1"/>
  <c r="AE172" i="57" a="1"/>
  <c r="AE172" i="57" s="1"/>
  <c r="AC172" i="57" a="1"/>
  <c r="AC172" i="57" s="1"/>
  <c r="BG188" i="57" l="1"/>
  <c r="BD188" i="57"/>
  <c r="BL188" i="57"/>
  <c r="BI149" i="57"/>
  <c r="BY17" i="57" s="1"/>
  <c r="BH136" i="57"/>
  <c r="BX16" i="57" s="1"/>
  <c r="AH30" i="57" a="1"/>
  <c r="AH30" i="57" s="1"/>
  <c r="AJ30" i="57" a="1"/>
  <c r="AJ30" i="57" s="1"/>
  <c r="AL30" i="57" a="1"/>
  <c r="AL30" i="57" s="1"/>
  <c r="AS30" i="57" a="1"/>
  <c r="AS30" i="57" s="1"/>
  <c r="AC30" i="57" a="1"/>
  <c r="AC30" i="57" s="1"/>
  <c r="AE30" i="57" a="1"/>
  <c r="AE30" i="57" s="1"/>
  <c r="AI30" i="57" a="1"/>
  <c r="AI30" i="57" s="1"/>
  <c r="AR30" i="57" a="1"/>
  <c r="AR30" i="57" s="1"/>
  <c r="AD30" i="57" a="1"/>
  <c r="AD30" i="57" s="1"/>
  <c r="AU30" i="57" a="1"/>
  <c r="AU30" i="57" s="1"/>
  <c r="AG30" i="57" a="1"/>
  <c r="AG30" i="57" s="1"/>
  <c r="AN30" i="57" a="1"/>
  <c r="AN30" i="57" s="1"/>
  <c r="AP30" i="57" a="1"/>
  <c r="AP30" i="57" s="1"/>
  <c r="AT30" i="57" a="1"/>
  <c r="AT30" i="57" s="1"/>
  <c r="AM30" i="57" a="1"/>
  <c r="AM30" i="57" s="1"/>
  <c r="AO30" i="57" a="1"/>
  <c r="AO30" i="57" s="1"/>
  <c r="AQ30" i="57" a="1"/>
  <c r="AQ30" i="57" s="1"/>
  <c r="AV30" i="57" a="1"/>
  <c r="AV30" i="57" s="1"/>
  <c r="AF30" i="57" a="1"/>
  <c r="AF30" i="57" s="1"/>
  <c r="AK30" i="57" a="1"/>
  <c r="AK30" i="57" s="1"/>
  <c r="BC149" i="57"/>
  <c r="BS17" i="57" s="1"/>
  <c r="BK149" i="57"/>
  <c r="CA17" i="57" s="1"/>
  <c r="BF136" i="57"/>
  <c r="BV16" i="57" s="1"/>
  <c r="BL136" i="57"/>
  <c r="CB16" i="57" s="1"/>
  <c r="AV43" i="57" a="1"/>
  <c r="AV43" i="57" s="1"/>
  <c r="AT43" i="57" a="1"/>
  <c r="AT43" i="57" s="1"/>
  <c r="AR43" i="57" a="1"/>
  <c r="AR43" i="57" s="1"/>
  <c r="AP43" i="57" a="1"/>
  <c r="AP43" i="57" s="1"/>
  <c r="AN43" i="57" a="1"/>
  <c r="AN43" i="57" s="1"/>
  <c r="AL43" i="57" a="1"/>
  <c r="AL43" i="57" s="1"/>
  <c r="AJ43" i="57" a="1"/>
  <c r="AJ43" i="57" s="1"/>
  <c r="AH43" i="57" a="1"/>
  <c r="AH43" i="57" s="1"/>
  <c r="AF43" i="57" a="1"/>
  <c r="AF43" i="57" s="1"/>
  <c r="AD43" i="57" a="1"/>
  <c r="AD43" i="57" s="1"/>
  <c r="AQ43" i="57" a="1"/>
  <c r="AQ43" i="57" s="1"/>
  <c r="AI43" i="57" a="1"/>
  <c r="AI43" i="57" s="1"/>
  <c r="AS43" i="57" a="1"/>
  <c r="AS43" i="57" s="1"/>
  <c r="AK43" i="57" a="1"/>
  <c r="AK43" i="57" s="1"/>
  <c r="AC43" i="57" a="1"/>
  <c r="AC43" i="57" s="1"/>
  <c r="AU43" i="57" a="1"/>
  <c r="AU43" i="57" s="1"/>
  <c r="AM43" i="57" a="1"/>
  <c r="AM43" i="57" s="1"/>
  <c r="AE43" i="57" a="1"/>
  <c r="AE43" i="57" s="1"/>
  <c r="AO43" i="57" a="1"/>
  <c r="AO43" i="57" s="1"/>
  <c r="AG43" i="57" a="1"/>
  <c r="AG43" i="57" s="1"/>
  <c r="BD227" i="57"/>
  <c r="BL227" i="57"/>
  <c r="AT212" i="57" a="1"/>
  <c r="AT212" i="57" s="1"/>
  <c r="AO212" i="57" a="1"/>
  <c r="AO212" i="57" s="1"/>
  <c r="AL212" i="57" a="1"/>
  <c r="AL212" i="57" s="1"/>
  <c r="AG212" i="57" a="1"/>
  <c r="AG212" i="57" s="1"/>
  <c r="AD212" i="57" a="1"/>
  <c r="AD212" i="57" s="1"/>
  <c r="AV212" i="57" a="1"/>
  <c r="AV212" i="57" s="1"/>
  <c r="AQ212" i="57" a="1"/>
  <c r="AQ212" i="57" s="1"/>
  <c r="AN212" i="57" a="1"/>
  <c r="AN212" i="57" s="1"/>
  <c r="AI212" i="57" a="1"/>
  <c r="AI212" i="57" s="1"/>
  <c r="AF212" i="57" a="1"/>
  <c r="AF212" i="57" s="1"/>
  <c r="AS212" i="57" a="1"/>
  <c r="AS212" i="57" s="1"/>
  <c r="AP212" i="57" a="1"/>
  <c r="AP212" i="57" s="1"/>
  <c r="BI201" i="57" s="1"/>
  <c r="AK212" i="57" a="1"/>
  <c r="AK212" i="57" s="1"/>
  <c r="AH212" i="57" a="1"/>
  <c r="AH212" i="57" s="1"/>
  <c r="AC212" i="57" a="1"/>
  <c r="AC212" i="57" s="1"/>
  <c r="AU212" i="57" a="1"/>
  <c r="AU212" i="57" s="1"/>
  <c r="AR212" i="57" a="1"/>
  <c r="AR212" i="57" s="1"/>
  <c r="AM212" i="57" a="1"/>
  <c r="AM212" i="57" s="1"/>
  <c r="AJ212" i="57" a="1"/>
  <c r="AJ212" i="57" s="1"/>
  <c r="BF201" i="57" s="1"/>
  <c r="AE212" i="57" a="1"/>
  <c r="AE212" i="57" s="1"/>
  <c r="BH188" i="57"/>
  <c r="BH266" i="57"/>
  <c r="BL266" i="57"/>
  <c r="AU95" i="57" a="1"/>
  <c r="AU95" i="57" s="1"/>
  <c r="AS95" i="57" a="1"/>
  <c r="AS95" i="57" s="1"/>
  <c r="AQ95" i="57" a="1"/>
  <c r="AQ95" i="57" s="1"/>
  <c r="AO95" i="57" a="1"/>
  <c r="AO95" i="57" s="1"/>
  <c r="AM95" i="57" a="1"/>
  <c r="AM95" i="57" s="1"/>
  <c r="AK95" i="57" a="1"/>
  <c r="AK95" i="57" s="1"/>
  <c r="AI95" i="57" a="1"/>
  <c r="AI95" i="57" s="1"/>
  <c r="AG95" i="57" a="1"/>
  <c r="AG95" i="57" s="1"/>
  <c r="AE95" i="57" a="1"/>
  <c r="AE95" i="57" s="1"/>
  <c r="AC95" i="57" a="1"/>
  <c r="AC95" i="57" s="1"/>
  <c r="AV95" i="57" a="1"/>
  <c r="AV95" i="57" s="1"/>
  <c r="BL84" i="57" s="1"/>
  <c r="CB12" i="57" s="1"/>
  <c r="AT95" i="57" a="1"/>
  <c r="AT95" i="57" s="1"/>
  <c r="BK84" i="57" s="1"/>
  <c r="CA12" i="57" s="1"/>
  <c r="AR95" i="57" a="1"/>
  <c r="AR95" i="57" s="1"/>
  <c r="AP95" i="57" a="1"/>
  <c r="AP95" i="57" s="1"/>
  <c r="BI84" i="57" s="1"/>
  <c r="BY12" i="57" s="1"/>
  <c r="AN95" i="57" a="1"/>
  <c r="AN95" i="57" s="1"/>
  <c r="BH84" i="57" s="1"/>
  <c r="BX12" i="57" s="1"/>
  <c r="AL95" i="57" a="1"/>
  <c r="AL95" i="57" s="1"/>
  <c r="BG84" i="57" s="1"/>
  <c r="BW12" i="57" s="1"/>
  <c r="AJ95" i="57" a="1"/>
  <c r="AJ95" i="57" s="1"/>
  <c r="BF84" i="57" s="1"/>
  <c r="BV12" i="57" s="1"/>
  <c r="AH95" i="57" a="1"/>
  <c r="AH95" i="57" s="1"/>
  <c r="AF95" i="57" a="1"/>
  <c r="AF95" i="57" s="1"/>
  <c r="BD84" i="57" s="1"/>
  <c r="BT12" i="57" s="1"/>
  <c r="AD95" i="57" a="1"/>
  <c r="AD95" i="57" s="1"/>
  <c r="BC84" i="57" s="1"/>
  <c r="BS12" i="57" s="1"/>
  <c r="AU173" i="57" a="1"/>
  <c r="AU173" i="57" s="1"/>
  <c r="AS173" i="57" a="1"/>
  <c r="AS173" i="57" s="1"/>
  <c r="AQ173" i="57" a="1"/>
  <c r="AQ173" i="57" s="1"/>
  <c r="AO173" i="57" a="1"/>
  <c r="AO173" i="57" s="1"/>
  <c r="AM173" i="57" a="1"/>
  <c r="AM173" i="57" s="1"/>
  <c r="AK173" i="57" a="1"/>
  <c r="AK173" i="57" s="1"/>
  <c r="AI173" i="57" a="1"/>
  <c r="AI173" i="57" s="1"/>
  <c r="AG173" i="57" a="1"/>
  <c r="AG173" i="57" s="1"/>
  <c r="AE173" i="57" a="1"/>
  <c r="AE173" i="57" s="1"/>
  <c r="AC173" i="57" a="1"/>
  <c r="AC173" i="57" s="1"/>
  <c r="AV173" i="57" a="1"/>
  <c r="AV173" i="57" s="1"/>
  <c r="BL162" i="57" s="1"/>
  <c r="AT173" i="57" a="1"/>
  <c r="AT173" i="57" s="1"/>
  <c r="BK162" i="57" s="1"/>
  <c r="AR173" i="57" a="1"/>
  <c r="AR173" i="57" s="1"/>
  <c r="AP173" i="57" a="1"/>
  <c r="AP173" i="57" s="1"/>
  <c r="BI162" i="57" s="1"/>
  <c r="AN173" i="57" a="1"/>
  <c r="AN173" i="57" s="1"/>
  <c r="BH162" i="57" s="1"/>
  <c r="AL173" i="57" a="1"/>
  <c r="AL173" i="57" s="1"/>
  <c r="BG162" i="57" s="1"/>
  <c r="AJ173" i="57" a="1"/>
  <c r="AJ173" i="57" s="1"/>
  <c r="BF162" i="57" s="1"/>
  <c r="AH173" i="57" a="1"/>
  <c r="AH173" i="57" s="1"/>
  <c r="AF173" i="57" a="1"/>
  <c r="AF173" i="57" s="1"/>
  <c r="BD162" i="57" s="1"/>
  <c r="AD173" i="57" a="1"/>
  <c r="AD173" i="57" s="1"/>
  <c r="BC162" i="57" s="1"/>
  <c r="BC136" i="57"/>
  <c r="BS16" i="57" s="1"/>
  <c r="BG136" i="57"/>
  <c r="BW16" i="57" s="1"/>
  <c r="BI136" i="57"/>
  <c r="BY16" i="57" s="1"/>
  <c r="BI227" i="57"/>
  <c r="AV69" i="57" a="1"/>
  <c r="AV69" i="57" s="1"/>
  <c r="AT69" i="57" a="1"/>
  <c r="AT69" i="57" s="1"/>
  <c r="AR69" i="57" a="1"/>
  <c r="AR69" i="57" s="1"/>
  <c r="AP69" i="57" a="1"/>
  <c r="AP69" i="57" s="1"/>
  <c r="AN69" i="57" a="1"/>
  <c r="AN69" i="57" s="1"/>
  <c r="AL69" i="57" a="1"/>
  <c r="AL69" i="57" s="1"/>
  <c r="AJ69" i="57" a="1"/>
  <c r="AJ69" i="57" s="1"/>
  <c r="AH69" i="57" a="1"/>
  <c r="AH69" i="57" s="1"/>
  <c r="AF69" i="57" a="1"/>
  <c r="AF69" i="57" s="1"/>
  <c r="AD69" i="57" a="1"/>
  <c r="AD69" i="57" s="1"/>
  <c r="AU69" i="57" a="1"/>
  <c r="AU69" i="57" s="1"/>
  <c r="AS69" i="57" a="1"/>
  <c r="AS69" i="57" s="1"/>
  <c r="AQ69" i="57" a="1"/>
  <c r="AQ69" i="57" s="1"/>
  <c r="AO69" i="57" a="1"/>
  <c r="AO69" i="57" s="1"/>
  <c r="AM69" i="57" a="1"/>
  <c r="AM69" i="57" s="1"/>
  <c r="AK69" i="57" a="1"/>
  <c r="AK69" i="57" s="1"/>
  <c r="AI69" i="57" a="1"/>
  <c r="AI69" i="57" s="1"/>
  <c r="AG69" i="57" a="1"/>
  <c r="AG69" i="57" s="1"/>
  <c r="AE69" i="57" a="1"/>
  <c r="AE69" i="57" s="1"/>
  <c r="AC69" i="57" a="1"/>
  <c r="AC69" i="57" s="1"/>
  <c r="BI188" i="57"/>
  <c r="BG279" i="57"/>
  <c r="BF279" i="57"/>
  <c r="AU108" i="57" a="1"/>
  <c r="AU108" i="57" s="1"/>
  <c r="AS108" i="57" a="1"/>
  <c r="AS108" i="57" s="1"/>
  <c r="AQ108" i="57" a="1"/>
  <c r="AQ108" i="57" s="1"/>
  <c r="AO108" i="57" a="1"/>
  <c r="AO108" i="57" s="1"/>
  <c r="AM108" i="57" a="1"/>
  <c r="AM108" i="57" s="1"/>
  <c r="AK108" i="57" a="1"/>
  <c r="AK108" i="57" s="1"/>
  <c r="AI108" i="57" a="1"/>
  <c r="AI108" i="57" s="1"/>
  <c r="AG108" i="57" a="1"/>
  <c r="AG108" i="57" s="1"/>
  <c r="AE108" i="57" a="1"/>
  <c r="AE108" i="57" s="1"/>
  <c r="AC108" i="57" a="1"/>
  <c r="AC108" i="57" s="1"/>
  <c r="AV108" i="57" a="1"/>
  <c r="AV108" i="57" s="1"/>
  <c r="BL97" i="57" s="1"/>
  <c r="CB13" i="57" s="1"/>
  <c r="AT108" i="57" a="1"/>
  <c r="AT108" i="57" s="1"/>
  <c r="BK97" i="57" s="1"/>
  <c r="CA13" i="57" s="1"/>
  <c r="AR108" i="57" a="1"/>
  <c r="AR108" i="57" s="1"/>
  <c r="AP108" i="57" a="1"/>
  <c r="AP108" i="57" s="1"/>
  <c r="BI97" i="57" s="1"/>
  <c r="BY13" i="57" s="1"/>
  <c r="AN108" i="57" a="1"/>
  <c r="AN108" i="57" s="1"/>
  <c r="BH97" i="57" s="1"/>
  <c r="BX13" i="57" s="1"/>
  <c r="AL108" i="57" a="1"/>
  <c r="AL108" i="57" s="1"/>
  <c r="BG97" i="57" s="1"/>
  <c r="BW13" i="57" s="1"/>
  <c r="AJ108" i="57" a="1"/>
  <c r="AJ108" i="57" s="1"/>
  <c r="BF97" i="57" s="1"/>
  <c r="BV13" i="57" s="1"/>
  <c r="AH108" i="57" a="1"/>
  <c r="AH108" i="57" s="1"/>
  <c r="AF108" i="57" a="1"/>
  <c r="AF108" i="57" s="1"/>
  <c r="BD97" i="57" s="1"/>
  <c r="BT13" i="57" s="1"/>
  <c r="AD108" i="57" a="1"/>
  <c r="AD108" i="57" s="1"/>
  <c r="BC97" i="57" s="1"/>
  <c r="BS13" i="57" s="1"/>
  <c r="BD292" i="57"/>
  <c r="BG149" i="57"/>
  <c r="BW17" i="57" s="1"/>
  <c r="BD136" i="57"/>
  <c r="BT16" i="57" s="1"/>
  <c r="AU56" i="57" a="1"/>
  <c r="AU56" i="57" s="1"/>
  <c r="AQ56" i="57" a="1"/>
  <c r="AQ56" i="57" s="1"/>
  <c r="AM56" i="57" a="1"/>
  <c r="AM56" i="57" s="1"/>
  <c r="AI56" i="57" a="1"/>
  <c r="AI56" i="57" s="1"/>
  <c r="AE56" i="57" a="1"/>
  <c r="AE56" i="57" s="1"/>
  <c r="AT56" i="57" a="1"/>
  <c r="AT56" i="57" s="1"/>
  <c r="AP56" i="57" a="1"/>
  <c r="AP56" i="57" s="1"/>
  <c r="AL56" i="57" a="1"/>
  <c r="AL56" i="57" s="1"/>
  <c r="AH56" i="57" a="1"/>
  <c r="AH56" i="57" s="1"/>
  <c r="AD56" i="57" a="1"/>
  <c r="AD56" i="57" s="1"/>
  <c r="AS56" i="57" a="1"/>
  <c r="AS56" i="57" s="1"/>
  <c r="AO56" i="57" a="1"/>
  <c r="AO56" i="57" s="1"/>
  <c r="AK56" i="57" a="1"/>
  <c r="AK56" i="57" s="1"/>
  <c r="AG56" i="57" a="1"/>
  <c r="AG56" i="57" s="1"/>
  <c r="AC56" i="57" a="1"/>
  <c r="AC56" i="57" s="1"/>
  <c r="AV56" i="57" a="1"/>
  <c r="AV56" i="57" s="1"/>
  <c r="BL45" i="57" s="1"/>
  <c r="CB9" i="57" s="1"/>
  <c r="AR56" i="57" a="1"/>
  <c r="AR56" i="57" s="1"/>
  <c r="AN56" i="57" a="1"/>
  <c r="AN56" i="57" s="1"/>
  <c r="BH45" i="57" s="1"/>
  <c r="BX9" i="57" s="1"/>
  <c r="AJ56" i="57" a="1"/>
  <c r="AJ56" i="57" s="1"/>
  <c r="BF45" i="57" s="1"/>
  <c r="BV9" i="57" s="1"/>
  <c r="AF56" i="57" a="1"/>
  <c r="AF56" i="57" s="1"/>
  <c r="BD45" i="57" s="1"/>
  <c r="BT9" i="57" s="1"/>
  <c r="AS251" i="57" a="1"/>
  <c r="AS251" i="57" s="1"/>
  <c r="AP251" i="57" a="1"/>
  <c r="AP251" i="57" s="1"/>
  <c r="AK251" i="57" a="1"/>
  <c r="AK251" i="57" s="1"/>
  <c r="AH251" i="57" a="1"/>
  <c r="AH251" i="57" s="1"/>
  <c r="AC251" i="57" a="1"/>
  <c r="AC251" i="57" s="1"/>
  <c r="AL251" i="57" a="1"/>
  <c r="AL251" i="57" s="1"/>
  <c r="BG240" i="57" s="1"/>
  <c r="AI251" i="57" a="1"/>
  <c r="AI251" i="57" s="1"/>
  <c r="AE251" i="57" a="1"/>
  <c r="AE251" i="57" s="1"/>
  <c r="AV251" i="57" a="1"/>
  <c r="AV251" i="57" s="1"/>
  <c r="AR251" i="57" a="1"/>
  <c r="AR251" i="57" s="1"/>
  <c r="AO251" i="57" a="1"/>
  <c r="AO251" i="57" s="1"/>
  <c r="AD251" i="57" a="1"/>
  <c r="AD251" i="57" s="1"/>
  <c r="BC240" i="57" s="1"/>
  <c r="AU251" i="57" a="1"/>
  <c r="AU251" i="57" s="1"/>
  <c r="AN251" i="57" a="1"/>
  <c r="AN251" i="57" s="1"/>
  <c r="AJ251" i="57" a="1"/>
  <c r="AJ251" i="57" s="1"/>
  <c r="BF240" i="57" s="1"/>
  <c r="AG251" i="57" a="1"/>
  <c r="AG251" i="57" s="1"/>
  <c r="AQ251" i="57" a="1"/>
  <c r="AQ251" i="57" s="1"/>
  <c r="AM251" i="57" a="1"/>
  <c r="AM251" i="57" s="1"/>
  <c r="AT251" i="57" a="1"/>
  <c r="AT251" i="57" s="1"/>
  <c r="BK240" i="57" s="1"/>
  <c r="AF251" i="57" a="1"/>
  <c r="AF251" i="57" s="1"/>
  <c r="BD240" i="57" s="1"/>
  <c r="BF227" i="57"/>
  <c r="AU264" i="57" a="1"/>
  <c r="AU264" i="57" s="1"/>
  <c r="AS264" i="57" a="1"/>
  <c r="AS264" i="57" s="1"/>
  <c r="AQ264" i="57" a="1"/>
  <c r="AQ264" i="57" s="1"/>
  <c r="AO264" i="57" a="1"/>
  <c r="AO264" i="57" s="1"/>
  <c r="AM264" i="57" a="1"/>
  <c r="AM264" i="57" s="1"/>
  <c r="AK264" i="57" a="1"/>
  <c r="AK264" i="57" s="1"/>
  <c r="AI264" i="57" a="1"/>
  <c r="AI264" i="57" s="1"/>
  <c r="AG264" i="57" a="1"/>
  <c r="AG264" i="57" s="1"/>
  <c r="AE264" i="57" a="1"/>
  <c r="AE264" i="57" s="1"/>
  <c r="AC264" i="57" a="1"/>
  <c r="AC264" i="57" s="1"/>
  <c r="AP264" i="57" a="1"/>
  <c r="AP264" i="57" s="1"/>
  <c r="BI253" i="57" s="1"/>
  <c r="AH264" i="57" a="1"/>
  <c r="AH264" i="57" s="1"/>
  <c r="AL264" i="57" a="1"/>
  <c r="AL264" i="57" s="1"/>
  <c r="BG253" i="57" s="1"/>
  <c r="AV264" i="57" a="1"/>
  <c r="AV264" i="57" s="1"/>
  <c r="BL253" i="57" s="1"/>
  <c r="AR264" i="57" a="1"/>
  <c r="AR264" i="57" s="1"/>
  <c r="AD264" i="57" a="1"/>
  <c r="AD264" i="57" s="1"/>
  <c r="BC253" i="57" s="1"/>
  <c r="AN264" i="57" a="1"/>
  <c r="AN264" i="57" s="1"/>
  <c r="BH253" i="57" s="1"/>
  <c r="AJ264" i="57" a="1"/>
  <c r="AJ264" i="57" s="1"/>
  <c r="BF253" i="57" s="1"/>
  <c r="AT264" i="57" a="1"/>
  <c r="AT264" i="57" s="1"/>
  <c r="BK253" i="57" s="1"/>
  <c r="AF264" i="57" a="1"/>
  <c r="AF264" i="57" s="1"/>
  <c r="BD253" i="57" s="1"/>
  <c r="AV316" i="57" a="1"/>
  <c r="AV316" i="57" s="1"/>
  <c r="AU316" i="57" a="1"/>
  <c r="AU316" i="57" s="1"/>
  <c r="AT316" i="57" a="1"/>
  <c r="AT316" i="57" s="1"/>
  <c r="AP316" i="57" a="1"/>
  <c r="AP316" i="57" s="1"/>
  <c r="AL316" i="57" a="1"/>
  <c r="AL316" i="57" s="1"/>
  <c r="AH316" i="57" a="1"/>
  <c r="AH316" i="57" s="1"/>
  <c r="AD316" i="57" a="1"/>
  <c r="AD316" i="57" s="1"/>
  <c r="AS316" i="57" a="1"/>
  <c r="AS316" i="57" s="1"/>
  <c r="AO316" i="57" a="1"/>
  <c r="AO316" i="57" s="1"/>
  <c r="AK316" i="57" a="1"/>
  <c r="AK316" i="57" s="1"/>
  <c r="AG316" i="57" a="1"/>
  <c r="AG316" i="57" s="1"/>
  <c r="AC316" i="57" a="1"/>
  <c r="AC316" i="57" s="1"/>
  <c r="AR316" i="57" a="1"/>
  <c r="AR316" i="57" s="1"/>
  <c r="AN316" i="57" a="1"/>
  <c r="AN316" i="57" s="1"/>
  <c r="AJ316" i="57" a="1"/>
  <c r="AJ316" i="57" s="1"/>
  <c r="AF316" i="57" a="1"/>
  <c r="AF316" i="57" s="1"/>
  <c r="AQ316" i="57" a="1"/>
  <c r="AQ316" i="57" s="1"/>
  <c r="AM316" i="57" a="1"/>
  <c r="AM316" i="57" s="1"/>
  <c r="AI316" i="57" a="1"/>
  <c r="AI316" i="57" s="1"/>
  <c r="AE316" i="57" a="1"/>
  <c r="AE316" i="57" s="1"/>
  <c r="BF188" i="57"/>
  <c r="BK136" i="57"/>
  <c r="CA16" i="57" s="1"/>
  <c r="BC227" i="57"/>
  <c r="BG227" i="57"/>
  <c r="BK227" i="57"/>
  <c r="AV134" i="57" a="1"/>
  <c r="AV134" i="57" s="1"/>
  <c r="AT134" i="57" a="1"/>
  <c r="AT134" i="57" s="1"/>
  <c r="AR134" i="57" a="1"/>
  <c r="AR134" i="57" s="1"/>
  <c r="AP134" i="57" a="1"/>
  <c r="AP134" i="57" s="1"/>
  <c r="AN134" i="57" a="1"/>
  <c r="AN134" i="57" s="1"/>
  <c r="AL134" i="57" a="1"/>
  <c r="AL134" i="57" s="1"/>
  <c r="AJ134" i="57" a="1"/>
  <c r="AJ134" i="57" s="1"/>
  <c r="AH134" i="57" a="1"/>
  <c r="AH134" i="57" s="1"/>
  <c r="AF134" i="57" a="1"/>
  <c r="AF134" i="57" s="1"/>
  <c r="AD134" i="57" a="1"/>
  <c r="AD134" i="57" s="1"/>
  <c r="AU134" i="57" a="1"/>
  <c r="AU134" i="57" s="1"/>
  <c r="AS134" i="57" a="1"/>
  <c r="AS134" i="57" s="1"/>
  <c r="AQ134" i="57" a="1"/>
  <c r="AQ134" i="57" s="1"/>
  <c r="AO134" i="57" a="1"/>
  <c r="AO134" i="57" s="1"/>
  <c r="AM134" i="57" a="1"/>
  <c r="AM134" i="57" s="1"/>
  <c r="AK134" i="57" a="1"/>
  <c r="AK134" i="57" s="1"/>
  <c r="AI134" i="57" a="1"/>
  <c r="AI134" i="57" s="1"/>
  <c r="AG134" i="57" a="1"/>
  <c r="AG134" i="57" s="1"/>
  <c r="AE134" i="57" a="1"/>
  <c r="AE134" i="57" s="1"/>
  <c r="AC134" i="57" a="1"/>
  <c r="AC134" i="57" s="1"/>
  <c r="BC188" i="57"/>
  <c r="BK188" i="57"/>
  <c r="BG266" i="57"/>
  <c r="BK266" i="57"/>
  <c r="BK201" i="57" l="1"/>
  <c r="BH201" i="57"/>
  <c r="BL201" i="57"/>
  <c r="BF123" i="57"/>
  <c r="BV15" i="57" s="1"/>
  <c r="BI32" i="57"/>
  <c r="BF32" i="57"/>
  <c r="BC32" i="57"/>
  <c r="BS8" i="57" s="1"/>
  <c r="BG32" i="57"/>
  <c r="BK32" i="57"/>
  <c r="BD32" i="57"/>
  <c r="BH32" i="57"/>
  <c r="BX8" i="57" s="1"/>
  <c r="BL32" i="57"/>
  <c r="BL240" i="57"/>
  <c r="BF58" i="57"/>
  <c r="BV10" i="57" s="1"/>
  <c r="BD201" i="57"/>
  <c r="BC123" i="57"/>
  <c r="BS15" i="57" s="1"/>
  <c r="BG123" i="57"/>
  <c r="BW15" i="57" s="1"/>
  <c r="BK123" i="57"/>
  <c r="CA15" i="57" s="1"/>
  <c r="BG45" i="57"/>
  <c r="BW9" i="57" s="1"/>
  <c r="BC58" i="57"/>
  <c r="BS10" i="57" s="1"/>
  <c r="BG58" i="57"/>
  <c r="BW10" i="57" s="1"/>
  <c r="BK58" i="57"/>
  <c r="CA10" i="57" s="1"/>
  <c r="BC201" i="57"/>
  <c r="BD123" i="57"/>
  <c r="BT15" i="57" s="1"/>
  <c r="BH123" i="57"/>
  <c r="BX15" i="57" s="1"/>
  <c r="BL123" i="57"/>
  <c r="CB15" i="57" s="1"/>
  <c r="BI45" i="57"/>
  <c r="BY9" i="57" s="1"/>
  <c r="BD58" i="57"/>
  <c r="BT10" i="57" s="1"/>
  <c r="BH58" i="57"/>
  <c r="BX10" i="57" s="1"/>
  <c r="BL58" i="57"/>
  <c r="CB10" i="57" s="1"/>
  <c r="BI123" i="57"/>
  <c r="BY15" i="57" s="1"/>
  <c r="BH240" i="57"/>
  <c r="BI240" i="57"/>
  <c r="BC45" i="57"/>
  <c r="BS9" i="57" s="1"/>
  <c r="BK45" i="57"/>
  <c r="CA9" i="57" s="1"/>
  <c r="BI58" i="57"/>
  <c r="BY10" i="57" s="1"/>
  <c r="BG201" i="5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<sst xmlns="http://schemas.openxmlformats.org/spreadsheetml/2006/main" count="4510" uniqueCount="191">
  <si>
    <t>NE Lys</t>
  </si>
  <si>
    <t>SE Lys</t>
  </si>
  <si>
    <t>NE</t>
  </si>
  <si>
    <t>SE</t>
  </si>
  <si>
    <t>DOY</t>
  </si>
  <si>
    <t>FC</t>
  </si>
  <si>
    <t>PWP</t>
  </si>
  <si>
    <t>MAD</t>
  </si>
  <si>
    <t>Depth</t>
  </si>
  <si>
    <t>Lys</t>
  </si>
  <si>
    <t>NW</t>
  </si>
  <si>
    <t>SW</t>
  </si>
  <si>
    <t>SHEET NAME</t>
  </si>
  <si>
    <t>CONTENTS</t>
  </si>
  <si>
    <t>Summary data of soil profile water content in mm for each tube and date of neutron probe reading for the entire season.</t>
  </si>
  <si>
    <t>Graphs of the water content profile for all dates when data were taken with one graph for each neutron probe access tube. Also contain summary data of profile water content at each tube location for each date when data were taken.</t>
  </si>
  <si>
    <t>Data in this spreadsheet are the result of a team effort at the USDA-ARS Conservation &amp; Production Research Laboratory, Soil and Water Management Research Unit (SWMRU).</t>
  </si>
  <si>
    <t>The scientists responsible for collecting these data, calibrating the instruments, quality control and data analysis are:</t>
  </si>
  <si>
    <t>Author</t>
  </si>
  <si>
    <t>Steven R. Evett, Research Soil Scientist (point of contact and responsible for this spreadsheet), Steve.Evett@usda.gov, 806-356-5775, srevett1948@gmail.com</t>
  </si>
  <si>
    <t>Paul D. Colaizzi, Research Agricultural Engineer, paul.colaizzi@usda.gov</t>
  </si>
  <si>
    <t>Karen S. Copeland, Soil Scientist, Karen.Copeland@usda.gov, 806-356-5735</t>
  </si>
  <si>
    <t>Brice B. Ruthardt, Biological Scientist, Brice.Ruthardt@usda.gov, 806-356-5780</t>
  </si>
  <si>
    <t>All are  or were employed in the</t>
  </si>
  <si>
    <t>USDA-ARS Conservation &amp; Production Research Laboratory</t>
  </si>
  <si>
    <t>300 Simmons Road, Unit 10</t>
  </si>
  <si>
    <t>Bushland, Texas 79012 USA</t>
  </si>
  <si>
    <t>Persons using these data for scientific research and publication are responsible for:</t>
  </si>
  <si>
    <r>
      <t xml:space="preserve">1. Contacting </t>
    </r>
    <r>
      <rPr>
        <b/>
        <sz val="11"/>
        <color rgb="FF000000"/>
        <rFont val="Calibri"/>
        <family val="2"/>
      </rPr>
      <t>all</t>
    </r>
    <r>
      <rPr>
        <sz val="11"/>
        <color rgb="FF000000"/>
        <rFont val="Calibri"/>
        <family val="2"/>
      </rPr>
      <t xml:space="preserve"> the scientists listed above and obtaining approval to use the data, </t>
    </r>
  </si>
  <si>
    <t xml:space="preserve">2. Inviting them to be involved in said research, and </t>
  </si>
  <si>
    <t>3. Inviting them to be involved as coauthors in the data analysis, drafting and critical review of any publications resulting from the research.</t>
  </si>
  <si>
    <t xml:space="preserve">Data contained herein are from experiments in the large weighing lysimeter fields at Bushland, Texas. Neutron count measurements were taken using a model 503DR1.5 HydroProbe manufactured by Campbell Pacific Nuclear, a division of Instrotek, Inc., Concord, California. Soil horizon-specific calibrations were established at field sites using methods described by Evett (2003) and Evett et al. (2008). </t>
  </si>
  <si>
    <t>REFERENCES:</t>
  </si>
  <si>
    <t>Evett, S.R. and J.L. Steiner. 1995. Precision of neutron scattering and capacitance type soil water content gauges from field calibration. Soil Sci. Soc. Am. J. 59(4):961-968. https://doi.org/10.2136/sssaj1995.03615995005900040001x</t>
  </si>
  <si>
    <t>Evett, S.R. 2003a. Soil Water Measurement by Neutron Thermalization. In B.A. Stewart and Terry A. Howell (editors). Encyclopedia of Water Science, Marcel Dekker, Inc. New York. Pp. 889-893.</t>
  </si>
  <si>
    <t>Evett, S.R., J.A. Tolk, and T.A. Howell. 2003b. A depth control stand for improved accuracy with the neutron probe. Vadose Zone J. 2(4): 642–649. https://doi.org/10.2136/vzj2003.6420</t>
  </si>
  <si>
    <t>Evett, S.R., L.K. Heng, P. Moutonnet and M.L. Nguyen. 2008. Field Estimation of Soil Water Content: A Practical Guide to Methods, Instrumentation, and Sensor Technology. 131 pp. IAEA-TCS-30. International Atomic Energy Agency, Vienna, Austria. ISSN 1018–5518. Available at http://www-pub.iaea.org/mtcd/publications/PubDetails.asp?pubId=7801</t>
  </si>
  <si>
    <t>CONVENTION</t>
  </si>
  <si>
    <t>EXPLANATION</t>
  </si>
  <si>
    <t>Water content</t>
  </si>
  <si>
    <t>Water content data are in units of volume per unit volume of soil (m3/m3). The neutron probe was used to take readings of neutron counts at each depth in each access tube and to take standard count and Chi ratio statistics with the neutron probe locked within its shield, which was mounted on top of a depth control stand (Evett et al., 2003b). Count ratio data (count divided by long-term mean of standard counts) were converted to water content data using calibrations done in the field as described Evett and Steiner (1995) and Evett et al. (2003a, 2008). Methods for calibration and use of the neutron probe are given in the references (Evett et al., 2003a, 2008). The data have several significant digits after the decimal point but there are only approximately three significant digits after the decimal point. Accuracy of the 10-cm data were improved by use of a depth control stand and a separate calibration for that depth.</t>
  </si>
  <si>
    <t>Depths shown are the center depths of sensing with the neutron probe</t>
  </si>
  <si>
    <t>Porosity</t>
  </si>
  <si>
    <t>Soil porosity by depth as determined from prior research that determined soil bulk density and porosity values by depth. The porosity is the air-filled pore space as a volume fraction of a unit soil volume when the soil is completely dry. Calculated from dry bulk density (BD, Mg/m3) as: Porosity = 1 - BD/2.65, where 2.65 is the particle density (Mg/m3) of quartz sand. The porosity represents a quality control limit to soil water content data. Soil water content should not be larger than porosity. Notwithstanding its use as a limit, in the case of swelling soils the water content at saturation can be somewhat larger than the porosity that is calculated from dry bulk density.</t>
  </si>
  <si>
    <t>SYMBOL</t>
  </si>
  <si>
    <t>MEANING</t>
  </si>
  <si>
    <t>DAP</t>
  </si>
  <si>
    <t>Days after planting</t>
  </si>
  <si>
    <t>day of year. January 1 is DOY 1, February 1 is DOY 32, etc.</t>
  </si>
  <si>
    <t>Soil profile water content in mm</t>
  </si>
  <si>
    <t>Profile water content in mm at management allowed depletion</t>
  </si>
  <si>
    <t>northeast. Refers to NE field and weighing lysimeter</t>
  </si>
  <si>
    <t>Profile water content in mm at permanent wilting point</t>
  </si>
  <si>
    <t>southeast. Refers to SE field and weighing lysimeter</t>
  </si>
  <si>
    <t>southwest. Refers to SW field and weighing lysimeter</t>
  </si>
  <si>
    <t>northwest. Refers to NW field and weighing lysimeter</t>
  </si>
  <si>
    <t>Fld</t>
  </si>
  <si>
    <t>field</t>
  </si>
  <si>
    <t>lysimeter</t>
  </si>
  <si>
    <t>SDI</t>
  </si>
  <si>
    <t>Subsurface drip irrigation</t>
  </si>
  <si>
    <t>MESA</t>
  </si>
  <si>
    <t>Mid elevation spray application</t>
  </si>
  <si>
    <t>ΔS</t>
  </si>
  <si>
    <t>Change in mm of profile water storage from one neutron probe reading date to another neutron probe reading date</t>
  </si>
  <si>
    <t>PLANT &amp; HARVEST</t>
  </si>
  <si>
    <t>DAY OF YEAR</t>
  </si>
  <si>
    <t>Planted</t>
  </si>
  <si>
    <t>Harvested</t>
  </si>
  <si>
    <t>Spreadsheet tab</t>
  </si>
  <si>
    <t>Element or value display name</t>
  </si>
  <si>
    <t>Description</t>
  </si>
  <si>
    <t>Data type</t>
  </si>
  <si>
    <t>Character length</t>
  </si>
  <si>
    <t>Acceptable values</t>
  </si>
  <si>
    <t>Required?</t>
  </si>
  <si>
    <t>Accepts null value?</t>
  </si>
  <si>
    <t>Year</t>
  </si>
  <si>
    <t>integer</t>
  </si>
  <si>
    <t>Yes</t>
  </si>
  <si>
    <t>No</t>
  </si>
  <si>
    <t>Serial day of the year beginning with 1 for January 1.</t>
  </si>
  <si>
    <t>1 to 366</t>
  </si>
  <si>
    <t>Storage in top 1.5 m of soil in NE Lys</t>
  </si>
  <si>
    <t>Water in mm stored in top 1.5 m of soil in NE Lys</t>
  </si>
  <si>
    <t>decimal</t>
  </si>
  <si>
    <t>Yes, #N/A</t>
  </si>
  <si>
    <t>Storage in top 1.5 m of soil in NE Field</t>
  </si>
  <si>
    <t>Water in mm stored in top 1.5 m of soil in NE Field</t>
  </si>
  <si>
    <t>Storage in top 1.5 m of soil in SE Lys</t>
  </si>
  <si>
    <t>Water in mm stored in top 1.5 m of soil in SE Lys</t>
  </si>
  <si>
    <t>Storage in top 1.5 m of soil in SE Field</t>
  </si>
  <si>
    <t>Water in mm stored in top 1.5 m of soil in SE Field</t>
  </si>
  <si>
    <t>Water in mm stored in top 1.5 m of soil at field capacity</t>
  </si>
  <si>
    <t>Water in mm stored in top 1.5 m of soil at permanent wilting point</t>
  </si>
  <si>
    <t>Water in mm stored in top 1.5 m of soil at management allowed depletion</t>
  </si>
  <si>
    <t>Storage in top 2.4 m of NE field tubes 1-2</t>
  </si>
  <si>
    <t>Water in mm stored in top 2.4 m of NE field tubes 1-2</t>
  </si>
  <si>
    <t>Storage in top 2.4 m of NE field tubes 3-4</t>
  </si>
  <si>
    <t>Water in mm stored in top 2.4 m of NE field tubes 3-4</t>
  </si>
  <si>
    <t>Storage in top 2.4 m of NE field tubes 7-8</t>
  </si>
  <si>
    <t>Water in mm stored in top 2.4 m of NE field tubes 7-8</t>
  </si>
  <si>
    <t>Storage in top 2.4 m of NE field tubes 9-10</t>
  </si>
  <si>
    <t>Water in mm stored in top 2.4 m of NE field tubes 9-10</t>
  </si>
  <si>
    <t>Storage in top 2.4 m of SE field tubes 11-12</t>
  </si>
  <si>
    <t>Water in mm stored in top 2.4 m of SE field tubes 11-12</t>
  </si>
  <si>
    <t>Storage in top 2.4 m of SE field tubes 13-14</t>
  </si>
  <si>
    <t>Water in mm stored in top 2.4 m of SE field tubes 13-14</t>
  </si>
  <si>
    <t>Storage in top 2.4 m of SE field tubes 17-18</t>
  </si>
  <si>
    <t>Water in mm stored in top 2.4 m of SE field tubes 17-18</t>
  </si>
  <si>
    <t>Storage in top 2.4 m of SE field tubes 19-20</t>
  </si>
  <si>
    <t>Water in mm stored in top 2.4 m of SE field tubes 19-20</t>
  </si>
  <si>
    <t>Water (mm) stored in top 1.5 m of soil in NE Lys</t>
  </si>
  <si>
    <t>Water (mm) stored in top 1.5 m of soil in NE Field</t>
  </si>
  <si>
    <t>Water (mm) stored in top 1.5 m of soil in SE Lys</t>
  </si>
  <si>
    <t>Water (mm) stored in top 1.5 m of soil in SE Field</t>
  </si>
  <si>
    <t>Water stored (mm) in top 2.4 m of NE field tubes 1-2</t>
  </si>
  <si>
    <t>Water stored (mm) in top 2.4 m of NE field tubes 3-4</t>
  </si>
  <si>
    <t>Water stored (mm) in top 2.4 m of NE field tubes 7-8</t>
  </si>
  <si>
    <t>Water stored (mm) in top 2.4 m of NE field tubes 9-10</t>
  </si>
  <si>
    <t>Water stored (mm) in top 2.4 m of SE field tubes 11-12</t>
  </si>
  <si>
    <t>Water stored (mm) in top 2.4 m of SE field tubes 13-14</t>
  </si>
  <si>
    <t>Water stored (mm) in top 2.4 m of SE field tubes 17-18</t>
  </si>
  <si>
    <t>Water stored (mm) in top 2.4 m of SE field tubes 19-20</t>
  </si>
  <si>
    <t>year - yyyy</t>
  </si>
  <si>
    <t>Date</t>
  </si>
  <si>
    <t>Date in yyyy-mm-dd format</t>
  </si>
  <si>
    <t>date - year/month/day preferably ISO 8601: yyyy-mm-dd</t>
  </si>
  <si>
    <t>Time</t>
  </si>
  <si>
    <t>Time of day in hh:mm format</t>
  </si>
  <si>
    <t>time: hh:mm</t>
  </si>
  <si>
    <t>0 to 24:00</t>
  </si>
  <si>
    <t>Depth in cm</t>
  </si>
  <si>
    <t>Center depth in cm below the soil surface of soil water content sensing</t>
  </si>
  <si>
    <t>Tube no.</t>
  </si>
  <si>
    <t>Number of the access tube in which the neutron probe was used to sense water content. The tube map gives the relative tube locations in the lysimeters and in the fields surrounding the lysimeters.</t>
  </si>
  <si>
    <t>1 to 20</t>
  </si>
  <si>
    <t>VWC</t>
  </si>
  <si>
    <t>Soil volumetric water content. This is a unitless fraction.</t>
  </si>
  <si>
    <t>Zero to &lt;1</t>
  </si>
  <si>
    <t>Location</t>
  </si>
  <si>
    <t>Indicates wether the access tube was in the field, indicated by Fld, or in a lysimeter, indicated by Lys, and what field it was in as indicated by the four intercardinal directions NW, SW, NE, and SE.</t>
  </si>
  <si>
    <t>varchar(6)</t>
  </si>
  <si>
    <t>NE Fld</t>
  </si>
  <si>
    <t>SE Fld</t>
  </si>
  <si>
    <t>Depth (cm)</t>
  </si>
  <si>
    <t>Day of year</t>
  </si>
  <si>
    <t>Porosity (m3/m3)</t>
  </si>
  <si>
    <t>VLOOKUP TABLE</t>
  </si>
  <si>
    <t>Copy columns aw and ax to bm and bn, then sort to eliminate blank lines.</t>
  </si>
  <si>
    <t>tube no.</t>
  </si>
  <si>
    <t>VLOOKUP TABLE will find values</t>
  </si>
  <si>
    <t>Date: yyyy-mm-dd</t>
  </si>
  <si>
    <t>alphanumeric</t>
  </si>
  <si>
    <t>Planted corn DOY 131</t>
  </si>
  <si>
    <t>Lysimeter harvested on DOY 285</t>
  </si>
  <si>
    <t>Storage in top 2.0 m of NE Lys tubes 5-6</t>
  </si>
  <si>
    <t>Water in mm stored in top 2.0 m of NE Lys tubes 5-6</t>
  </si>
  <si>
    <t>Storage in top 2.0 m of SE Lys tubes 15-16</t>
  </si>
  <si>
    <t>Water in mm stored in top 2.0 m of SE Lys tubes 15-16</t>
  </si>
  <si>
    <t>Water stored (mm) in top 2.0 m of NE Lys tubes 5-6</t>
  </si>
  <si>
    <t>Water stored (mm) in top 2.0 m of SE Lys tubes 15-16</t>
  </si>
  <si>
    <t>2016 E Maize VWC Introduction</t>
  </si>
  <si>
    <t>2016 E Maize Profile WC</t>
  </si>
  <si>
    <t>Dic. 2016 E Maize Profile WC</t>
  </si>
  <si>
    <t>Data dictionary for sheet or CSV file named "2016 E Maize Profile WC"</t>
  </si>
  <si>
    <t>2016 E Maize Soil VWC</t>
  </si>
  <si>
    <t>Dic. 2016 E Maize Soil VWC</t>
  </si>
  <si>
    <t>Data dictionary for sheet or CSV file named "2016 E Maize Soil VWC"</t>
  </si>
  <si>
    <t>Tube number</t>
  </si>
  <si>
    <t>Number of the access tube in which the neutron probe was used to sense water content.</t>
  </si>
  <si>
    <t>variable</t>
  </si>
  <si>
    <t>Latitude</t>
  </si>
  <si>
    <t>Longitude</t>
  </si>
  <si>
    <t>2016 E Maize Tube Map</t>
  </si>
  <si>
    <t>Volumetric water content in units of volume of water per unit volume of soil.</t>
  </si>
  <si>
    <t>WC</t>
  </si>
  <si>
    <t>Soil profile water content. Also known as soil profile water storage. Units are typically in depth of water, e.g., mm, in a soil profile from the soil surface to a defined depth.</t>
  </si>
  <si>
    <t>Mapping of tube locations within each field and lysimeter by latitude and longitude</t>
  </si>
  <si>
    <t>Dic. 2016 E Maize Tube Map</t>
  </si>
  <si>
    <t>Data dictionary for sheet or CSV file named "2016 E Maize Tube Map"</t>
  </si>
  <si>
    <t>2016 E Maize VWC Graphs</t>
  </si>
  <si>
    <t>Soil water content (vol/vol) for each date of reading and each depth of reading in each access tube.</t>
  </si>
  <si>
    <t>Explanation of sheet names and contents, authors of the data, key references to methods, symbols, conventions, where VWC stands for volumetric water content.</t>
  </si>
  <si>
    <t>The longitude of the access tube in decimal degrees. Accuracy is ~2 meters.</t>
  </si>
  <si>
    <t>The latitude of the access tube in decimal degress. Accuracy is ~2 meters.</t>
  </si>
  <si>
    <t>1 through 20</t>
  </si>
  <si>
    <t>alphabetical</t>
  </si>
  <si>
    <t>Location of the access tube given as in the northeast (NE) field, NE lysimeter (NE Lys), southeast (SE) field, or SE lysimeter (SE Lys); northwest (NW) field, NW lysimeter (NW Lys), southwest (SW) field, or SW lysimeter (SW Lys)</t>
  </si>
  <si>
    <t>latitude</t>
  </si>
  <si>
    <t>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</si>
</sst>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numFmt numFmtId="166" formatCode="h:mm;@"/>
  </numFmts>
  <fonts count="9" x14ac:knownFonts="1">
    <font>
      <sz val="10"/>
      <name val="Arial"/>
    </font>
    <font>
      <b/>
      <sz val="10"/>
      <name val="Arial"/>
      <family val="2"/>
    </font>
    <font>
      <sz val="10"/>
      <name val="Arial"/>
      <family val="2"/>
    </font>
    <font>
      <sz val="14"/>
      <color rgb="FF000000"/>
      <name val="Calibri"/>
      <family val="2"/>
    </font>
    <font>
      <sz val="11"/>
      <color rgb="FF000000"/>
      <name val="Calibri"/>
      <family val="2"/>
    </font>
    <font>
      <sz val="11"/>
      <name val="Calibri"/>
      <family val="2"/>
    </font>
    <font>
      <b/>
      <sz val="11"/>
      <color rgb="FF000000"/>
      <name val="Calibri"/>
      <family val="2"/>
    </font>
    <font>
      <b/>
      <sz val="11"/>
      <color rgb="FF000000"/>
      <name val="Arial"/>
      <family val="2"/>
    </font>
    <font>
      <sz val="11"/>
      <name val="Arial"/>
      <family val="2"/>
    </font>
  </fonts>
  <fills count="4">
    <fill>
      <patternFill patternType="none"/>
    </fill>
    <fill>
      <patternFill patternType="gray125"/>
    </fill>
    <fill>
      <patternFill patternType="solid">
        <fgColor rgb="FFEFEFEF"/>
        <bgColor rgb="FFEFEFEF"/>
      </patternFill>
    </fill>
    <fill>
      <patternFill patternType="solid">
        <fgColor rgb="FF92D05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2" fillId="0" borderId="0"/>
  </cellStyleXfs>
  <cellXfs count="36">
    <xf numFmtId="0" fontId="0" fillId="0" borderId="0" xfId="0"/>
    <xf numFmtId="0" fontId="2" fillId="0" borderId="0" xfId="1"/>
    <xf numFmtId="164" fontId="2" fillId="0" borderId="0" xfId="1" applyNumberFormat="1"/>
    <xf numFmtId="0" fontId="2" fillId="0" borderId="0" xfId="1" applyAlignment="1">
      <alignment vertical="top"/>
    </xf>
    <xf numFmtId="0" fontId="3" fillId="0" borderId="0" xfId="1" applyFont="1" applyAlignment="1">
      <alignment horizontal="left" vertical="center" readingOrder="1"/>
    </xf>
    <xf numFmtId="0" fontId="4" fillId="0" borderId="0" xfId="1" applyFont="1" applyAlignment="1">
      <alignment horizontal="left" vertical="center" readingOrder="1"/>
    </xf>
    <xf numFmtId="0" fontId="5" fillId="0" borderId="0" xfId="1" applyFont="1" applyAlignment="1">
      <alignment vertical="center" readingOrder="1"/>
    </xf>
    <xf numFmtId="0" fontId="7" fillId="2" borderId="1" xfId="1" applyFont="1" applyFill="1" applyBorder="1" applyAlignment="1">
      <alignment vertical="top" wrapText="1"/>
    </xf>
    <xf numFmtId="0" fontId="2" fillId="0" borderId="0" xfId="1" applyAlignment="1">
      <alignment wrapText="1"/>
    </xf>
    <xf numFmtId="0" fontId="2" fillId="0" borderId="0" xfId="1" applyAlignment="1">
      <alignment horizontal="left"/>
    </xf>
    <xf numFmtId="14" fontId="2" fillId="0" borderId="0" xfId="1" applyNumberFormat="1" applyAlignment="1">
      <alignment horizontal="left"/>
    </xf>
    <xf numFmtId="0" fontId="4" fillId="0" borderId="0" xfId="1" applyFont="1" applyAlignment="1">
      <alignment vertical="center" wrapText="1"/>
    </xf>
    <xf numFmtId="164" fontId="2" fillId="0" borderId="0" xfId="1" applyNumberFormat="1" applyAlignment="1">
      <alignment horizontal="left"/>
    </xf>
    <xf numFmtId="0" fontId="4" fillId="0" borderId="0" xfId="1" applyFont="1" applyAlignment="1">
      <alignment vertical="center"/>
    </xf>
    <xf numFmtId="0" fontId="2" fillId="0" borderId="0" xfId="1" applyAlignment="1">
      <alignment horizontal="center"/>
    </xf>
    <xf numFmtId="165" fontId="2" fillId="0" borderId="0" xfId="1" applyNumberFormat="1"/>
    <xf numFmtId="166" fontId="2" fillId="0" borderId="0" xfId="1" applyNumberFormat="1"/>
    <xf numFmtId="164" fontId="2" fillId="0" borderId="0" xfId="1" applyNumberFormat="1" applyAlignment="1">
      <alignment horizontal="center"/>
    </xf>
    <xf numFmtId="14" fontId="2" fillId="0" borderId="0" xfId="1" applyNumberFormat="1"/>
    <xf numFmtId="0" fontId="8" fillId="0" borderId="0" xfId="1" applyFont="1" applyAlignment="1">
      <alignment wrapText="1"/>
    </xf>
    <xf numFmtId="0" fontId="2" fillId="3" borderId="0" xfId="1" applyFill="1"/>
    <xf numFmtId="165" fontId="2" fillId="0" borderId="0" xfId="1" applyNumberFormat="1" applyFill="1"/>
    <xf numFmtId="165" fontId="2" fillId="0" borderId="0" xfId="1" applyNumberFormat="1" applyAlignment="1">
      <alignment wrapText="1"/>
    </xf>
    <xf numFmtId="0" fontId="2" fillId="0" borderId="0" xfId="1" applyFill="1" applyAlignment="1">
      <alignment horizontal="center"/>
    </xf>
    <xf numFmtId="166" fontId="2" fillId="0" borderId="0" xfId="1" applyNumberFormat="1" applyFill="1"/>
    <xf numFmtId="164" fontId="2" fillId="0" borderId="0" xfId="1" applyNumberFormat="1" applyFill="1" applyAlignment="1">
      <alignment horizontal="center"/>
    </xf>
    <xf numFmtId="0" fontId="2" fillId="0" borderId="0" xfId="1" applyFill="1"/>
    <xf numFmtId="0" fontId="7" fillId="2" borderId="1" xfId="2" applyFont="1" applyFill="1" applyBorder="1" applyAlignment="1">
      <alignment vertical="top" wrapText="1"/>
    </xf>
    <xf numFmtId="0" fontId="2" fillId="0" borderId="0" xfId="2" applyAlignment="1">
      <alignment vertical="top"/>
    </xf>
    <xf numFmtId="0" fontId="1" fillId="0" borderId="0" xfId="2" applyFont="1" applyAlignment="1">
      <alignment horizontal="center" vertical="top" wrapText="1"/>
    </xf>
    <xf numFmtId="0" fontId="2" fillId="0" borderId="0" xfId="2" applyAlignment="1">
      <alignment vertical="top" wrapText="1"/>
    </xf>
    <xf numFmtId="0" fontId="1" fillId="0" borderId="0" xfId="2" applyFont="1" applyAlignment="1">
      <alignment wrapText="1"/>
    </xf>
    <xf numFmtId="0" fontId="1" fillId="0" borderId="0" xfId="2" applyFont="1" applyAlignment="1">
      <alignment horizontal="center" wrapText="1"/>
    </xf>
    <xf numFmtId="0" fontId="2" fillId="0" borderId="0" xfId="2" applyAlignment="1">
      <alignment horizontal="center"/>
    </xf>
    <xf numFmtId="0" fontId="2" fillId="0" borderId="0" xfId="2"/>
    <xf numFmtId="0" fontId="0" fillId="0" borderId="0" xfId="0" applyAlignment="1">
      <alignment wrapText="1"/>
    </xf>
  </cellXfs>
  <cellStyles count="3">
    <cellStyle name="Normal" xfId="0" builtinId="0"/>
    <cellStyle name="Normal 2" xfId="1" xr:uid="{00000000-0005-0000-0000-000001000000}"/>
    <cellStyle name="Normal 2 2 2" xfId="2" xr:uid="{DA0B0D39-4227-457E-95E6-470A43A67C12}"/>
  </cellStyles>
  <dxfs count="0"/>
  <tableStyles count="0" defaultTableStyle="TableStyleMedium9" defaultPivotStyle="PivotStyleLight16"/>
  <colors>
    <mruColors>
      <color rgb="FFFF9900"/>
      <color rgb="FFFF33CC"/>
      <color rgb="FF907240"/>
      <color rgb="FF258DA9"/>
      <color rgb="FFCC3300"/>
      <color rgb="FFF8C674"/>
      <color rgb="FF2676A8"/>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46304991692551"/>
          <c:y val="0.10560168135505719"/>
          <c:w val="0.80092009738337022"/>
          <c:h val="0.76563525713132008"/>
        </c:manualLayout>
      </c:layout>
      <c:scatterChart>
        <c:scatterStyle val="lineMarker"/>
        <c:varyColors val="0"/>
        <c:ser>
          <c:idx val="0"/>
          <c:order val="0"/>
          <c:tx>
            <c:strRef>
              <c:f>'2016 E Maize Profile WC'!$D$1</c:f>
              <c:strCache>
                <c:ptCount val="1"/>
                <c:pt idx="0">
                  <c:v>Water (mm) stored in top 1.5 m of soil in NE Lys</c:v>
                </c:pt>
              </c:strCache>
            </c:strRef>
          </c:tx>
          <c:spPr>
            <a:ln w="19050" cap="rnd">
              <a:solidFill>
                <a:schemeClr val="accent1"/>
              </a:solidFill>
              <a:round/>
            </a:ln>
            <a:effectLst/>
          </c:spPr>
          <c:marker>
            <c:symbol val="square"/>
            <c:size val="7"/>
            <c:spPr>
              <a:noFill/>
              <a:ln w="12700">
                <a:solidFill>
                  <a:schemeClr val="tx1"/>
                </a:solidFill>
              </a:ln>
              <a:effectLst/>
            </c:spPr>
          </c:marker>
          <c:xVal>
            <c:numRef>
              <c:f>'2016 E Maize Profile WC'!$C$2:$C$18</c:f>
              <c:numCache>
                <c:formatCode>General</c:formatCode>
                <c:ptCount val="17"/>
                <c:pt idx="0">
                  <c:v>127</c:v>
                </c:pt>
                <c:pt idx="1">
                  <c:v>146</c:v>
                </c:pt>
                <c:pt idx="2">
                  <c:v>161</c:v>
                </c:pt>
                <c:pt idx="3">
                  <c:v>167</c:v>
                </c:pt>
                <c:pt idx="4">
                  <c:v>173</c:v>
                </c:pt>
                <c:pt idx="5">
                  <c:v>180</c:v>
                </c:pt>
                <c:pt idx="6">
                  <c:v>193</c:v>
                </c:pt>
                <c:pt idx="7">
                  <c:v>200</c:v>
                </c:pt>
                <c:pt idx="8">
                  <c:v>208</c:v>
                </c:pt>
                <c:pt idx="9">
                  <c:v>215</c:v>
                </c:pt>
                <c:pt idx="10">
                  <c:v>224</c:v>
                </c:pt>
                <c:pt idx="11">
                  <c:v>236</c:v>
                </c:pt>
                <c:pt idx="12">
                  <c:v>256</c:v>
                </c:pt>
                <c:pt idx="13">
                  <c:v>263</c:v>
                </c:pt>
                <c:pt idx="14">
                  <c:v>270</c:v>
                </c:pt>
                <c:pt idx="15">
                  <c:v>286</c:v>
                </c:pt>
                <c:pt idx="16">
                  <c:v>302</c:v>
                </c:pt>
              </c:numCache>
            </c:numRef>
          </c:xVal>
          <c:yVal>
            <c:numRef>
              <c:f>'2016 E Maize Profile WC'!$D$2:$D$18</c:f>
              <c:numCache>
                <c:formatCode>General</c:formatCode>
                <c:ptCount val="17"/>
                <c:pt idx="0">
                  <c:v>483.59100695408893</c:v>
                </c:pt>
                <c:pt idx="1">
                  <c:v>478.07456131223734</c:v>
                </c:pt>
                <c:pt idx="2">
                  <c:v>483.51502436606211</c:v>
                </c:pt>
                <c:pt idx="3">
                  <c:v>483.99924965558364</c:v>
                </c:pt>
                <c:pt idx="4">
                  <c:v>469.57229555992728</c:v>
                </c:pt>
                <c:pt idx="5">
                  <c:v>450.18567959305381</c:v>
                </c:pt>
                <c:pt idx="6">
                  <c:v>429.22899670798182</c:v>
                </c:pt>
                <c:pt idx="7">
                  <c:v>425.51180774881021</c:v>
                </c:pt>
                <c:pt idx="8">
                  <c:v>416.27500389725463</c:v>
                </c:pt>
                <c:pt idx="9">
                  <c:v>445.63454025825661</c:v>
                </c:pt>
                <c:pt idx="10">
                  <c:v>480.73658022281177</c:v>
                </c:pt>
                <c:pt idx="11">
                  <c:v>479.62585154820152</c:v>
                </c:pt>
                <c:pt idx="12">
                  <c:v>488.17402484423241</c:v>
                </c:pt>
                <c:pt idx="13">
                  <c:v>467.05821528918716</c:v>
                </c:pt>
                <c:pt idx="14">
                  <c:v>460.17067241325492</c:v>
                </c:pt>
                <c:pt idx="15">
                  <c:v>456.1161847570695</c:v>
                </c:pt>
                <c:pt idx="16">
                  <c:v>456.10632000289809</c:v>
                </c:pt>
              </c:numCache>
            </c:numRef>
          </c:yVal>
          <c:smooth val="0"/>
          <c:extLst>
            <c:ext xmlns:c16="http://schemas.microsoft.com/office/drawing/2014/chart" uri="{C3380CC4-5D6E-409C-BE32-E72D297353CC}">
              <c16:uniqueId val="{00000000-AB4D-4D1A-BDD1-98B595F74030}"/>
            </c:ext>
          </c:extLst>
        </c:ser>
        <c:ser>
          <c:idx val="1"/>
          <c:order val="1"/>
          <c:tx>
            <c:strRef>
              <c:f>'2016 E Maize Profile WC'!$E$1</c:f>
              <c:strCache>
                <c:ptCount val="1"/>
                <c:pt idx="0">
                  <c:v>Water (mm) stored in top 1.5 m of soil in NE Field</c:v>
                </c:pt>
              </c:strCache>
            </c:strRef>
          </c:tx>
          <c:spPr>
            <a:ln w="19050" cap="rnd">
              <a:solidFill>
                <a:schemeClr val="accent2"/>
              </a:solidFill>
              <a:round/>
            </a:ln>
            <a:effectLst/>
          </c:spPr>
          <c:marker>
            <c:symbol val="x"/>
            <c:size val="7"/>
            <c:spPr>
              <a:noFill/>
              <a:ln w="12700">
                <a:solidFill>
                  <a:schemeClr val="tx1"/>
                </a:solidFill>
              </a:ln>
              <a:effectLst/>
            </c:spPr>
          </c:marker>
          <c:xVal>
            <c:numRef>
              <c:f>'2016 E Maize Profile WC'!$C$2:$C$18</c:f>
              <c:numCache>
                <c:formatCode>General</c:formatCode>
                <c:ptCount val="17"/>
                <c:pt idx="0">
                  <c:v>127</c:v>
                </c:pt>
                <c:pt idx="1">
                  <c:v>146</c:v>
                </c:pt>
                <c:pt idx="2">
                  <c:v>161</c:v>
                </c:pt>
                <c:pt idx="3">
                  <c:v>167</c:v>
                </c:pt>
                <c:pt idx="4">
                  <c:v>173</c:v>
                </c:pt>
                <c:pt idx="5">
                  <c:v>180</c:v>
                </c:pt>
                <c:pt idx="6">
                  <c:v>193</c:v>
                </c:pt>
                <c:pt idx="7">
                  <c:v>200</c:v>
                </c:pt>
                <c:pt idx="8">
                  <c:v>208</c:v>
                </c:pt>
                <c:pt idx="9">
                  <c:v>215</c:v>
                </c:pt>
                <c:pt idx="10">
                  <c:v>224</c:v>
                </c:pt>
                <c:pt idx="11">
                  <c:v>236</c:v>
                </c:pt>
                <c:pt idx="12">
                  <c:v>256</c:v>
                </c:pt>
                <c:pt idx="13">
                  <c:v>263</c:v>
                </c:pt>
                <c:pt idx="14">
                  <c:v>270</c:v>
                </c:pt>
                <c:pt idx="15">
                  <c:v>286</c:v>
                </c:pt>
                <c:pt idx="16">
                  <c:v>302</c:v>
                </c:pt>
              </c:numCache>
            </c:numRef>
          </c:xVal>
          <c:yVal>
            <c:numRef>
              <c:f>'2016 E Maize Profile WC'!$E$2:$E$18</c:f>
              <c:numCache>
                <c:formatCode>General</c:formatCode>
                <c:ptCount val="17"/>
                <c:pt idx="0">
                  <c:v>#N/A</c:v>
                </c:pt>
                <c:pt idx="1">
                  <c:v>#N/A</c:v>
                </c:pt>
                <c:pt idx="2">
                  <c:v>478.26975738293748</c:v>
                </c:pt>
                <c:pt idx="3">
                  <c:v>483.86715530975209</c:v>
                </c:pt>
                <c:pt idx="4">
                  <c:v>473.40160216054375</c:v>
                </c:pt>
                <c:pt idx="5">
                  <c:v>451.61177011672822</c:v>
                </c:pt>
                <c:pt idx="6">
                  <c:v>441.03425173782557</c:v>
                </c:pt>
                <c:pt idx="7">
                  <c:v>442.23594561496151</c:v>
                </c:pt>
                <c:pt idx="8">
                  <c:v>434.80188926401905</c:v>
                </c:pt>
                <c:pt idx="9">
                  <c:v>458.35753456702736</c:v>
                </c:pt>
                <c:pt idx="10">
                  <c:v>477.94907941387925</c:v>
                </c:pt>
                <c:pt idx="11">
                  <c:v>478.39261704080593</c:v>
                </c:pt>
                <c:pt idx="12">
                  <c:v>480.50244371356598</c:v>
                </c:pt>
                <c:pt idx="13">
                  <c:v>466.27337076794277</c:v>
                </c:pt>
                <c:pt idx="14">
                  <c:v>450.87921330503144</c:v>
                </c:pt>
                <c:pt idx="15">
                  <c:v>439.65244110982309</c:v>
                </c:pt>
                <c:pt idx="16">
                  <c:v>433.69470290427108</c:v>
                </c:pt>
              </c:numCache>
            </c:numRef>
          </c:yVal>
          <c:smooth val="0"/>
          <c:extLst>
            <c:ext xmlns:c16="http://schemas.microsoft.com/office/drawing/2014/chart" uri="{C3380CC4-5D6E-409C-BE32-E72D297353CC}">
              <c16:uniqueId val="{00000001-AB4D-4D1A-BDD1-98B595F74030}"/>
            </c:ext>
          </c:extLst>
        </c:ser>
        <c:ser>
          <c:idx val="2"/>
          <c:order val="2"/>
          <c:tx>
            <c:strRef>
              <c:f>'2016 E Maize Profile WC'!$F$1</c:f>
              <c:strCache>
                <c:ptCount val="1"/>
                <c:pt idx="0">
                  <c:v>Water (mm) stored in top 1.5 m of soil in SE Lys</c:v>
                </c:pt>
              </c:strCache>
            </c:strRef>
          </c:tx>
          <c:spPr>
            <a:ln w="19050" cap="rnd">
              <a:solidFill>
                <a:schemeClr val="accent3"/>
              </a:solidFill>
              <a:round/>
            </a:ln>
            <a:effectLst/>
          </c:spPr>
          <c:marker>
            <c:symbol val="circle"/>
            <c:size val="7"/>
            <c:spPr>
              <a:noFill/>
              <a:ln w="12700">
                <a:solidFill>
                  <a:schemeClr val="tx1"/>
                </a:solidFill>
              </a:ln>
              <a:effectLst/>
            </c:spPr>
          </c:marker>
          <c:xVal>
            <c:numRef>
              <c:f>'2016 E Maize Profile WC'!$C$2:$C$18</c:f>
              <c:numCache>
                <c:formatCode>General</c:formatCode>
                <c:ptCount val="17"/>
                <c:pt idx="0">
                  <c:v>127</c:v>
                </c:pt>
                <c:pt idx="1">
                  <c:v>146</c:v>
                </c:pt>
                <c:pt idx="2">
                  <c:v>161</c:v>
                </c:pt>
                <c:pt idx="3">
                  <c:v>167</c:v>
                </c:pt>
                <c:pt idx="4">
                  <c:v>173</c:v>
                </c:pt>
                <c:pt idx="5">
                  <c:v>180</c:v>
                </c:pt>
                <c:pt idx="6">
                  <c:v>193</c:v>
                </c:pt>
                <c:pt idx="7">
                  <c:v>200</c:v>
                </c:pt>
                <c:pt idx="8">
                  <c:v>208</c:v>
                </c:pt>
                <c:pt idx="9">
                  <c:v>215</c:v>
                </c:pt>
                <c:pt idx="10">
                  <c:v>224</c:v>
                </c:pt>
                <c:pt idx="11">
                  <c:v>236</c:v>
                </c:pt>
                <c:pt idx="12">
                  <c:v>256</c:v>
                </c:pt>
                <c:pt idx="13">
                  <c:v>263</c:v>
                </c:pt>
                <c:pt idx="14">
                  <c:v>270</c:v>
                </c:pt>
                <c:pt idx="15">
                  <c:v>286</c:v>
                </c:pt>
                <c:pt idx="16">
                  <c:v>302</c:v>
                </c:pt>
              </c:numCache>
            </c:numRef>
          </c:xVal>
          <c:yVal>
            <c:numRef>
              <c:f>'2016 E Maize Profile WC'!$F$2:$F$18</c:f>
              <c:numCache>
                <c:formatCode>General</c:formatCode>
                <c:ptCount val="17"/>
                <c:pt idx="0">
                  <c:v>470.92207128972211</c:v>
                </c:pt>
                <c:pt idx="1">
                  <c:v>469.63694256885532</c:v>
                </c:pt>
                <c:pt idx="2">
                  <c:v>466.67061003600219</c:v>
                </c:pt>
                <c:pt idx="3">
                  <c:v>467.75502413589396</c:v>
                </c:pt>
                <c:pt idx="4">
                  <c:v>453.1180995296321</c:v>
                </c:pt>
                <c:pt idx="5">
                  <c:v>435.97058877971835</c:v>
                </c:pt>
                <c:pt idx="6">
                  <c:v>425.65229484768781</c:v>
                </c:pt>
                <c:pt idx="7">
                  <c:v>424.69098325178061</c:v>
                </c:pt>
                <c:pt idx="8">
                  <c:v>415.2454735863883</c:v>
                </c:pt>
                <c:pt idx="9">
                  <c:v>448.34886946565314</c:v>
                </c:pt>
                <c:pt idx="10">
                  <c:v>473.85544939420618</c:v>
                </c:pt>
                <c:pt idx="11">
                  <c:v>475.28822357301289</c:v>
                </c:pt>
                <c:pt idx="12">
                  <c:v>477.34039483152588</c:v>
                </c:pt>
                <c:pt idx="13">
                  <c:v>467.67266822229897</c:v>
                </c:pt>
                <c:pt idx="14">
                  <c:v>457.62337783196057</c:v>
                </c:pt>
                <c:pt idx="15">
                  <c:v>447.11625720989338</c:v>
                </c:pt>
                <c:pt idx="16">
                  <c:v>#N/A</c:v>
                </c:pt>
              </c:numCache>
            </c:numRef>
          </c:yVal>
          <c:smooth val="0"/>
          <c:extLst>
            <c:ext xmlns:c16="http://schemas.microsoft.com/office/drawing/2014/chart" uri="{C3380CC4-5D6E-409C-BE32-E72D297353CC}">
              <c16:uniqueId val="{00000002-AB4D-4D1A-BDD1-98B595F74030}"/>
            </c:ext>
          </c:extLst>
        </c:ser>
        <c:ser>
          <c:idx val="3"/>
          <c:order val="3"/>
          <c:tx>
            <c:strRef>
              <c:f>'2016 E Maize Profile WC'!$G$1</c:f>
              <c:strCache>
                <c:ptCount val="1"/>
                <c:pt idx="0">
                  <c:v>Water (mm) stored in top 1.5 m of soil in SE Field</c:v>
                </c:pt>
              </c:strCache>
            </c:strRef>
          </c:tx>
          <c:spPr>
            <a:ln w="19050" cap="rnd">
              <a:solidFill>
                <a:schemeClr val="accent4"/>
              </a:solidFill>
              <a:round/>
            </a:ln>
            <a:effectLst/>
          </c:spPr>
          <c:marker>
            <c:symbol val="triangle"/>
            <c:size val="7"/>
            <c:spPr>
              <a:noFill/>
              <a:ln w="12700">
                <a:solidFill>
                  <a:schemeClr val="tx1"/>
                </a:solidFill>
              </a:ln>
              <a:effectLst/>
            </c:spPr>
          </c:marker>
          <c:xVal>
            <c:numRef>
              <c:f>'2016 E Maize Profile WC'!$C$2:$C$18</c:f>
              <c:numCache>
                <c:formatCode>General</c:formatCode>
                <c:ptCount val="17"/>
                <c:pt idx="0">
                  <c:v>127</c:v>
                </c:pt>
                <c:pt idx="1">
                  <c:v>146</c:v>
                </c:pt>
                <c:pt idx="2">
                  <c:v>161</c:v>
                </c:pt>
                <c:pt idx="3">
                  <c:v>167</c:v>
                </c:pt>
                <c:pt idx="4">
                  <c:v>173</c:v>
                </c:pt>
                <c:pt idx="5">
                  <c:v>180</c:v>
                </c:pt>
                <c:pt idx="6">
                  <c:v>193</c:v>
                </c:pt>
                <c:pt idx="7">
                  <c:v>200</c:v>
                </c:pt>
                <c:pt idx="8">
                  <c:v>208</c:v>
                </c:pt>
                <c:pt idx="9">
                  <c:v>215</c:v>
                </c:pt>
                <c:pt idx="10">
                  <c:v>224</c:v>
                </c:pt>
                <c:pt idx="11">
                  <c:v>236</c:v>
                </c:pt>
                <c:pt idx="12">
                  <c:v>256</c:v>
                </c:pt>
                <c:pt idx="13">
                  <c:v>263</c:v>
                </c:pt>
                <c:pt idx="14">
                  <c:v>270</c:v>
                </c:pt>
                <c:pt idx="15">
                  <c:v>286</c:v>
                </c:pt>
                <c:pt idx="16">
                  <c:v>302</c:v>
                </c:pt>
              </c:numCache>
            </c:numRef>
          </c:xVal>
          <c:yVal>
            <c:numRef>
              <c:f>'2016 E Maize Profile WC'!$G$2:$G$18</c:f>
              <c:numCache>
                <c:formatCode>General</c:formatCode>
                <c:ptCount val="17"/>
                <c:pt idx="0">
                  <c:v>#N/A</c:v>
                </c:pt>
                <c:pt idx="1">
                  <c:v>#N/A</c:v>
                </c:pt>
                <c:pt idx="2">
                  <c:v>461.33498111352918</c:v>
                </c:pt>
                <c:pt idx="3">
                  <c:v>463.15942854712603</c:v>
                </c:pt>
                <c:pt idx="4">
                  <c:v>452.6032934304535</c:v>
                </c:pt>
                <c:pt idx="5">
                  <c:v>433.45411122710851</c:v>
                </c:pt>
                <c:pt idx="6">
                  <c:v>422.07789346235933</c:v>
                </c:pt>
                <c:pt idx="7">
                  <c:v>423.94435528411572</c:v>
                </c:pt>
                <c:pt idx="8">
                  <c:v>415.59231107259512</c:v>
                </c:pt>
                <c:pt idx="9">
                  <c:v>440.33287504778917</c:v>
                </c:pt>
                <c:pt idx="10">
                  <c:v>452.18308211431503</c:v>
                </c:pt>
                <c:pt idx="11">
                  <c:v>452.22585049461094</c:v>
                </c:pt>
                <c:pt idx="12">
                  <c:v>452.27110444188378</c:v>
                </c:pt>
                <c:pt idx="13">
                  <c:v>437.19299459188335</c:v>
                </c:pt>
                <c:pt idx="14">
                  <c:v>422.2202984995875</c:v>
                </c:pt>
                <c:pt idx="15">
                  <c:v>416.82060489678668</c:v>
                </c:pt>
                <c:pt idx="16">
                  <c:v>#N/A</c:v>
                </c:pt>
              </c:numCache>
            </c:numRef>
          </c:yVal>
          <c:smooth val="0"/>
          <c:extLst>
            <c:ext xmlns:c16="http://schemas.microsoft.com/office/drawing/2014/chart" uri="{C3380CC4-5D6E-409C-BE32-E72D297353CC}">
              <c16:uniqueId val="{00000003-AB4D-4D1A-BDD1-98B595F74030}"/>
            </c:ext>
          </c:extLst>
        </c:ser>
        <c:ser>
          <c:idx val="4"/>
          <c:order val="4"/>
          <c:tx>
            <c:strRef>
              <c:f>'2016 E Maize Profile WC'!$H$1</c:f>
              <c:strCache>
                <c:ptCount val="1"/>
                <c:pt idx="0">
                  <c:v>FC</c:v>
                </c:pt>
              </c:strCache>
            </c:strRef>
          </c:tx>
          <c:spPr>
            <a:ln w="19050" cap="rnd">
              <a:solidFill>
                <a:schemeClr val="tx1"/>
              </a:solidFill>
              <a:prstDash val="dash"/>
              <a:round/>
            </a:ln>
            <a:effectLst/>
          </c:spPr>
          <c:marker>
            <c:symbol val="none"/>
          </c:marker>
          <c:xVal>
            <c:numRef>
              <c:f>'2016 E Maize Profile WC'!$C$2:$C$18</c:f>
              <c:numCache>
                <c:formatCode>General</c:formatCode>
                <c:ptCount val="17"/>
                <c:pt idx="0">
                  <c:v>127</c:v>
                </c:pt>
                <c:pt idx="1">
                  <c:v>146</c:v>
                </c:pt>
                <c:pt idx="2">
                  <c:v>161</c:v>
                </c:pt>
                <c:pt idx="3">
                  <c:v>167</c:v>
                </c:pt>
                <c:pt idx="4">
                  <c:v>173</c:v>
                </c:pt>
                <c:pt idx="5">
                  <c:v>180</c:v>
                </c:pt>
                <c:pt idx="6">
                  <c:v>193</c:v>
                </c:pt>
                <c:pt idx="7">
                  <c:v>200</c:v>
                </c:pt>
                <c:pt idx="8">
                  <c:v>208</c:v>
                </c:pt>
                <c:pt idx="9">
                  <c:v>215</c:v>
                </c:pt>
                <c:pt idx="10">
                  <c:v>224</c:v>
                </c:pt>
                <c:pt idx="11">
                  <c:v>236</c:v>
                </c:pt>
                <c:pt idx="12">
                  <c:v>256</c:v>
                </c:pt>
                <c:pt idx="13">
                  <c:v>263</c:v>
                </c:pt>
                <c:pt idx="14">
                  <c:v>270</c:v>
                </c:pt>
                <c:pt idx="15">
                  <c:v>286</c:v>
                </c:pt>
                <c:pt idx="16">
                  <c:v>302</c:v>
                </c:pt>
              </c:numCache>
            </c:numRef>
          </c:xVal>
          <c:yVal>
            <c:numRef>
              <c:f>'2016 E Maize Profile WC'!$H$2:$H$18</c:f>
              <c:numCache>
                <c:formatCode>General</c:formatCode>
                <c:ptCount val="17"/>
                <c:pt idx="0">
                  <c:v>495</c:v>
                </c:pt>
                <c:pt idx="1">
                  <c:v>495</c:v>
                </c:pt>
                <c:pt idx="2">
                  <c:v>495</c:v>
                </c:pt>
                <c:pt idx="3">
                  <c:v>495</c:v>
                </c:pt>
                <c:pt idx="4">
                  <c:v>495</c:v>
                </c:pt>
                <c:pt idx="5">
                  <c:v>495</c:v>
                </c:pt>
                <c:pt idx="6">
                  <c:v>495</c:v>
                </c:pt>
                <c:pt idx="7">
                  <c:v>495</c:v>
                </c:pt>
                <c:pt idx="8">
                  <c:v>495</c:v>
                </c:pt>
                <c:pt idx="9">
                  <c:v>495</c:v>
                </c:pt>
                <c:pt idx="10">
                  <c:v>495</c:v>
                </c:pt>
                <c:pt idx="11">
                  <c:v>495</c:v>
                </c:pt>
                <c:pt idx="12">
                  <c:v>495</c:v>
                </c:pt>
                <c:pt idx="13">
                  <c:v>495</c:v>
                </c:pt>
                <c:pt idx="14">
                  <c:v>495</c:v>
                </c:pt>
                <c:pt idx="15">
                  <c:v>495</c:v>
                </c:pt>
                <c:pt idx="16">
                  <c:v>495</c:v>
                </c:pt>
              </c:numCache>
            </c:numRef>
          </c:yVal>
          <c:smooth val="0"/>
          <c:extLst>
            <c:ext xmlns:c16="http://schemas.microsoft.com/office/drawing/2014/chart" uri="{C3380CC4-5D6E-409C-BE32-E72D297353CC}">
              <c16:uniqueId val="{00000004-AB4D-4D1A-BDD1-98B595F74030}"/>
            </c:ext>
          </c:extLst>
        </c:ser>
        <c:ser>
          <c:idx val="5"/>
          <c:order val="5"/>
          <c:tx>
            <c:strRef>
              <c:f>'2016 E Maize Profile WC'!$I$1</c:f>
              <c:strCache>
                <c:ptCount val="1"/>
                <c:pt idx="0">
                  <c:v>PWP</c:v>
                </c:pt>
              </c:strCache>
            </c:strRef>
          </c:tx>
          <c:spPr>
            <a:ln w="19050" cap="rnd">
              <a:solidFill>
                <a:schemeClr val="tx1"/>
              </a:solidFill>
              <a:prstDash val="sysDash"/>
              <a:round/>
            </a:ln>
            <a:effectLst/>
          </c:spPr>
          <c:marker>
            <c:symbol val="none"/>
          </c:marker>
          <c:xVal>
            <c:numRef>
              <c:f>'2016 E Maize Profile WC'!$C$2:$C$18</c:f>
              <c:numCache>
                <c:formatCode>General</c:formatCode>
                <c:ptCount val="17"/>
                <c:pt idx="0">
                  <c:v>127</c:v>
                </c:pt>
                <c:pt idx="1">
                  <c:v>146</c:v>
                </c:pt>
                <c:pt idx="2">
                  <c:v>161</c:v>
                </c:pt>
                <c:pt idx="3">
                  <c:v>167</c:v>
                </c:pt>
                <c:pt idx="4">
                  <c:v>173</c:v>
                </c:pt>
                <c:pt idx="5">
                  <c:v>180</c:v>
                </c:pt>
                <c:pt idx="6">
                  <c:v>193</c:v>
                </c:pt>
                <c:pt idx="7">
                  <c:v>200</c:v>
                </c:pt>
                <c:pt idx="8">
                  <c:v>208</c:v>
                </c:pt>
                <c:pt idx="9">
                  <c:v>215</c:v>
                </c:pt>
                <c:pt idx="10">
                  <c:v>224</c:v>
                </c:pt>
                <c:pt idx="11">
                  <c:v>236</c:v>
                </c:pt>
                <c:pt idx="12">
                  <c:v>256</c:v>
                </c:pt>
                <c:pt idx="13">
                  <c:v>263</c:v>
                </c:pt>
                <c:pt idx="14">
                  <c:v>270</c:v>
                </c:pt>
                <c:pt idx="15">
                  <c:v>286</c:v>
                </c:pt>
                <c:pt idx="16">
                  <c:v>302</c:v>
                </c:pt>
              </c:numCache>
            </c:numRef>
          </c:xVal>
          <c:yVal>
            <c:numRef>
              <c:f>'2016 E Maize Profile WC'!$I$2:$I$18</c:f>
              <c:numCache>
                <c:formatCode>General</c:formatCode>
                <c:ptCount val="17"/>
                <c:pt idx="0">
                  <c:v>270</c:v>
                </c:pt>
                <c:pt idx="1">
                  <c:v>270</c:v>
                </c:pt>
                <c:pt idx="2">
                  <c:v>270</c:v>
                </c:pt>
                <c:pt idx="3">
                  <c:v>270</c:v>
                </c:pt>
                <c:pt idx="4">
                  <c:v>270</c:v>
                </c:pt>
                <c:pt idx="5">
                  <c:v>270</c:v>
                </c:pt>
                <c:pt idx="6">
                  <c:v>270</c:v>
                </c:pt>
                <c:pt idx="7">
                  <c:v>270</c:v>
                </c:pt>
                <c:pt idx="8">
                  <c:v>270</c:v>
                </c:pt>
                <c:pt idx="9">
                  <c:v>270</c:v>
                </c:pt>
                <c:pt idx="10">
                  <c:v>270</c:v>
                </c:pt>
                <c:pt idx="11">
                  <c:v>270</c:v>
                </c:pt>
                <c:pt idx="12">
                  <c:v>270</c:v>
                </c:pt>
                <c:pt idx="13">
                  <c:v>270</c:v>
                </c:pt>
                <c:pt idx="14">
                  <c:v>270</c:v>
                </c:pt>
                <c:pt idx="15">
                  <c:v>270</c:v>
                </c:pt>
                <c:pt idx="16">
                  <c:v>270</c:v>
                </c:pt>
              </c:numCache>
            </c:numRef>
          </c:yVal>
          <c:smooth val="0"/>
          <c:extLst>
            <c:ext xmlns:c16="http://schemas.microsoft.com/office/drawing/2014/chart" uri="{C3380CC4-5D6E-409C-BE32-E72D297353CC}">
              <c16:uniqueId val="{00000005-AB4D-4D1A-BDD1-98B595F74030}"/>
            </c:ext>
          </c:extLst>
        </c:ser>
        <c:ser>
          <c:idx val="6"/>
          <c:order val="6"/>
          <c:tx>
            <c:strRef>
              <c:f>'2016 E Maize Profile WC'!$J$1</c:f>
              <c:strCache>
                <c:ptCount val="1"/>
                <c:pt idx="0">
                  <c:v>MAD</c:v>
                </c:pt>
              </c:strCache>
            </c:strRef>
          </c:tx>
          <c:spPr>
            <a:ln w="19050" cap="rnd">
              <a:solidFill>
                <a:schemeClr val="tx1"/>
              </a:solidFill>
              <a:prstDash val="dashDot"/>
              <a:round/>
            </a:ln>
            <a:effectLst/>
          </c:spPr>
          <c:marker>
            <c:symbol val="none"/>
          </c:marker>
          <c:xVal>
            <c:numRef>
              <c:f>'2016 E Maize Profile WC'!$C$2:$C$18</c:f>
              <c:numCache>
                <c:formatCode>General</c:formatCode>
                <c:ptCount val="17"/>
                <c:pt idx="0">
                  <c:v>127</c:v>
                </c:pt>
                <c:pt idx="1">
                  <c:v>146</c:v>
                </c:pt>
                <c:pt idx="2">
                  <c:v>161</c:v>
                </c:pt>
                <c:pt idx="3">
                  <c:v>167</c:v>
                </c:pt>
                <c:pt idx="4">
                  <c:v>173</c:v>
                </c:pt>
                <c:pt idx="5">
                  <c:v>180</c:v>
                </c:pt>
                <c:pt idx="6">
                  <c:v>193</c:v>
                </c:pt>
                <c:pt idx="7">
                  <c:v>200</c:v>
                </c:pt>
                <c:pt idx="8">
                  <c:v>208</c:v>
                </c:pt>
                <c:pt idx="9">
                  <c:v>215</c:v>
                </c:pt>
                <c:pt idx="10">
                  <c:v>224</c:v>
                </c:pt>
                <c:pt idx="11">
                  <c:v>236</c:v>
                </c:pt>
                <c:pt idx="12">
                  <c:v>256</c:v>
                </c:pt>
                <c:pt idx="13">
                  <c:v>263</c:v>
                </c:pt>
                <c:pt idx="14">
                  <c:v>270</c:v>
                </c:pt>
                <c:pt idx="15">
                  <c:v>286</c:v>
                </c:pt>
                <c:pt idx="16">
                  <c:v>302</c:v>
                </c:pt>
              </c:numCache>
            </c:numRef>
          </c:xVal>
          <c:yVal>
            <c:numRef>
              <c:f>'2016 E Maize Profile WC'!$J$2:$J$18</c:f>
              <c:numCache>
                <c:formatCode>General</c:formatCode>
                <c:ptCount val="17"/>
                <c:pt idx="0">
                  <c:v>360</c:v>
                </c:pt>
                <c:pt idx="1">
                  <c:v>360</c:v>
                </c:pt>
                <c:pt idx="2">
                  <c:v>360</c:v>
                </c:pt>
                <c:pt idx="3">
                  <c:v>360</c:v>
                </c:pt>
                <c:pt idx="4">
                  <c:v>360</c:v>
                </c:pt>
                <c:pt idx="5">
                  <c:v>360</c:v>
                </c:pt>
                <c:pt idx="6">
                  <c:v>360</c:v>
                </c:pt>
                <c:pt idx="7">
                  <c:v>360</c:v>
                </c:pt>
                <c:pt idx="8">
                  <c:v>360</c:v>
                </c:pt>
                <c:pt idx="9">
                  <c:v>360</c:v>
                </c:pt>
                <c:pt idx="10">
                  <c:v>360</c:v>
                </c:pt>
                <c:pt idx="11">
                  <c:v>360</c:v>
                </c:pt>
                <c:pt idx="12">
                  <c:v>360</c:v>
                </c:pt>
                <c:pt idx="13">
                  <c:v>360</c:v>
                </c:pt>
                <c:pt idx="14">
                  <c:v>360</c:v>
                </c:pt>
                <c:pt idx="15">
                  <c:v>360</c:v>
                </c:pt>
                <c:pt idx="16">
                  <c:v>360</c:v>
                </c:pt>
              </c:numCache>
            </c:numRef>
          </c:yVal>
          <c:smooth val="0"/>
          <c:extLst>
            <c:ext xmlns:c16="http://schemas.microsoft.com/office/drawing/2014/chart" uri="{C3380CC4-5D6E-409C-BE32-E72D297353CC}">
              <c16:uniqueId val="{00000006-AB4D-4D1A-BDD1-98B595F74030}"/>
            </c:ext>
          </c:extLst>
        </c:ser>
        <c:dLbls>
          <c:showLegendKey val="0"/>
          <c:showVal val="0"/>
          <c:showCatName val="0"/>
          <c:showSerName val="0"/>
          <c:showPercent val="0"/>
          <c:showBubbleSize val="0"/>
        </c:dLbls>
        <c:axId val="-1232588752"/>
        <c:axId val="-1232599088"/>
      </c:scatterChart>
      <c:valAx>
        <c:axId val="-1232588752"/>
        <c:scaling>
          <c:orientation val="minMax"/>
          <c:max val="310"/>
          <c:min val="120"/>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Day of year, 2016</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99088"/>
        <c:crosses val="autoZero"/>
        <c:crossBetween val="midCat"/>
      </c:valAx>
      <c:valAx>
        <c:axId val="-123259908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Water storage to 1.5-m (mm)</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88752"/>
        <c:crosses val="autoZero"/>
        <c:crossBetween val="midCat"/>
      </c:valAx>
      <c:spPr>
        <a:noFill/>
        <a:ln w="12700">
          <a:solidFill>
            <a:schemeClr val="tx1"/>
          </a:solidFill>
        </a:ln>
        <a:effectLst/>
      </c:spPr>
    </c:plotArea>
    <c:legend>
      <c:legendPos val="r"/>
      <c:layout>
        <c:manualLayout>
          <c:xMode val="edge"/>
          <c:yMode val="edge"/>
          <c:x val="0.15246001476377954"/>
          <c:y val="0.53772652119108821"/>
          <c:w val="0.77558086402152393"/>
          <c:h val="0.3252489618631350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orientation="landscape"/>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Graphs'!$AC$6:$AC$17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CEE8-4F10-B146-47AA8368BA1B}"/>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Graphs'!$AC$19:$AC$30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CEE8-4F10-B146-47AA8368BA1B}"/>
            </c:ext>
          </c:extLst>
        </c:ser>
        <c:ser>
          <c:idx val="0"/>
          <c:order val="2"/>
          <c:tx>
            <c:strRef>
              <c:f>'2016 E Maize VWC Graphs'!$Z$32</c:f>
              <c:strCache>
                <c:ptCount val="1"/>
                <c:pt idx="0">
                  <c:v>161</c:v>
                </c:pt>
              </c:strCache>
            </c:strRef>
          </c:tx>
          <c:xVal>
            <c:numRef>
              <c:f>'2016 E Maize VWC Graphs'!$AC$32:$AC$43</c:f>
              <c:numCache>
                <c:formatCode>General</c:formatCode>
                <c:ptCount val="12"/>
                <c:pt idx="0">
                  <c:v>0.21421761846695719</c:v>
                </c:pt>
                <c:pt idx="1">
                  <c:v>0.31243295271799104</c:v>
                </c:pt>
                <c:pt idx="2">
                  <c:v>0.35048993137309542</c:v>
                </c:pt>
                <c:pt idx="3">
                  <c:v>0.34384942366552607</c:v>
                </c:pt>
                <c:pt idx="4">
                  <c:v>0.34149089851421693</c:v>
                </c:pt>
                <c:pt idx="5">
                  <c:v>0.33842252598727113</c:v>
                </c:pt>
                <c:pt idx="6">
                  <c:v>0.31420694214028561</c:v>
                </c:pt>
                <c:pt idx="7">
                  <c:v>0.33532593012472556</c:v>
                </c:pt>
                <c:pt idx="8">
                  <c:v>0.27665991188960848</c:v>
                </c:pt>
                <c:pt idx="9">
                  <c:v>0.28181800572912608</c:v>
                </c:pt>
                <c:pt idx="10">
                  <c:v>0.29951124082392416</c:v>
                </c:pt>
                <c:pt idx="11">
                  <c:v>0.29133614870091512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CEE8-4F10-B146-47AA8368BA1B}"/>
            </c:ext>
          </c:extLst>
        </c:ser>
        <c:ser>
          <c:idx val="1"/>
          <c:order val="3"/>
          <c:tx>
            <c:strRef>
              <c:f>'2016 E Maize VWC Graphs'!$Z$45</c:f>
              <c:strCache>
                <c:ptCount val="1"/>
                <c:pt idx="0">
                  <c:v>167</c:v>
                </c:pt>
              </c:strCache>
            </c:strRef>
          </c:tx>
          <c:marker>
            <c:symbol val="square"/>
            <c:size val="5"/>
          </c:marker>
          <c:xVal>
            <c:numRef>
              <c:f>'2016 E Maize VWC Graphs'!$AC$45:$AC$56</c:f>
              <c:numCache>
                <c:formatCode>General</c:formatCode>
                <c:ptCount val="12"/>
                <c:pt idx="0">
                  <c:v>0.23742713048809033</c:v>
                </c:pt>
                <c:pt idx="1">
                  <c:v>0.32429427338185629</c:v>
                </c:pt>
                <c:pt idx="2">
                  <c:v>0.34895574510962246</c:v>
                </c:pt>
                <c:pt idx="3">
                  <c:v>0.3491618298315815</c:v>
                </c:pt>
                <c:pt idx="4">
                  <c:v>0.34199466116789462</c:v>
                </c:pt>
                <c:pt idx="5">
                  <c:v>0.34011700036782327</c:v>
                </c:pt>
                <c:pt idx="6">
                  <c:v>0.31498552234247695</c:v>
                </c:pt>
                <c:pt idx="7">
                  <c:v>0.33947186970139442</c:v>
                </c:pt>
                <c:pt idx="8">
                  <c:v>0.2843483913862479</c:v>
                </c:pt>
                <c:pt idx="9">
                  <c:v>0.2872680671444654</c:v>
                </c:pt>
                <c:pt idx="10">
                  <c:v>0.3039880769865243</c:v>
                </c:pt>
                <c:pt idx="11">
                  <c:v>0.29497601114615962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CEE8-4F10-B146-47AA8368BA1B}"/>
            </c:ext>
          </c:extLst>
        </c:ser>
        <c:ser>
          <c:idx val="2"/>
          <c:order val="4"/>
          <c:tx>
            <c:strRef>
              <c:f>'2016 E Maize VWC Graphs'!$Z$58</c:f>
              <c:strCache>
                <c:ptCount val="1"/>
                <c:pt idx="0">
                  <c:v>173</c:v>
                </c:pt>
              </c:strCache>
            </c:strRef>
          </c:tx>
          <c:marker>
            <c:spPr>
              <a:solidFill>
                <a:srgbClr val="00B050"/>
              </a:solidFill>
            </c:spPr>
          </c:marker>
          <c:xVal>
            <c:numRef>
              <c:f>'2016 E Maize VWC Graphs'!$AC$58:$AC$69</c:f>
              <c:numCache>
                <c:formatCode>General</c:formatCode>
                <c:ptCount val="12"/>
                <c:pt idx="0">
                  <c:v>0.18721018629691144</c:v>
                </c:pt>
                <c:pt idx="1">
                  <c:v>0.27547509258000158</c:v>
                </c:pt>
                <c:pt idx="2">
                  <c:v>0.3493221179486608</c:v>
                </c:pt>
                <c:pt idx="3">
                  <c:v>0.35266527010488535</c:v>
                </c:pt>
                <c:pt idx="4">
                  <c:v>0.34547520313875857</c:v>
                </c:pt>
                <c:pt idx="5">
                  <c:v>0.34682620298271233</c:v>
                </c:pt>
                <c:pt idx="6">
                  <c:v>0.31558892199917521</c:v>
                </c:pt>
                <c:pt idx="7">
                  <c:v>0.34447424750047378</c:v>
                </c:pt>
                <c:pt idx="8">
                  <c:v>0.28857218898313591</c:v>
                </c:pt>
                <c:pt idx="9">
                  <c:v>0.29398332138836569</c:v>
                </c:pt>
                <c:pt idx="10">
                  <c:v>0.3069466817548514</c:v>
                </c:pt>
                <c:pt idx="11">
                  <c:v>0.29855748007623978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CEE8-4F10-B146-47AA8368BA1B}"/>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Graphs'!$AC$71:$AC$82</c:f>
              <c:numCache>
                <c:formatCode>General</c:formatCode>
                <c:ptCount val="12"/>
                <c:pt idx="0">
                  <c:v>0.17604660282889534</c:v>
                </c:pt>
                <c:pt idx="1">
                  <c:v>0.23760130034441634</c:v>
                </c:pt>
                <c:pt idx="2">
                  <c:v>0.32243951088422484</c:v>
                </c:pt>
                <c:pt idx="3">
                  <c:v>0.33975062752878499</c:v>
                </c:pt>
                <c:pt idx="4">
                  <c:v>0.34080394944102016</c:v>
                </c:pt>
                <c:pt idx="5">
                  <c:v>0.34389522027040587</c:v>
                </c:pt>
                <c:pt idx="6">
                  <c:v>0.31358407797853255</c:v>
                </c:pt>
                <c:pt idx="7">
                  <c:v>0.34268351303543365</c:v>
                </c:pt>
                <c:pt idx="8">
                  <c:v>0.28481553950756272</c:v>
                </c:pt>
                <c:pt idx="9">
                  <c:v>0.29114150365036734</c:v>
                </c:pt>
                <c:pt idx="10">
                  <c:v>0.30283967118829214</c:v>
                </c:pt>
                <c:pt idx="11">
                  <c:v>0.29466457906528309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CEE8-4F10-B146-47AA8368BA1B}"/>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Graphs'!$AC$84:$AC$95</c:f>
              <c:numCache>
                <c:formatCode>General</c:formatCode>
                <c:ptCount val="12"/>
                <c:pt idx="0">
                  <c:v>0.1686042138502179</c:v>
                </c:pt>
                <c:pt idx="1">
                  <c:v>0.24543251977886021</c:v>
                </c:pt>
                <c:pt idx="2">
                  <c:v>0.30796778374221162</c:v>
                </c:pt>
                <c:pt idx="3">
                  <c:v>0.32724815439660271</c:v>
                </c:pt>
                <c:pt idx="4">
                  <c:v>0.34155959342153663</c:v>
                </c:pt>
                <c:pt idx="5">
                  <c:v>0.34146800021177703</c:v>
                </c:pt>
                <c:pt idx="6">
                  <c:v>0.31679572131257183</c:v>
                </c:pt>
                <c:pt idx="7">
                  <c:v>0.34211904238884494</c:v>
                </c:pt>
                <c:pt idx="8">
                  <c:v>0.28290801801219395</c:v>
                </c:pt>
                <c:pt idx="9">
                  <c:v>0.29028506542795685</c:v>
                </c:pt>
                <c:pt idx="10">
                  <c:v>0.30653792714870098</c:v>
                </c:pt>
                <c:pt idx="11">
                  <c:v>0.30248931009730601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CEE8-4F10-B146-47AA8368BA1B}"/>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Graphs'!$AC$97:$AC$108</c:f>
              <c:numCache>
                <c:formatCode>General</c:formatCode>
                <c:ptCount val="12"/>
                <c:pt idx="0">
                  <c:v>0.17761947885016216</c:v>
                </c:pt>
                <c:pt idx="1">
                  <c:v>0.25869063689155902</c:v>
                </c:pt>
                <c:pt idx="2">
                  <c:v>0.30801358034709142</c:v>
                </c:pt>
                <c:pt idx="3">
                  <c:v>0.32216473125494616</c:v>
                </c:pt>
                <c:pt idx="4">
                  <c:v>0.33819354296287213</c:v>
                </c:pt>
                <c:pt idx="5">
                  <c:v>0.34050627150930146</c:v>
                </c:pt>
                <c:pt idx="6">
                  <c:v>0.31829448820179013</c:v>
                </c:pt>
                <c:pt idx="7">
                  <c:v>0.34100956560072232</c:v>
                </c:pt>
                <c:pt idx="8">
                  <c:v>0.28569144223502796</c:v>
                </c:pt>
                <c:pt idx="9">
                  <c:v>0.2902072074077377</c:v>
                </c:pt>
                <c:pt idx="10">
                  <c:v>0.30967171246252106</c:v>
                </c:pt>
                <c:pt idx="11">
                  <c:v>0.30295645821862083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CEE8-4F10-B146-47AA8368BA1B}"/>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Graphs'!$AC$110:$AC$121</c:f>
              <c:numCache>
                <c:formatCode>General</c:formatCode>
                <c:ptCount val="12"/>
                <c:pt idx="0">
                  <c:v>0.14318883911633246</c:v>
                </c:pt>
                <c:pt idx="1">
                  <c:v>0.24733307888137146</c:v>
                </c:pt>
                <c:pt idx="2">
                  <c:v>0.30954776661056438</c:v>
                </c:pt>
                <c:pt idx="3">
                  <c:v>0.31513495240589856</c:v>
                </c:pt>
                <c:pt idx="4">
                  <c:v>0.32230212106958545</c:v>
                </c:pt>
                <c:pt idx="5">
                  <c:v>0.34245262721669251</c:v>
                </c:pt>
                <c:pt idx="6">
                  <c:v>0.31732126294905094</c:v>
                </c:pt>
                <c:pt idx="7">
                  <c:v>0.34188546832818761</c:v>
                </c:pt>
                <c:pt idx="8">
                  <c:v>0.28380338524471399</c:v>
                </c:pt>
                <c:pt idx="9">
                  <c:v>0.29265973504464038</c:v>
                </c:pt>
                <c:pt idx="10">
                  <c:v>0.30548684387574265</c:v>
                </c:pt>
                <c:pt idx="11">
                  <c:v>0.29976427938963635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CEE8-4F10-B146-47AA8368BA1B}"/>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Graphs'!$AC$123:$AC$134</c:f>
              <c:numCache>
                <c:formatCode>General</c:formatCode>
                <c:ptCount val="12"/>
                <c:pt idx="0">
                  <c:v>0.20366784027553309</c:v>
                </c:pt>
                <c:pt idx="1">
                  <c:v>0.32113430764515088</c:v>
                </c:pt>
                <c:pt idx="2">
                  <c:v>0.33537705176276517</c:v>
                </c:pt>
                <c:pt idx="3">
                  <c:v>0.33441532306028959</c:v>
                </c:pt>
                <c:pt idx="4">
                  <c:v>0.34146800021177703</c:v>
                </c:pt>
                <c:pt idx="5">
                  <c:v>0.34112452567517859</c:v>
                </c:pt>
                <c:pt idx="6">
                  <c:v>0.31229942064491684</c:v>
                </c:pt>
                <c:pt idx="7">
                  <c:v>0.34250833248994067</c:v>
                </c:pt>
                <c:pt idx="8">
                  <c:v>0.28557465520469927</c:v>
                </c:pt>
                <c:pt idx="9">
                  <c:v>0.29573512684329617</c:v>
                </c:pt>
                <c:pt idx="10">
                  <c:v>0.30636274660320795</c:v>
                </c:pt>
                <c:pt idx="11">
                  <c:v>0.30459147664322261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CEE8-4F10-B146-47AA8368BA1B}"/>
            </c:ext>
          </c:extLst>
        </c:ser>
        <c:ser>
          <c:idx val="10"/>
          <c:order val="10"/>
          <c:tx>
            <c:strRef>
              <c:f>'2016 E Maize VWC Graphs'!$Z$136</c:f>
              <c:strCache>
                <c:ptCount val="1"/>
                <c:pt idx="0">
                  <c:v>224</c:v>
                </c:pt>
              </c:strCache>
            </c:strRef>
          </c:tx>
          <c:xVal>
            <c:numRef>
              <c:f>'2016 E Maize VWC Graphs'!$AC$136:$AC$147</c:f>
              <c:numCache>
                <c:formatCode>General</c:formatCode>
                <c:ptCount val="12"/>
                <c:pt idx="0">
                  <c:v>0.27828354421124202</c:v>
                </c:pt>
                <c:pt idx="1">
                  <c:v>0.32177546011346791</c:v>
                </c:pt>
                <c:pt idx="2">
                  <c:v>0.33615559404572154</c:v>
                </c:pt>
                <c:pt idx="3">
                  <c:v>0.32573686643556965</c:v>
                </c:pt>
                <c:pt idx="4">
                  <c:v>0.3154326303376172</c:v>
                </c:pt>
                <c:pt idx="5">
                  <c:v>0.33649906858231998</c:v>
                </c:pt>
                <c:pt idx="6">
                  <c:v>0.31895628137365278</c:v>
                </c:pt>
                <c:pt idx="7">
                  <c:v>0.33454734992253427</c:v>
                </c:pt>
                <c:pt idx="8">
                  <c:v>0.28701502857875322</c:v>
                </c:pt>
                <c:pt idx="9">
                  <c:v>0.29760371932855539</c:v>
                </c:pt>
                <c:pt idx="10">
                  <c:v>0.29945284730875982</c:v>
                </c:pt>
                <c:pt idx="11">
                  <c:v>0.30032875003622506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CEE8-4F10-B146-47AA8368BA1B}"/>
            </c:ext>
          </c:extLst>
        </c:ser>
        <c:ser>
          <c:idx val="11"/>
          <c:order val="11"/>
          <c:tx>
            <c:strRef>
              <c:f>'2016 E Maize VWC Graphs'!$Z$149</c:f>
              <c:strCache>
                <c:ptCount val="1"/>
                <c:pt idx="0">
                  <c:v>236</c:v>
                </c:pt>
              </c:strCache>
            </c:strRef>
          </c:tx>
          <c:xVal>
            <c:numRef>
              <c:f>'2016 E Maize VWC Graphs'!$AC$149:$AC$160</c:f>
              <c:numCache>
                <c:formatCode>General</c:formatCode>
                <c:ptCount val="12"/>
                <c:pt idx="0">
                  <c:v>0.30145469340258818</c:v>
                </c:pt>
                <c:pt idx="1">
                  <c:v>0.3493908128559805</c:v>
                </c:pt>
                <c:pt idx="2">
                  <c:v>0.34506303369484048</c:v>
                </c:pt>
                <c:pt idx="3">
                  <c:v>0.33473589929444808</c:v>
                </c:pt>
                <c:pt idx="4">
                  <c:v>0.32704206967464361</c:v>
                </c:pt>
                <c:pt idx="5">
                  <c:v>0.33123245902114429</c:v>
                </c:pt>
                <c:pt idx="6">
                  <c:v>0.30858170017945319</c:v>
                </c:pt>
                <c:pt idx="7">
                  <c:v>0.33419698883154814</c:v>
                </c:pt>
                <c:pt idx="8">
                  <c:v>0.27389595217182922</c:v>
                </c:pt>
                <c:pt idx="9">
                  <c:v>0.27619276376829371</c:v>
                </c:pt>
                <c:pt idx="10">
                  <c:v>0.28641162892205496</c:v>
                </c:pt>
                <c:pt idx="11">
                  <c:v>0.29663049407581621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CEE8-4F10-B146-47AA8368BA1B}"/>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Graphs'!$AC$162:$AC$173</c:f>
              <c:numCache>
                <c:formatCode>General</c:formatCode>
                <c:ptCount val="12"/>
                <c:pt idx="0">
                  <c:v>0.29172971605158443</c:v>
                </c:pt>
                <c:pt idx="1">
                  <c:v>0.34508593199728033</c:v>
                </c:pt>
                <c:pt idx="2">
                  <c:v>0.34400971178260531</c:v>
                </c:pt>
                <c:pt idx="3">
                  <c:v>0.33086608618210595</c:v>
                </c:pt>
                <c:pt idx="4">
                  <c:v>0.31073847833743884</c:v>
                </c:pt>
                <c:pt idx="5">
                  <c:v>0.32420268017209675</c:v>
                </c:pt>
                <c:pt idx="6">
                  <c:v>0.30708293329023489</c:v>
                </c:pt>
                <c:pt idx="7">
                  <c:v>0.32388080115251294</c:v>
                </c:pt>
                <c:pt idx="8">
                  <c:v>0.26723909144309332</c:v>
                </c:pt>
                <c:pt idx="9">
                  <c:v>0.27148235354503608</c:v>
                </c:pt>
                <c:pt idx="10">
                  <c:v>0.29544315926747439</c:v>
                </c:pt>
                <c:pt idx="11">
                  <c:v>0.29038238795323074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CEE8-4F10-B146-47AA8368BA1B}"/>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Graphs'!$AC$175:$AC$186</c:f>
              <c:numCache>
                <c:formatCode>General</c:formatCode>
                <c:ptCount val="12"/>
                <c:pt idx="0">
                  <c:v>0.24024679847743458</c:v>
                </c:pt>
                <c:pt idx="1">
                  <c:v>0.30892951244468719</c:v>
                </c:pt>
                <c:pt idx="2">
                  <c:v>0.33024783201622882</c:v>
                </c:pt>
                <c:pt idx="3">
                  <c:v>0.32875944235763571</c:v>
                </c:pt>
                <c:pt idx="4">
                  <c:v>0.30448724177134767</c:v>
                </c:pt>
                <c:pt idx="5">
                  <c:v>0.31557002015225655</c:v>
                </c:pt>
                <c:pt idx="6">
                  <c:v>0.30313163876411386</c:v>
                </c:pt>
                <c:pt idx="7">
                  <c:v>0.32037719024265193</c:v>
                </c:pt>
                <c:pt idx="8">
                  <c:v>0.25857738669371472</c:v>
                </c:pt>
                <c:pt idx="9">
                  <c:v>0.26951643853450297</c:v>
                </c:pt>
                <c:pt idx="10">
                  <c:v>0.29211472890310647</c:v>
                </c:pt>
                <c:pt idx="11">
                  <c:v>0.28853325997302631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CEE8-4F10-B146-47AA8368BA1B}"/>
            </c:ext>
          </c:extLst>
        </c:ser>
        <c:ser>
          <c:idx val="14"/>
          <c:order val="14"/>
          <c:tx>
            <c:strRef>
              <c:f>'2016 E Maize VWC Graphs'!$Z$188</c:f>
              <c:strCache>
                <c:ptCount val="1"/>
                <c:pt idx="0">
                  <c:v>270</c:v>
                </c:pt>
              </c:strCache>
            </c:strRef>
          </c:tx>
          <c:xVal>
            <c:numRef>
              <c:f>'2016 E Maize VWC Graphs'!$AC$188:$AC$199</c:f>
              <c:numCache>
                <c:formatCode>General</c:formatCode>
                <c:ptCount val="12"/>
                <c:pt idx="0">
                  <c:v>0.22511266212646436</c:v>
                </c:pt>
                <c:pt idx="1">
                  <c:v>0.28694714210238864</c:v>
                </c:pt>
                <c:pt idx="2">
                  <c:v>0.32873654405519581</c:v>
                </c:pt>
                <c:pt idx="3">
                  <c:v>0.32257690069886424</c:v>
                </c:pt>
                <c:pt idx="4">
                  <c:v>0.29777803915645862</c:v>
                </c:pt>
                <c:pt idx="5">
                  <c:v>0.31788274869868588</c:v>
                </c:pt>
                <c:pt idx="6">
                  <c:v>0.30295645821862083</c:v>
                </c:pt>
                <c:pt idx="7">
                  <c:v>0.31899521038376233</c:v>
                </c:pt>
                <c:pt idx="8">
                  <c:v>0.26410530612927319</c:v>
                </c:pt>
                <c:pt idx="9">
                  <c:v>0.26217832012884962</c:v>
                </c:pt>
                <c:pt idx="10">
                  <c:v>0.28977898829653248</c:v>
                </c:pt>
                <c:pt idx="11">
                  <c:v>0.28929237567016292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CEE8-4F10-B146-47AA8368BA1B}"/>
            </c:ext>
          </c:extLst>
        </c:ser>
        <c:ser>
          <c:idx val="16"/>
          <c:order val="15"/>
          <c:tx>
            <c:strRef>
              <c:f>'2016 E Maize VWC Graphs'!$Z$201</c:f>
              <c:strCache>
                <c:ptCount val="1"/>
                <c:pt idx="0">
                  <c:v>286</c:v>
                </c:pt>
              </c:strCache>
            </c:strRef>
          </c:tx>
          <c:xVal>
            <c:numRef>
              <c:f>'2016 E Maize VWC Graphs'!$AC$201:$AC$212</c:f>
              <c:numCache>
                <c:formatCode>General</c:formatCode>
                <c:ptCount val="12"/>
                <c:pt idx="0">
                  <c:v>0.19827786269045999</c:v>
                </c:pt>
                <c:pt idx="1">
                  <c:v>0.27469655029704515</c:v>
                </c:pt>
                <c:pt idx="2">
                  <c:v>0.31820332493284442</c:v>
                </c:pt>
                <c:pt idx="3">
                  <c:v>0.31469988465954057</c:v>
                </c:pt>
                <c:pt idx="4">
                  <c:v>0.2984649882296555</c:v>
                </c:pt>
                <c:pt idx="5">
                  <c:v>0.31641725734253262</c:v>
                </c:pt>
                <c:pt idx="6">
                  <c:v>0.29863533809645892</c:v>
                </c:pt>
                <c:pt idx="7">
                  <c:v>0.31704875987828396</c:v>
                </c:pt>
                <c:pt idx="8">
                  <c:v>0.25645575564274337</c:v>
                </c:pt>
                <c:pt idx="9">
                  <c:v>0.26482549281630019</c:v>
                </c:pt>
                <c:pt idx="10">
                  <c:v>0.28715128011413671</c:v>
                </c:pt>
                <c:pt idx="11">
                  <c:v>0.2850101845581105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CEE8-4F10-B146-47AA8368BA1B}"/>
            </c:ext>
          </c:extLst>
        </c:ser>
        <c:ser>
          <c:idx val="17"/>
          <c:order val="16"/>
          <c:tx>
            <c:strRef>
              <c:f>'2016 E Maize VWC Graphs'!$Z$214</c:f>
              <c:strCache>
                <c:ptCount val="1"/>
                <c:pt idx="0">
                  <c:v>302</c:v>
                </c:pt>
              </c:strCache>
            </c:strRef>
          </c:tx>
          <c:xVal>
            <c:numRef>
              <c:f>'2016 E Maize VWC Graphs'!$AC$214:$AC$225</c:f>
              <c:numCache>
                <c:formatCode>General</c:formatCode>
                <c:ptCount val="12"/>
                <c:pt idx="0">
                  <c:v>0.1735530188927405</c:v>
                </c:pt>
                <c:pt idx="1">
                  <c:v>0.27194875400425783</c:v>
                </c:pt>
                <c:pt idx="2">
                  <c:v>0.31671493527425126</c:v>
                </c:pt>
                <c:pt idx="3">
                  <c:v>0.31431061351806239</c:v>
                </c:pt>
                <c:pt idx="4">
                  <c:v>0.30153336075660131</c:v>
                </c:pt>
                <c:pt idx="5">
                  <c:v>0.31834071474748377</c:v>
                </c:pt>
                <c:pt idx="6">
                  <c:v>0.30116572375358075</c:v>
                </c:pt>
                <c:pt idx="7">
                  <c:v>0.31780787557542051</c:v>
                </c:pt>
                <c:pt idx="8">
                  <c:v>0.25487913073330587</c:v>
                </c:pt>
                <c:pt idx="9">
                  <c:v>0.26274279077543833</c:v>
                </c:pt>
                <c:pt idx="10">
                  <c:v>0.28851379546797157</c:v>
                </c:pt>
                <c:pt idx="11">
                  <c:v>0.28627537738667141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CEE8-4F10-B146-47AA8368BA1B}"/>
            </c:ext>
          </c:extLst>
        </c:ser>
        <c:ser>
          <c:idx val="18"/>
          <c:order val="17"/>
          <c:tx>
            <c:strRef>
              <c:f>'2016 E Maize VWC Graphs'!$Z$227</c:f>
              <c:strCache>
                <c:ptCount val="1"/>
                <c:pt idx="0">
                  <c:v>0</c:v>
                </c:pt>
              </c:strCache>
            </c:strRef>
          </c:tx>
          <c:xVal>
            <c:numRef>
              <c:f>'2016 E Maize VWC Graphs'!$AC$227:$AC$238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CEE8-4F10-B146-47AA8368BA1B}"/>
            </c:ext>
          </c:extLst>
        </c:ser>
        <c:ser>
          <c:idx val="19"/>
          <c:order val="18"/>
          <c:tx>
            <c:strRef>
              <c:f>'2016 E Maize VWC Graphs'!$Z$240</c:f>
              <c:strCache>
                <c:ptCount val="1"/>
                <c:pt idx="0">
                  <c:v>0</c:v>
                </c:pt>
              </c:strCache>
            </c:strRef>
          </c:tx>
          <c:xVal>
            <c:numRef>
              <c:f>'2016 E Maize VWC Graphs'!$AC$240:$AC$251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CEE8-4F10-B146-47AA8368BA1B}"/>
            </c:ext>
          </c:extLst>
        </c:ser>
        <c:ser>
          <c:idx val="20"/>
          <c:order val="19"/>
          <c:tx>
            <c:strRef>
              <c:f>'2016 E Maize VWC Graphs'!$Z$253</c:f>
              <c:strCache>
                <c:ptCount val="1"/>
                <c:pt idx="0">
                  <c:v>0</c:v>
                </c:pt>
              </c:strCache>
            </c:strRef>
          </c:tx>
          <c:xVal>
            <c:numRef>
              <c:f>'2016 E Maize VWC Graphs'!$AC$253:$AC$264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CEE8-4F10-B146-47AA8368BA1B}"/>
            </c:ext>
          </c:extLst>
        </c:ser>
        <c:ser>
          <c:idx val="21"/>
          <c:order val="20"/>
          <c:tx>
            <c:strRef>
              <c:f>'2016 E Maize VWC Graphs'!$Z$266</c:f>
              <c:strCache>
                <c:ptCount val="1"/>
                <c:pt idx="0">
                  <c:v>0</c:v>
                </c:pt>
              </c:strCache>
            </c:strRef>
          </c:tx>
          <c:xVal>
            <c:numRef>
              <c:f>'2016 E Maize VWC Graphs'!$AC$266:$AC$277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CEE8-4F10-B146-47AA8368BA1B}"/>
            </c:ext>
          </c:extLst>
        </c:ser>
        <c:ser>
          <c:idx val="22"/>
          <c:order val="21"/>
          <c:tx>
            <c:strRef>
              <c:f>'2016 E Maize VWC Graphs'!$Z$279</c:f>
              <c:strCache>
                <c:ptCount val="1"/>
                <c:pt idx="0">
                  <c:v>0</c:v>
                </c:pt>
              </c:strCache>
            </c:strRef>
          </c:tx>
          <c:xVal>
            <c:numRef>
              <c:f>'2016 E Maize VWC Graphs'!$AC$279:$AC$290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CEE8-4F10-B146-47AA8368BA1B}"/>
            </c:ext>
          </c:extLst>
        </c:ser>
        <c:ser>
          <c:idx val="23"/>
          <c:order val="22"/>
          <c:tx>
            <c:strRef>
              <c:f>'2016 E Maize VWC Graphs'!$Z$292</c:f>
              <c:strCache>
                <c:ptCount val="1"/>
                <c:pt idx="0">
                  <c:v>0</c:v>
                </c:pt>
              </c:strCache>
            </c:strRef>
          </c:tx>
          <c:xVal>
            <c:numRef>
              <c:f>'2016 E Maize VWC Graphs'!$AC$292:$AC$303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CEE8-4F10-B146-47AA8368BA1B}"/>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CEE8-4F10-B146-47AA8368BA1B}"/>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5817685633332532"/>
          <c:w val="0.11121338639365544"/>
          <c:h val="0.80512589596025264"/>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Graphs'!$AD$6:$AD$17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6D80-44C1-9900-297B5D28A2C7}"/>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Graphs'!$AD$19:$AD$30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6D80-44C1-9900-297B5D28A2C7}"/>
            </c:ext>
          </c:extLst>
        </c:ser>
        <c:ser>
          <c:idx val="0"/>
          <c:order val="2"/>
          <c:tx>
            <c:strRef>
              <c:f>'2016 E Maize VWC Graphs'!$Z$32</c:f>
              <c:strCache>
                <c:ptCount val="1"/>
                <c:pt idx="0">
                  <c:v>161</c:v>
                </c:pt>
              </c:strCache>
            </c:strRef>
          </c:tx>
          <c:xVal>
            <c:numRef>
              <c:f>'2016 E Maize VWC Graphs'!$AD$32:$AD$43</c:f>
              <c:numCache>
                <c:formatCode>General</c:formatCode>
                <c:ptCount val="12"/>
                <c:pt idx="0">
                  <c:v>0.21462042817972066</c:v>
                </c:pt>
                <c:pt idx="1">
                  <c:v>0.31758507076696729</c:v>
                </c:pt>
                <c:pt idx="2">
                  <c:v>0.35630610019282855</c:v>
                </c:pt>
                <c:pt idx="3">
                  <c:v>0.35122267705117205</c:v>
                </c:pt>
                <c:pt idx="4">
                  <c:v>0.34091844095321955</c:v>
                </c:pt>
                <c:pt idx="5">
                  <c:v>0.34068945792882066</c:v>
                </c:pt>
                <c:pt idx="6">
                  <c:v>0.31300014282688904</c:v>
                </c:pt>
                <c:pt idx="7">
                  <c:v>0.32576885814282691</c:v>
                </c:pt>
                <c:pt idx="8">
                  <c:v>0.27292272691909009</c:v>
                </c:pt>
                <c:pt idx="9">
                  <c:v>0.28946755621565595</c:v>
                </c:pt>
                <c:pt idx="10">
                  <c:v>0.2924456254890378</c:v>
                </c:pt>
                <c:pt idx="11">
                  <c:v>0.2931268831659552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6D80-44C1-9900-297B5D28A2C7}"/>
            </c:ext>
          </c:extLst>
        </c:ser>
        <c:ser>
          <c:idx val="1"/>
          <c:order val="3"/>
          <c:tx>
            <c:strRef>
              <c:f>'2016 E Maize VWC Graphs'!$Z$45</c:f>
              <c:strCache>
                <c:ptCount val="1"/>
                <c:pt idx="0">
                  <c:v>167</c:v>
                </c:pt>
              </c:strCache>
            </c:strRef>
          </c:tx>
          <c:marker>
            <c:symbol val="square"/>
            <c:size val="5"/>
          </c:marker>
          <c:xVal>
            <c:numRef>
              <c:f>'2016 E Maize VWC Graphs'!$AD$45:$AD$56</c:f>
              <c:numCache>
                <c:formatCode>General</c:formatCode>
                <c:ptCount val="12"/>
                <c:pt idx="0">
                  <c:v>0.24063042677530461</c:v>
                </c:pt>
                <c:pt idx="1">
                  <c:v>0.33379706889441241</c:v>
                </c:pt>
                <c:pt idx="2">
                  <c:v>0.35589393074891046</c:v>
                </c:pt>
                <c:pt idx="3">
                  <c:v>0.35181803291460928</c:v>
                </c:pt>
                <c:pt idx="4">
                  <c:v>0.34252132212401221</c:v>
                </c:pt>
                <c:pt idx="5">
                  <c:v>0.33904078015314826</c:v>
                </c:pt>
                <c:pt idx="6">
                  <c:v>0.31809984315124229</c:v>
                </c:pt>
                <c:pt idx="7">
                  <c:v>0.33515074957923252</c:v>
                </c:pt>
                <c:pt idx="8">
                  <c:v>0.27605651223291022</c:v>
                </c:pt>
                <c:pt idx="9">
                  <c:v>0.30077643365248508</c:v>
                </c:pt>
                <c:pt idx="10">
                  <c:v>0.29820711898525365</c:v>
                </c:pt>
                <c:pt idx="11">
                  <c:v>0.2989662346823902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6D80-44C1-9900-297B5D28A2C7}"/>
            </c:ext>
          </c:extLst>
        </c:ser>
        <c:ser>
          <c:idx val="2"/>
          <c:order val="4"/>
          <c:tx>
            <c:strRef>
              <c:f>'2016 E Maize VWC Graphs'!$Z$58</c:f>
              <c:strCache>
                <c:ptCount val="1"/>
                <c:pt idx="0">
                  <c:v>173</c:v>
                </c:pt>
              </c:strCache>
            </c:strRef>
          </c:tx>
          <c:marker>
            <c:spPr>
              <a:solidFill>
                <a:srgbClr val="00B050"/>
              </a:solidFill>
            </c:spPr>
          </c:marker>
          <c:xVal>
            <c:numRef>
              <c:f>'2016 E Maize VWC Graphs'!$AD$58:$AD$69</c:f>
              <c:numCache>
                <c:formatCode>General</c:formatCode>
                <c:ptCount val="12"/>
                <c:pt idx="0">
                  <c:v>0.20182642444575721</c:v>
                </c:pt>
                <c:pt idx="1">
                  <c:v>0.31103615626915748</c:v>
                </c:pt>
                <c:pt idx="2">
                  <c:v>0.35662667642698709</c:v>
                </c:pt>
                <c:pt idx="3">
                  <c:v>0.35062732118773476</c:v>
                </c:pt>
                <c:pt idx="4">
                  <c:v>0.34682620298271233</c:v>
                </c:pt>
                <c:pt idx="5">
                  <c:v>0.34119322058249835</c:v>
                </c:pt>
                <c:pt idx="6">
                  <c:v>0.31541374145368217</c:v>
                </c:pt>
                <c:pt idx="7">
                  <c:v>0.33188071273002895</c:v>
                </c:pt>
                <c:pt idx="8">
                  <c:v>0.27979369720342862</c:v>
                </c:pt>
                <c:pt idx="9">
                  <c:v>0.30708293329023489</c:v>
                </c:pt>
                <c:pt idx="10">
                  <c:v>0.29902462819755454</c:v>
                </c:pt>
                <c:pt idx="11">
                  <c:v>0.3025866326225799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6D80-44C1-9900-297B5D28A2C7}"/>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Graphs'!$AD$71:$AD$82</c:f>
              <c:numCache>
                <c:formatCode>General</c:formatCode>
                <c:ptCount val="12"/>
                <c:pt idx="0">
                  <c:v>0.17127043052041419</c:v>
                </c:pt>
                <c:pt idx="1">
                  <c:v>0.26663634783820234</c:v>
                </c:pt>
                <c:pt idx="2">
                  <c:v>0.34155959342153663</c:v>
                </c:pt>
                <c:pt idx="3">
                  <c:v>0.34794821980226714</c:v>
                </c:pt>
                <c:pt idx="4">
                  <c:v>0.34435318631920375</c:v>
                </c:pt>
                <c:pt idx="5">
                  <c:v>0.34055206811418126</c:v>
                </c:pt>
                <c:pt idx="6">
                  <c:v>0.31422640664534041</c:v>
                </c:pt>
                <c:pt idx="7">
                  <c:v>0.33696094854932734</c:v>
                </c:pt>
                <c:pt idx="8">
                  <c:v>0.27905404601134681</c:v>
                </c:pt>
                <c:pt idx="9">
                  <c:v>0.30075696914743033</c:v>
                </c:pt>
                <c:pt idx="10">
                  <c:v>0.30369610941070257</c:v>
                </c:pt>
                <c:pt idx="11">
                  <c:v>0.305545237390907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6D80-44C1-9900-297B5D28A2C7}"/>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Graphs'!$AD$84:$AD$95</c:f>
              <c:numCache>
                <c:formatCode>General</c:formatCode>
                <c:ptCount val="12"/>
                <c:pt idx="0">
                  <c:v>0.15134094044606933</c:v>
                </c:pt>
                <c:pt idx="1">
                  <c:v>0.27375771989700948</c:v>
                </c:pt>
                <c:pt idx="2">
                  <c:v>0.32303486674766207</c:v>
                </c:pt>
                <c:pt idx="3">
                  <c:v>0.3445363727387229</c:v>
                </c:pt>
                <c:pt idx="4">
                  <c:v>0.34410130499236491</c:v>
                </c:pt>
                <c:pt idx="5">
                  <c:v>0.33702572953843757</c:v>
                </c:pt>
                <c:pt idx="6">
                  <c:v>0.31619232165587352</c:v>
                </c:pt>
                <c:pt idx="7">
                  <c:v>0.33166660317442626</c:v>
                </c:pt>
                <c:pt idx="8">
                  <c:v>0.27656258936433453</c:v>
                </c:pt>
                <c:pt idx="9">
                  <c:v>0.29986160191491029</c:v>
                </c:pt>
                <c:pt idx="10">
                  <c:v>0.30248931009730601</c:v>
                </c:pt>
                <c:pt idx="11">
                  <c:v>0.30182751692544335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6D80-44C1-9900-297B5D28A2C7}"/>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Graphs'!$AD$97:$AD$108</c:f>
              <c:numCache>
                <c:formatCode>General</c:formatCode>
                <c:ptCount val="12"/>
                <c:pt idx="0">
                  <c:v>0.14556733456312626</c:v>
                </c:pt>
                <c:pt idx="1">
                  <c:v>0.27657421109711655</c:v>
                </c:pt>
                <c:pt idx="2">
                  <c:v>0.32509571396725262</c:v>
                </c:pt>
                <c:pt idx="3">
                  <c:v>0.329125815196674</c:v>
                </c:pt>
                <c:pt idx="4">
                  <c:v>0.3407352545337004</c:v>
                </c:pt>
                <c:pt idx="5">
                  <c:v>0.34091844095321955</c:v>
                </c:pt>
                <c:pt idx="6">
                  <c:v>0.30770579745198795</c:v>
                </c:pt>
                <c:pt idx="7">
                  <c:v>0.33273715095243939</c:v>
                </c:pt>
                <c:pt idx="8">
                  <c:v>0.27911243952651116</c:v>
                </c:pt>
                <c:pt idx="9">
                  <c:v>0.29437261148946137</c:v>
                </c:pt>
                <c:pt idx="10">
                  <c:v>0.29777889987404843</c:v>
                </c:pt>
                <c:pt idx="11">
                  <c:v>0.29355510227716042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6D80-44C1-9900-297B5D28A2C7}"/>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Graphs'!$AD$110:$AD$121</c:f>
              <c:numCache>
                <c:formatCode>General</c:formatCode>
                <c:ptCount val="12"/>
                <c:pt idx="0">
                  <c:v>0.13260069809512132</c:v>
                </c:pt>
                <c:pt idx="1">
                  <c:v>0.27222353363353657</c:v>
                </c:pt>
                <c:pt idx="2">
                  <c:v>0.32681308665024467</c:v>
                </c:pt>
                <c:pt idx="3">
                  <c:v>0.33185071318702142</c:v>
                </c:pt>
                <c:pt idx="4">
                  <c:v>0.33679674651403863</c:v>
                </c:pt>
                <c:pt idx="5">
                  <c:v>0.33475879759688804</c:v>
                </c:pt>
                <c:pt idx="6">
                  <c:v>0.30644060462342704</c:v>
                </c:pt>
                <c:pt idx="7">
                  <c:v>0.33162767416431671</c:v>
                </c:pt>
                <c:pt idx="8">
                  <c:v>0.27358452009095269</c:v>
                </c:pt>
                <c:pt idx="9">
                  <c:v>0.2872875316495202</c:v>
                </c:pt>
                <c:pt idx="10">
                  <c:v>0.30139929781423813</c:v>
                </c:pt>
                <c:pt idx="11">
                  <c:v>0.29955016983403371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6D80-44C1-9900-297B5D28A2C7}"/>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Graphs'!$AD$123:$AD$134</c:f>
              <c:numCache>
                <c:formatCode>General</c:formatCode>
                <c:ptCount val="12"/>
                <c:pt idx="0">
                  <c:v>0.19768323882876154</c:v>
                </c:pt>
                <c:pt idx="1">
                  <c:v>0.32486673094285368</c:v>
                </c:pt>
                <c:pt idx="2">
                  <c:v>0.3407352545337004</c:v>
                </c:pt>
                <c:pt idx="3">
                  <c:v>0.34572708446559741</c:v>
                </c:pt>
                <c:pt idx="4">
                  <c:v>0.34378072875820637</c:v>
                </c:pt>
                <c:pt idx="5">
                  <c:v>0.33846832259215087</c:v>
                </c:pt>
                <c:pt idx="6">
                  <c:v>0.31266924624095771</c:v>
                </c:pt>
                <c:pt idx="7">
                  <c:v>0.33055712638630363</c:v>
                </c:pt>
                <c:pt idx="8">
                  <c:v>0.27704920199070415</c:v>
                </c:pt>
                <c:pt idx="9">
                  <c:v>0.29612441694439184</c:v>
                </c:pt>
                <c:pt idx="10">
                  <c:v>0.29960856334919805</c:v>
                </c:pt>
                <c:pt idx="11">
                  <c:v>0.30079589815753988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6D80-44C1-9900-297B5D28A2C7}"/>
            </c:ext>
          </c:extLst>
        </c:ser>
        <c:ser>
          <c:idx val="10"/>
          <c:order val="10"/>
          <c:tx>
            <c:strRef>
              <c:f>'2016 E Maize VWC Graphs'!$Z$136</c:f>
              <c:strCache>
                <c:ptCount val="1"/>
                <c:pt idx="0">
                  <c:v>224</c:v>
                </c:pt>
              </c:strCache>
            </c:strRef>
          </c:tx>
          <c:xVal>
            <c:numRef>
              <c:f>'2016 E Maize VWC Graphs'!$AD$136:$AD$147</c:f>
              <c:numCache>
                <c:formatCode>General</c:formatCode>
                <c:ptCount val="12"/>
                <c:pt idx="0">
                  <c:v>0.27398690727509839</c:v>
                </c:pt>
                <c:pt idx="1">
                  <c:v>0.3308202895772262</c:v>
                </c:pt>
                <c:pt idx="2">
                  <c:v>0.34355174573380748</c:v>
                </c:pt>
                <c:pt idx="3">
                  <c:v>0.33812484805555248</c:v>
                </c:pt>
                <c:pt idx="4">
                  <c:v>0.34018569527514297</c:v>
                </c:pt>
                <c:pt idx="5">
                  <c:v>0.34313957628988934</c:v>
                </c:pt>
                <c:pt idx="6">
                  <c:v>0.31430426466555955</c:v>
                </c:pt>
                <c:pt idx="7">
                  <c:v>0.32755959260786699</c:v>
                </c:pt>
                <c:pt idx="8">
                  <c:v>0.28004673576914074</c:v>
                </c:pt>
                <c:pt idx="9">
                  <c:v>0.28917558863983417</c:v>
                </c:pt>
                <c:pt idx="10">
                  <c:v>0.30719972032056359</c:v>
                </c:pt>
                <c:pt idx="11">
                  <c:v>0.3011267947434712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6D80-44C1-9900-297B5D28A2C7}"/>
            </c:ext>
          </c:extLst>
        </c:ser>
        <c:ser>
          <c:idx val="11"/>
          <c:order val="11"/>
          <c:tx>
            <c:strRef>
              <c:f>'2016 E Maize VWC Graphs'!$Z$149</c:f>
              <c:strCache>
                <c:ptCount val="1"/>
                <c:pt idx="0">
                  <c:v>236</c:v>
                </c:pt>
              </c:strCache>
            </c:strRef>
          </c:tx>
          <c:xVal>
            <c:numRef>
              <c:f>'2016 E Maize VWC Graphs'!$AD$149:$AD$160</c:f>
              <c:numCache>
                <c:formatCode>General</c:formatCode>
                <c:ptCount val="12"/>
                <c:pt idx="0">
                  <c:v>0.28455586688141604</c:v>
                </c:pt>
                <c:pt idx="1">
                  <c:v>0.33775847521651414</c:v>
                </c:pt>
                <c:pt idx="2">
                  <c:v>0.34842908415350493</c:v>
                </c:pt>
                <c:pt idx="3">
                  <c:v>0.33324750963585498</c:v>
                </c:pt>
                <c:pt idx="4">
                  <c:v>0.33114086581138469</c:v>
                </c:pt>
                <c:pt idx="5">
                  <c:v>0.32967537445523148</c:v>
                </c:pt>
                <c:pt idx="6">
                  <c:v>0.30389075446125041</c:v>
                </c:pt>
                <c:pt idx="7">
                  <c:v>0.32096112539429544</c:v>
                </c:pt>
                <c:pt idx="8">
                  <c:v>0.26500067336179323</c:v>
                </c:pt>
                <c:pt idx="9">
                  <c:v>0.29003202686224466</c:v>
                </c:pt>
                <c:pt idx="10">
                  <c:v>0.29429475346924222</c:v>
                </c:pt>
                <c:pt idx="11">
                  <c:v>0.29238723197387345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6D80-44C1-9900-297B5D28A2C7}"/>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Graphs'!$AD$162:$AD$173</c:f>
              <c:numCache>
                <c:formatCode>General</c:formatCode>
                <c:ptCount val="12"/>
                <c:pt idx="0">
                  <c:v>0.28610956148778943</c:v>
                </c:pt>
                <c:pt idx="1">
                  <c:v>0.33876600052386951</c:v>
                </c:pt>
                <c:pt idx="2">
                  <c:v>0.35239049047560667</c:v>
                </c:pt>
                <c:pt idx="3">
                  <c:v>0.33253766226021825</c:v>
                </c:pt>
                <c:pt idx="4">
                  <c:v>0.31829491814260402</c:v>
                </c:pt>
                <c:pt idx="5">
                  <c:v>0.31941693496215884</c:v>
                </c:pt>
                <c:pt idx="6">
                  <c:v>0.29639692001515883</c:v>
                </c:pt>
                <c:pt idx="7">
                  <c:v>0.31611446363565437</c:v>
                </c:pt>
                <c:pt idx="8">
                  <c:v>0.25746790990559204</c:v>
                </c:pt>
                <c:pt idx="9">
                  <c:v>0.27885940096079898</c:v>
                </c:pt>
                <c:pt idx="10">
                  <c:v>0.29330206371144829</c:v>
                </c:pt>
                <c:pt idx="11">
                  <c:v>0.29252348350925694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6D80-44C1-9900-297B5D28A2C7}"/>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Graphs'!$AD$175:$AD$186</c:f>
              <c:numCache>
                <c:formatCode>General</c:formatCode>
                <c:ptCount val="12"/>
                <c:pt idx="0">
                  <c:v>0.26138471769006988</c:v>
                </c:pt>
                <c:pt idx="1">
                  <c:v>0.32088242631831204</c:v>
                </c:pt>
                <c:pt idx="2">
                  <c:v>0.34735286393882986</c:v>
                </c:pt>
                <c:pt idx="3">
                  <c:v>0.3291945101039937</c:v>
                </c:pt>
                <c:pt idx="4">
                  <c:v>0.31465408805466077</c:v>
                </c:pt>
                <c:pt idx="5">
                  <c:v>0.31518074901077836</c:v>
                </c:pt>
                <c:pt idx="6">
                  <c:v>0.29661102957076146</c:v>
                </c:pt>
                <c:pt idx="7">
                  <c:v>0.31553052848401092</c:v>
                </c:pt>
                <c:pt idx="8">
                  <c:v>0.26048490818908349</c:v>
                </c:pt>
                <c:pt idx="9">
                  <c:v>0.27948226512255209</c:v>
                </c:pt>
                <c:pt idx="10">
                  <c:v>0.29024613641784724</c:v>
                </c:pt>
                <c:pt idx="11">
                  <c:v>0.29012934938751855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6D80-44C1-9900-297B5D28A2C7}"/>
            </c:ext>
          </c:extLst>
        </c:ser>
        <c:ser>
          <c:idx val="14"/>
          <c:order val="14"/>
          <c:tx>
            <c:strRef>
              <c:f>'2016 E Maize VWC Graphs'!$Z$188</c:f>
              <c:strCache>
                <c:ptCount val="1"/>
                <c:pt idx="0">
                  <c:v>270</c:v>
                </c:pt>
              </c:strCache>
            </c:strRef>
          </c:tx>
          <c:xVal>
            <c:numRef>
              <c:f>'2016 E Maize VWC Graphs'!$AD$188:$AD$199</c:f>
              <c:numCache>
                <c:formatCode>General</c:formatCode>
                <c:ptCount val="12"/>
                <c:pt idx="0">
                  <c:v>0.20161542888192874</c:v>
                </c:pt>
                <c:pt idx="1">
                  <c:v>0.30048003884436619</c:v>
                </c:pt>
                <c:pt idx="2">
                  <c:v>0.33972772922634509</c:v>
                </c:pt>
                <c:pt idx="3">
                  <c:v>0.32266849390862379</c:v>
                </c:pt>
                <c:pt idx="4">
                  <c:v>0.31458539314734107</c:v>
                </c:pt>
                <c:pt idx="5">
                  <c:v>0.31518074901077836</c:v>
                </c:pt>
                <c:pt idx="6">
                  <c:v>0.2931268831659552</c:v>
                </c:pt>
                <c:pt idx="7">
                  <c:v>0.31556945749412046</c:v>
                </c:pt>
                <c:pt idx="8">
                  <c:v>0.25507377578385371</c:v>
                </c:pt>
                <c:pt idx="9">
                  <c:v>0.27636794431378675</c:v>
                </c:pt>
                <c:pt idx="10">
                  <c:v>0.28989577532686117</c:v>
                </c:pt>
                <c:pt idx="11">
                  <c:v>0.29361349579232482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6D80-44C1-9900-297B5D28A2C7}"/>
            </c:ext>
          </c:extLst>
        </c:ser>
        <c:ser>
          <c:idx val="16"/>
          <c:order val="15"/>
          <c:tx>
            <c:strRef>
              <c:f>'2016 E Maize VWC Graphs'!$Z$201</c:f>
              <c:strCache>
                <c:ptCount val="1"/>
                <c:pt idx="0">
                  <c:v>286</c:v>
                </c:pt>
              </c:strCache>
            </c:strRef>
          </c:tx>
          <c:xVal>
            <c:numRef>
              <c:f>'2016 E Maize VWC Graphs'!$AD$201:$AD$212</c:f>
              <c:numCache>
                <c:formatCode>General</c:formatCode>
                <c:ptCount val="12"/>
                <c:pt idx="0">
                  <c:v>0.18153248748843587</c:v>
                </c:pt>
                <c:pt idx="1">
                  <c:v>0.29606066647346657</c:v>
                </c:pt>
                <c:pt idx="2">
                  <c:v>0.33633878046524068</c:v>
                </c:pt>
                <c:pt idx="3">
                  <c:v>0.31685232508889066</c:v>
                </c:pt>
                <c:pt idx="4">
                  <c:v>0.30837995318612971</c:v>
                </c:pt>
                <c:pt idx="5">
                  <c:v>0.31144832571307557</c:v>
                </c:pt>
                <c:pt idx="6">
                  <c:v>0.29166704528684645</c:v>
                </c:pt>
                <c:pt idx="7">
                  <c:v>0.31819716567651624</c:v>
                </c:pt>
                <c:pt idx="8">
                  <c:v>0.25454823414737454</c:v>
                </c:pt>
                <c:pt idx="9">
                  <c:v>0.26848481976659944</c:v>
                </c:pt>
                <c:pt idx="10">
                  <c:v>0.29034345894312119</c:v>
                </c:pt>
                <c:pt idx="11">
                  <c:v>0.29203687088288732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6D80-44C1-9900-297B5D28A2C7}"/>
            </c:ext>
          </c:extLst>
        </c:ser>
        <c:ser>
          <c:idx val="17"/>
          <c:order val="16"/>
          <c:tx>
            <c:strRef>
              <c:f>'2016 E Maize VWC Graphs'!$Z$214</c:f>
              <c:strCache>
                <c:ptCount val="1"/>
                <c:pt idx="0">
                  <c:v>302</c:v>
                </c:pt>
              </c:strCache>
            </c:strRef>
          </c:tx>
          <c:xVal>
            <c:numRef>
              <c:f>'2016 E Maize VWC Graphs'!$AD$214:$AD$225</c:f>
              <c:numCache>
                <c:formatCode>General</c:formatCode>
                <c:ptCount val="12"/>
                <c:pt idx="0">
                  <c:v>0.14871308660566002</c:v>
                </c:pt>
                <c:pt idx="1">
                  <c:v>0.28371848145836354</c:v>
                </c:pt>
                <c:pt idx="2">
                  <c:v>0.33695703463111787</c:v>
                </c:pt>
                <c:pt idx="3">
                  <c:v>0.3223479176744653</c:v>
                </c:pt>
                <c:pt idx="4">
                  <c:v>0.3068915635275366</c:v>
                </c:pt>
                <c:pt idx="5">
                  <c:v>0.31476857956686022</c:v>
                </c:pt>
                <c:pt idx="6">
                  <c:v>0.29028506542795685</c:v>
                </c:pt>
                <c:pt idx="7">
                  <c:v>0.31453783872621693</c:v>
                </c:pt>
                <c:pt idx="8">
                  <c:v>0.2543535890968267</c:v>
                </c:pt>
                <c:pt idx="9">
                  <c:v>0.2689908968980238</c:v>
                </c:pt>
                <c:pt idx="10">
                  <c:v>0.28981791730664203</c:v>
                </c:pt>
                <c:pt idx="11">
                  <c:v>0.29390546336814655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6D80-44C1-9900-297B5D28A2C7}"/>
            </c:ext>
          </c:extLst>
        </c:ser>
        <c:ser>
          <c:idx val="18"/>
          <c:order val="17"/>
          <c:tx>
            <c:strRef>
              <c:f>'2016 E Maize VWC Graphs'!$Z$227</c:f>
              <c:strCache>
                <c:ptCount val="1"/>
                <c:pt idx="0">
                  <c:v>0</c:v>
                </c:pt>
              </c:strCache>
            </c:strRef>
          </c:tx>
          <c:xVal>
            <c:numRef>
              <c:f>'2016 E Maize VWC Graphs'!$AD$227:$AD$238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6D80-44C1-9900-297B5D28A2C7}"/>
            </c:ext>
          </c:extLst>
        </c:ser>
        <c:ser>
          <c:idx val="19"/>
          <c:order val="18"/>
          <c:tx>
            <c:strRef>
              <c:f>'2016 E Maize VWC Graphs'!$Z$240</c:f>
              <c:strCache>
                <c:ptCount val="1"/>
                <c:pt idx="0">
                  <c:v>0</c:v>
                </c:pt>
              </c:strCache>
            </c:strRef>
          </c:tx>
          <c:xVal>
            <c:numRef>
              <c:f>'2016 E Maize VWC Graphs'!$AD$240:$AD$251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6D80-44C1-9900-297B5D28A2C7}"/>
            </c:ext>
          </c:extLst>
        </c:ser>
        <c:ser>
          <c:idx val="20"/>
          <c:order val="19"/>
          <c:tx>
            <c:strRef>
              <c:f>'2016 E Maize VWC Graphs'!$Z$253</c:f>
              <c:strCache>
                <c:ptCount val="1"/>
                <c:pt idx="0">
                  <c:v>0</c:v>
                </c:pt>
              </c:strCache>
            </c:strRef>
          </c:tx>
          <c:xVal>
            <c:numRef>
              <c:f>'2016 E Maize VWC Graphs'!$AD$253:$AD$264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6D80-44C1-9900-297B5D28A2C7}"/>
            </c:ext>
          </c:extLst>
        </c:ser>
        <c:ser>
          <c:idx val="21"/>
          <c:order val="20"/>
          <c:tx>
            <c:strRef>
              <c:f>'2016 E Maize VWC Graphs'!$Z$266</c:f>
              <c:strCache>
                <c:ptCount val="1"/>
                <c:pt idx="0">
                  <c:v>0</c:v>
                </c:pt>
              </c:strCache>
            </c:strRef>
          </c:tx>
          <c:xVal>
            <c:numRef>
              <c:f>'2016 E Maize VWC Graphs'!$AD$266:$AD$277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6D80-44C1-9900-297B5D28A2C7}"/>
            </c:ext>
          </c:extLst>
        </c:ser>
        <c:ser>
          <c:idx val="22"/>
          <c:order val="21"/>
          <c:tx>
            <c:strRef>
              <c:f>'2016 E Maize VWC Graphs'!$Z$279</c:f>
              <c:strCache>
                <c:ptCount val="1"/>
                <c:pt idx="0">
                  <c:v>0</c:v>
                </c:pt>
              </c:strCache>
            </c:strRef>
          </c:tx>
          <c:xVal>
            <c:numRef>
              <c:f>'2016 E Maize VWC Graphs'!$AD$279:$AD$290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6D80-44C1-9900-297B5D28A2C7}"/>
            </c:ext>
          </c:extLst>
        </c:ser>
        <c:ser>
          <c:idx val="23"/>
          <c:order val="22"/>
          <c:tx>
            <c:strRef>
              <c:f>'2016 E Maize VWC Graphs'!$Z$292</c:f>
              <c:strCache>
                <c:ptCount val="1"/>
                <c:pt idx="0">
                  <c:v>0</c:v>
                </c:pt>
              </c:strCache>
            </c:strRef>
          </c:tx>
          <c:xVal>
            <c:numRef>
              <c:f>'2016 E Maize VWC Graphs'!$AD$292:$AD$303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6D80-44C1-9900-297B5D28A2C7}"/>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6D80-44C1-9900-297B5D28A2C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5562151505255389"/>
          <c:w val="0.11121338639365544"/>
          <c:h val="0.81160838766121979"/>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Graphs'!$AE$6:$AE$17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BEE4-4E38-BBB8-0B6941A0AE97}"/>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Graphs'!$AE$19:$AE$30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BEE4-4E38-BBB8-0B6941A0AE97}"/>
            </c:ext>
          </c:extLst>
        </c:ser>
        <c:ser>
          <c:idx val="0"/>
          <c:order val="2"/>
          <c:tx>
            <c:strRef>
              <c:f>'2016 E Maize VWC Graphs'!$Z$32</c:f>
              <c:strCache>
                <c:ptCount val="1"/>
                <c:pt idx="0">
                  <c:v>161</c:v>
                </c:pt>
              </c:strCache>
            </c:strRef>
          </c:tx>
          <c:xVal>
            <c:numRef>
              <c:f>'2016 E Maize VWC Graphs'!$AE$32:$AE$43</c:f>
              <c:numCache>
                <c:formatCode>General</c:formatCode>
                <c:ptCount val="12"/>
                <c:pt idx="0">
                  <c:v>0.22756788323283217</c:v>
                </c:pt>
                <c:pt idx="1">
                  <c:v>0.32431717168429619</c:v>
                </c:pt>
                <c:pt idx="2">
                  <c:v>0.35229889726584707</c:v>
                </c:pt>
                <c:pt idx="3">
                  <c:v>0.34426159310944421</c:v>
                </c:pt>
                <c:pt idx="4">
                  <c:v>0.33386576380173216</c:v>
                </c:pt>
                <c:pt idx="5">
                  <c:v>0.32498122245505312</c:v>
                </c:pt>
                <c:pt idx="6">
                  <c:v>0.30468879916849656</c:v>
                </c:pt>
                <c:pt idx="7">
                  <c:v>0.3099247510282333</c:v>
                </c:pt>
                <c:pt idx="8">
                  <c:v>0.28756003472028718</c:v>
                </c:pt>
                <c:pt idx="9">
                  <c:v>0.29513172718659786</c:v>
                </c:pt>
                <c:pt idx="10">
                  <c:v>0.27097627641361172</c:v>
                </c:pt>
                <c:pt idx="11">
                  <c:v>0.27665991188960848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BEE4-4E38-BBB8-0B6941A0AE97}"/>
            </c:ext>
          </c:extLst>
        </c:ser>
        <c:ser>
          <c:idx val="1"/>
          <c:order val="3"/>
          <c:tx>
            <c:strRef>
              <c:f>'2016 E Maize VWC Graphs'!$Z$45</c:f>
              <c:strCache>
                <c:ptCount val="1"/>
                <c:pt idx="0">
                  <c:v>167</c:v>
                </c:pt>
              </c:strCache>
            </c:strRef>
          </c:tx>
          <c:marker>
            <c:symbol val="square"/>
            <c:size val="5"/>
          </c:marker>
          <c:xVal>
            <c:numRef>
              <c:f>'2016 E Maize VWC Graphs'!$AE$45:$AE$56</c:f>
              <c:numCache>
                <c:formatCode>General</c:formatCode>
                <c:ptCount val="12"/>
                <c:pt idx="0">
                  <c:v>0.23957544895616217</c:v>
                </c:pt>
                <c:pt idx="1">
                  <c:v>0.31918795193775984</c:v>
                </c:pt>
                <c:pt idx="2">
                  <c:v>0.35330642257320244</c:v>
                </c:pt>
                <c:pt idx="3">
                  <c:v>0.34403261008504521</c:v>
                </c:pt>
                <c:pt idx="4">
                  <c:v>0.33631588216280084</c:v>
                </c:pt>
                <c:pt idx="5">
                  <c:v>0.33169042506994217</c:v>
                </c:pt>
                <c:pt idx="6">
                  <c:v>0.30949653191702803</c:v>
                </c:pt>
                <c:pt idx="7">
                  <c:v>0.32530171002151209</c:v>
                </c:pt>
                <c:pt idx="8">
                  <c:v>0.29530690773209095</c:v>
                </c:pt>
                <c:pt idx="9">
                  <c:v>0.29647477803537797</c:v>
                </c:pt>
                <c:pt idx="10">
                  <c:v>0.27860636239508679</c:v>
                </c:pt>
                <c:pt idx="11">
                  <c:v>0.27800296273838854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BEE4-4E38-BBB8-0B6941A0AE97}"/>
            </c:ext>
          </c:extLst>
        </c:ser>
        <c:ser>
          <c:idx val="2"/>
          <c:order val="4"/>
          <c:tx>
            <c:strRef>
              <c:f>'2016 E Maize VWC Graphs'!$Z$58</c:f>
              <c:strCache>
                <c:ptCount val="1"/>
                <c:pt idx="0">
                  <c:v>173</c:v>
                </c:pt>
              </c:strCache>
            </c:strRef>
          </c:tx>
          <c:marker>
            <c:spPr>
              <a:solidFill>
                <a:srgbClr val="00B050"/>
              </a:solidFill>
            </c:spPr>
          </c:marker>
          <c:xVal>
            <c:numRef>
              <c:f>'2016 E Maize VWC Graphs'!$AE$58:$AE$69</c:f>
              <c:numCache>
                <c:formatCode>General</c:formatCode>
                <c:ptCount val="12"/>
                <c:pt idx="0">
                  <c:v>0.20362947744574605</c:v>
                </c:pt>
                <c:pt idx="1">
                  <c:v>0.29319837866847975</c:v>
                </c:pt>
                <c:pt idx="2">
                  <c:v>0.35511538846595408</c:v>
                </c:pt>
                <c:pt idx="3">
                  <c:v>0.34655142335343359</c:v>
                </c:pt>
                <c:pt idx="4">
                  <c:v>0.3376210854018748</c:v>
                </c:pt>
                <c:pt idx="5">
                  <c:v>0.33352228926513372</c:v>
                </c:pt>
                <c:pt idx="6">
                  <c:v>0.31076172474558894</c:v>
                </c:pt>
                <c:pt idx="7">
                  <c:v>0.31880056533321449</c:v>
                </c:pt>
                <c:pt idx="8">
                  <c:v>0.29881051864195196</c:v>
                </c:pt>
                <c:pt idx="9">
                  <c:v>0.30338467732982605</c:v>
                </c:pt>
                <c:pt idx="10">
                  <c:v>0.28545786817437058</c:v>
                </c:pt>
                <c:pt idx="11">
                  <c:v>0.28831915041742373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BEE4-4E38-BBB8-0B6941A0AE97}"/>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Graphs'!$AE$71:$AE$82</c:f>
              <c:numCache>
                <c:formatCode>General</c:formatCode>
                <c:ptCount val="12"/>
                <c:pt idx="0">
                  <c:v>0.16856585102043092</c:v>
                </c:pt>
                <c:pt idx="1">
                  <c:v>0.25188984106691042</c:v>
                </c:pt>
                <c:pt idx="2">
                  <c:v>0.33837672938239127</c:v>
                </c:pt>
                <c:pt idx="3">
                  <c:v>0.33670515330427903</c:v>
                </c:pt>
                <c:pt idx="4">
                  <c:v>0.33210259451386026</c:v>
                </c:pt>
                <c:pt idx="5">
                  <c:v>0.32997305238695007</c:v>
                </c:pt>
                <c:pt idx="6">
                  <c:v>0.30830919710868626</c:v>
                </c:pt>
                <c:pt idx="7">
                  <c:v>0.31802198513102314</c:v>
                </c:pt>
                <c:pt idx="8">
                  <c:v>0.29466457906528309</c:v>
                </c:pt>
                <c:pt idx="9">
                  <c:v>0.3026060971276347</c:v>
                </c:pt>
                <c:pt idx="10">
                  <c:v>0.28356981118405655</c:v>
                </c:pt>
                <c:pt idx="11">
                  <c:v>0.28744324768995844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BEE4-4E38-BBB8-0B6941A0AE97}"/>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Graphs'!$AE$84:$AE$95</c:f>
              <c:numCache>
                <c:formatCode>General</c:formatCode>
                <c:ptCount val="12"/>
                <c:pt idx="0">
                  <c:v>0.14175023299932007</c:v>
                </c:pt>
                <c:pt idx="1">
                  <c:v>0.23327352118327632</c:v>
                </c:pt>
                <c:pt idx="2">
                  <c:v>0.30599852973238073</c:v>
                </c:pt>
                <c:pt idx="3">
                  <c:v>0.32447745980137543</c:v>
                </c:pt>
                <c:pt idx="4">
                  <c:v>0.33084318787966605</c:v>
                </c:pt>
                <c:pt idx="5">
                  <c:v>0.33157593355774267</c:v>
                </c:pt>
                <c:pt idx="6">
                  <c:v>0.30791990700759059</c:v>
                </c:pt>
                <c:pt idx="7">
                  <c:v>0.32569100012260782</c:v>
                </c:pt>
                <c:pt idx="8">
                  <c:v>0.29365242480243436</c:v>
                </c:pt>
                <c:pt idx="9">
                  <c:v>0.30095161419797811</c:v>
                </c:pt>
                <c:pt idx="10">
                  <c:v>0.28251872791109828</c:v>
                </c:pt>
                <c:pt idx="11">
                  <c:v>0.28915612413477942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BEE4-4E38-BBB8-0B6941A0AE97}"/>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Graphs'!$AE$97:$AE$108</c:f>
              <c:numCache>
                <c:formatCode>General</c:formatCode>
                <c:ptCount val="12"/>
                <c:pt idx="0">
                  <c:v>0.16917965629702286</c:v>
                </c:pt>
                <c:pt idx="1">
                  <c:v>0.24840929909604648</c:v>
                </c:pt>
                <c:pt idx="2">
                  <c:v>0.31131093589843617</c:v>
                </c:pt>
                <c:pt idx="3">
                  <c:v>0.31586769808397519</c:v>
                </c:pt>
                <c:pt idx="4">
                  <c:v>0.32772901874784044</c:v>
                </c:pt>
                <c:pt idx="5">
                  <c:v>0.32667569683560527</c:v>
                </c:pt>
                <c:pt idx="6">
                  <c:v>0.30609024353244096</c:v>
                </c:pt>
                <c:pt idx="7">
                  <c:v>0.3179635916158588</c:v>
                </c:pt>
                <c:pt idx="8">
                  <c:v>0.28818289888204024</c:v>
                </c:pt>
                <c:pt idx="9">
                  <c:v>0.3010878657333616</c:v>
                </c:pt>
                <c:pt idx="10">
                  <c:v>0.28053334839551036</c:v>
                </c:pt>
                <c:pt idx="11">
                  <c:v>0.28218783132516695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BEE4-4E38-BBB8-0B6941A0AE97}"/>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Graphs'!$AE$110:$AE$121</c:f>
              <c:numCache>
                <c:formatCode>General</c:formatCode>
                <c:ptCount val="12"/>
                <c:pt idx="0">
                  <c:v>0.14063771093549718</c:v>
                </c:pt>
                <c:pt idx="1">
                  <c:v>0.24506614693982187</c:v>
                </c:pt>
                <c:pt idx="2">
                  <c:v>0.30908980056176644</c:v>
                </c:pt>
                <c:pt idx="3">
                  <c:v>0.31176890194723411</c:v>
                </c:pt>
                <c:pt idx="4">
                  <c:v>0.32404239205501745</c:v>
                </c:pt>
                <c:pt idx="5">
                  <c:v>0.32310356165498177</c:v>
                </c:pt>
                <c:pt idx="6">
                  <c:v>0.30704400428012535</c:v>
                </c:pt>
                <c:pt idx="7">
                  <c:v>0.31482980630203866</c:v>
                </c:pt>
                <c:pt idx="8">
                  <c:v>0.28833861492247853</c:v>
                </c:pt>
                <c:pt idx="9">
                  <c:v>0.29592977189384406</c:v>
                </c:pt>
                <c:pt idx="10">
                  <c:v>0.27512221599028058</c:v>
                </c:pt>
                <c:pt idx="11">
                  <c:v>0.28430946237613836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BEE4-4E38-BBB8-0B6941A0AE97}"/>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Graphs'!$AE$123:$AE$134</c:f>
              <c:numCache>
                <c:formatCode>General</c:formatCode>
                <c:ptCount val="12"/>
                <c:pt idx="0">
                  <c:v>0.14855963528651203</c:v>
                </c:pt>
                <c:pt idx="1">
                  <c:v>0.2815431427265736</c:v>
                </c:pt>
                <c:pt idx="2">
                  <c:v>0.34185727135325522</c:v>
                </c:pt>
                <c:pt idx="3">
                  <c:v>0.33496488231884708</c:v>
                </c:pt>
                <c:pt idx="4">
                  <c:v>0.32772901874784044</c:v>
                </c:pt>
                <c:pt idx="5">
                  <c:v>0.32349283279646002</c:v>
                </c:pt>
                <c:pt idx="6">
                  <c:v>0.30622649506782446</c:v>
                </c:pt>
                <c:pt idx="7">
                  <c:v>0.31284442678645075</c:v>
                </c:pt>
                <c:pt idx="8">
                  <c:v>0.28828022140731413</c:v>
                </c:pt>
                <c:pt idx="9">
                  <c:v>0.29079114255938115</c:v>
                </c:pt>
                <c:pt idx="10">
                  <c:v>0.28028030982979818</c:v>
                </c:pt>
                <c:pt idx="11">
                  <c:v>0.27971583918320947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BEE4-4E38-BBB8-0B6941A0AE97}"/>
            </c:ext>
          </c:extLst>
        </c:ser>
        <c:ser>
          <c:idx val="10"/>
          <c:order val="10"/>
          <c:tx>
            <c:strRef>
              <c:f>'2016 E Maize VWC Graphs'!$Z$136</c:f>
              <c:strCache>
                <c:ptCount val="1"/>
                <c:pt idx="0">
                  <c:v>224</c:v>
                </c:pt>
              </c:strCache>
            </c:strRef>
          </c:tx>
          <c:xVal>
            <c:numRef>
              <c:f>'2016 E Maize VWC Graphs'!$AE$136:$AE$147</c:f>
              <c:numCache>
                <c:formatCode>General</c:formatCode>
                <c:ptCount val="12"/>
                <c:pt idx="0">
                  <c:v>0.25474794813691942</c:v>
                </c:pt>
                <c:pt idx="1">
                  <c:v>0.2849778880925577</c:v>
                </c:pt>
                <c:pt idx="2">
                  <c:v>0.34666591486563308</c:v>
                </c:pt>
                <c:pt idx="3">
                  <c:v>0.33670515330427903</c:v>
                </c:pt>
                <c:pt idx="4">
                  <c:v>0.32688178155756437</c:v>
                </c:pt>
                <c:pt idx="5">
                  <c:v>0.32642381550876648</c:v>
                </c:pt>
                <c:pt idx="6">
                  <c:v>0.3136814005038065</c:v>
                </c:pt>
                <c:pt idx="7">
                  <c:v>0.32417276872833467</c:v>
                </c:pt>
                <c:pt idx="8">
                  <c:v>0.29258187702442129</c:v>
                </c:pt>
                <c:pt idx="9">
                  <c:v>0.30391021896630521</c:v>
                </c:pt>
                <c:pt idx="10">
                  <c:v>0.28035816785001727</c:v>
                </c:pt>
                <c:pt idx="11">
                  <c:v>0.27582293817225279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BEE4-4E38-BBB8-0B6941A0AE97}"/>
            </c:ext>
          </c:extLst>
        </c:ser>
        <c:ser>
          <c:idx val="11"/>
          <c:order val="11"/>
          <c:tx>
            <c:strRef>
              <c:f>'2016 E Maize VWC Graphs'!$Z$149</c:f>
              <c:strCache>
                <c:ptCount val="1"/>
                <c:pt idx="0">
                  <c:v>236</c:v>
                </c:pt>
              </c:strCache>
            </c:strRef>
          </c:tx>
          <c:xVal>
            <c:numRef>
              <c:f>'2016 E Maize VWC Graphs'!$AE$149:$AE$160</c:f>
              <c:numCache>
                <c:formatCode>General</c:formatCode>
                <c:ptCount val="12"/>
                <c:pt idx="0">
                  <c:v>0.27093706230703213</c:v>
                </c:pt>
                <c:pt idx="1">
                  <c:v>0.32312645995742167</c:v>
                </c:pt>
                <c:pt idx="2">
                  <c:v>0.34936791455354055</c:v>
                </c:pt>
                <c:pt idx="3">
                  <c:v>0.32772901874784044</c:v>
                </c:pt>
                <c:pt idx="4">
                  <c:v>0.30858603790808881</c:v>
                </c:pt>
                <c:pt idx="5">
                  <c:v>0.31646305394741248</c:v>
                </c:pt>
                <c:pt idx="6">
                  <c:v>0.29727282274262407</c:v>
                </c:pt>
                <c:pt idx="7">
                  <c:v>0.30634328209815309</c:v>
                </c:pt>
                <c:pt idx="8">
                  <c:v>0.27763313714234766</c:v>
                </c:pt>
                <c:pt idx="9">
                  <c:v>0.28925344666005331</c:v>
                </c:pt>
                <c:pt idx="10">
                  <c:v>0.26815392318066816</c:v>
                </c:pt>
                <c:pt idx="11">
                  <c:v>0.27459667435380142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BEE4-4E38-BBB8-0B6941A0AE97}"/>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Graphs'!$AE$162:$AE$173</c:f>
              <c:numCache>
                <c:formatCode>General</c:formatCode>
                <c:ptCount val="12"/>
                <c:pt idx="0">
                  <c:v>0.26111617788156094</c:v>
                </c:pt>
                <c:pt idx="1">
                  <c:v>0.31966881628899763</c:v>
                </c:pt>
                <c:pt idx="2">
                  <c:v>0.34911603322670176</c:v>
                </c:pt>
                <c:pt idx="3">
                  <c:v>0.33681964481647853</c:v>
                </c:pt>
                <c:pt idx="4">
                  <c:v>0.31023471568376121</c:v>
                </c:pt>
                <c:pt idx="5">
                  <c:v>0.31112774947891703</c:v>
                </c:pt>
                <c:pt idx="6">
                  <c:v>0.29571566233824137</c:v>
                </c:pt>
                <c:pt idx="7">
                  <c:v>0.2974480032881171</c:v>
                </c:pt>
                <c:pt idx="8">
                  <c:v>0.26700551738243594</c:v>
                </c:pt>
                <c:pt idx="9">
                  <c:v>0.28199318627461911</c:v>
                </c:pt>
                <c:pt idx="10">
                  <c:v>0.26011508259304261</c:v>
                </c:pt>
                <c:pt idx="11">
                  <c:v>0.26289850681587662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BEE4-4E38-BBB8-0B6941A0AE97}"/>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Graphs'!$AE$175:$AE$186</c:f>
              <c:numCache>
                <c:formatCode>General</c:formatCode>
                <c:ptCount val="12"/>
                <c:pt idx="0">
                  <c:v>0.22854613539240054</c:v>
                </c:pt>
                <c:pt idx="1">
                  <c:v>0.30075481847364494</c:v>
                </c:pt>
                <c:pt idx="2">
                  <c:v>0.35010066023161718</c:v>
                </c:pt>
                <c:pt idx="3">
                  <c:v>0.34133061039713769</c:v>
                </c:pt>
                <c:pt idx="4">
                  <c:v>0.31433351182050229</c:v>
                </c:pt>
                <c:pt idx="5">
                  <c:v>0.30828835997637016</c:v>
                </c:pt>
                <c:pt idx="6">
                  <c:v>0.2938470698529822</c:v>
                </c:pt>
                <c:pt idx="7">
                  <c:v>0.2981876544801989</c:v>
                </c:pt>
                <c:pt idx="8">
                  <c:v>0.26875732283736642</c:v>
                </c:pt>
                <c:pt idx="9">
                  <c:v>0.28022191631463383</c:v>
                </c:pt>
                <c:pt idx="10">
                  <c:v>0.26332672592708184</c:v>
                </c:pt>
                <c:pt idx="11">
                  <c:v>0.26266493275521924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BEE4-4E38-BBB8-0B6941A0AE97}"/>
            </c:ext>
          </c:extLst>
        </c:ser>
        <c:ser>
          <c:idx val="14"/>
          <c:order val="14"/>
          <c:tx>
            <c:strRef>
              <c:f>'2016 E Maize VWC Graphs'!$Z$188</c:f>
              <c:strCache>
                <c:ptCount val="1"/>
                <c:pt idx="0">
                  <c:v>270</c:v>
                </c:pt>
              </c:strCache>
            </c:strRef>
          </c:tx>
          <c:xVal>
            <c:numRef>
              <c:f>'2016 E Maize VWC Graphs'!$AE$188:$AE$199</c:f>
              <c:numCache>
                <c:formatCode>General</c:formatCode>
                <c:ptCount val="12"/>
                <c:pt idx="0">
                  <c:v>0.20385965442446807</c:v>
                </c:pt>
                <c:pt idx="1">
                  <c:v>0.28271095615100816</c:v>
                </c:pt>
                <c:pt idx="2">
                  <c:v>0.34405550838748511</c:v>
                </c:pt>
                <c:pt idx="3">
                  <c:v>0.33047681504062776</c:v>
                </c:pt>
                <c:pt idx="4">
                  <c:v>0.30872342772272815</c:v>
                </c:pt>
                <c:pt idx="5">
                  <c:v>0.30870052942028825</c:v>
                </c:pt>
                <c:pt idx="6">
                  <c:v>0.29633852649999448</c:v>
                </c:pt>
                <c:pt idx="7">
                  <c:v>0.29542369476241964</c:v>
                </c:pt>
                <c:pt idx="8">
                  <c:v>0.26842642625143509</c:v>
                </c:pt>
                <c:pt idx="9">
                  <c:v>0.27545311257621191</c:v>
                </c:pt>
                <c:pt idx="10">
                  <c:v>0.25972579249194694</c:v>
                </c:pt>
                <c:pt idx="11">
                  <c:v>0.25838274164316688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BEE4-4E38-BBB8-0B6941A0AE97}"/>
            </c:ext>
          </c:extLst>
        </c:ser>
        <c:ser>
          <c:idx val="16"/>
          <c:order val="15"/>
          <c:tx>
            <c:strRef>
              <c:f>'2016 E Maize VWC Graphs'!$Z$201</c:f>
              <c:strCache>
                <c:ptCount val="1"/>
                <c:pt idx="0">
                  <c:v>286</c:v>
                </c:pt>
              </c:strCache>
            </c:strRef>
          </c:tx>
          <c:xVal>
            <c:numRef>
              <c:f>'2016 E Maize VWC Graphs'!$AE$201:$AE$212</c:f>
              <c:numCache>
                <c:formatCode>General</c:formatCode>
                <c:ptCount val="12"/>
                <c:pt idx="0">
                  <c:v>0.19693516364791513</c:v>
                </c:pt>
                <c:pt idx="1">
                  <c:v>0.29063376879521158</c:v>
                </c:pt>
                <c:pt idx="2">
                  <c:v>0.33881179712874931</c:v>
                </c:pt>
                <c:pt idx="3">
                  <c:v>0.32946928973327244</c:v>
                </c:pt>
                <c:pt idx="4">
                  <c:v>0.30599852973238073</c:v>
                </c:pt>
                <c:pt idx="5">
                  <c:v>0.30558636028846264</c:v>
                </c:pt>
                <c:pt idx="6">
                  <c:v>0.29075221354927161</c:v>
                </c:pt>
                <c:pt idx="7">
                  <c:v>0.28909773061961508</c:v>
                </c:pt>
                <c:pt idx="8">
                  <c:v>0.26498120885673848</c:v>
                </c:pt>
                <c:pt idx="9">
                  <c:v>0.27436310029314404</c:v>
                </c:pt>
                <c:pt idx="10">
                  <c:v>0.25390590548056668</c:v>
                </c:pt>
                <c:pt idx="11">
                  <c:v>0.26354083548268448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BEE4-4E38-BBB8-0B6941A0AE97}"/>
            </c:ext>
          </c:extLst>
        </c:ser>
        <c:ser>
          <c:idx val="17"/>
          <c:order val="16"/>
          <c:tx>
            <c:strRef>
              <c:f>'2016 E Maize VWC Graphs'!$Z$214</c:f>
              <c:strCache>
                <c:ptCount val="1"/>
                <c:pt idx="0">
                  <c:v>302</c:v>
                </c:pt>
              </c:strCache>
            </c:strRef>
          </c:tx>
          <c:xVal>
            <c:numRef>
              <c:f>'2016 E Maize VWC Graphs'!$AE$214:$AE$225</c:f>
              <c:numCache>
                <c:formatCode>General</c:formatCode>
                <c:ptCount val="12"/>
                <c:pt idx="0">
                  <c:v>0.16887275365872689</c:v>
                </c:pt>
                <c:pt idx="1">
                  <c:v>0.28706163361458814</c:v>
                </c:pt>
                <c:pt idx="2">
                  <c:v>0.33656776348963963</c:v>
                </c:pt>
                <c:pt idx="3">
                  <c:v>0.3207221382012328</c:v>
                </c:pt>
                <c:pt idx="4">
                  <c:v>0.30897530904956699</c:v>
                </c:pt>
                <c:pt idx="5">
                  <c:v>0.31263903743995008</c:v>
                </c:pt>
                <c:pt idx="6">
                  <c:v>0.29147240023629861</c:v>
                </c:pt>
                <c:pt idx="7">
                  <c:v>0.29104418112509339</c:v>
                </c:pt>
                <c:pt idx="8">
                  <c:v>0.26285957780576708</c:v>
                </c:pt>
                <c:pt idx="9">
                  <c:v>0.27619276376829371</c:v>
                </c:pt>
                <c:pt idx="10">
                  <c:v>0.24662618059007768</c:v>
                </c:pt>
                <c:pt idx="11">
                  <c:v>0.25970632798689219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BEE4-4E38-BBB8-0B6941A0AE97}"/>
            </c:ext>
          </c:extLst>
        </c:ser>
        <c:ser>
          <c:idx val="18"/>
          <c:order val="17"/>
          <c:tx>
            <c:strRef>
              <c:f>'2016 E Maize VWC Graphs'!$Z$227</c:f>
              <c:strCache>
                <c:ptCount val="1"/>
                <c:pt idx="0">
                  <c:v>0</c:v>
                </c:pt>
              </c:strCache>
            </c:strRef>
          </c:tx>
          <c:xVal>
            <c:numRef>
              <c:f>'2016 E Maize VWC Graphs'!$AE$227:$AE$238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BEE4-4E38-BBB8-0B6941A0AE97}"/>
            </c:ext>
          </c:extLst>
        </c:ser>
        <c:ser>
          <c:idx val="19"/>
          <c:order val="18"/>
          <c:tx>
            <c:strRef>
              <c:f>'2016 E Maize VWC Graphs'!$Z$240</c:f>
              <c:strCache>
                <c:ptCount val="1"/>
                <c:pt idx="0">
                  <c:v>0</c:v>
                </c:pt>
              </c:strCache>
            </c:strRef>
          </c:tx>
          <c:xVal>
            <c:numRef>
              <c:f>'2016 E Maize VWC Graphs'!$AE$240:$AE$251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BEE4-4E38-BBB8-0B6941A0AE97}"/>
            </c:ext>
          </c:extLst>
        </c:ser>
        <c:ser>
          <c:idx val="20"/>
          <c:order val="19"/>
          <c:tx>
            <c:strRef>
              <c:f>'2016 E Maize VWC Graphs'!$Z$253</c:f>
              <c:strCache>
                <c:ptCount val="1"/>
                <c:pt idx="0">
                  <c:v>0</c:v>
                </c:pt>
              </c:strCache>
            </c:strRef>
          </c:tx>
          <c:xVal>
            <c:numRef>
              <c:f>'2016 E Maize VWC Graphs'!$AE$253:$AE$264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BEE4-4E38-BBB8-0B6941A0AE97}"/>
            </c:ext>
          </c:extLst>
        </c:ser>
        <c:ser>
          <c:idx val="21"/>
          <c:order val="20"/>
          <c:tx>
            <c:strRef>
              <c:f>'2016 E Maize VWC Graphs'!$Z$266</c:f>
              <c:strCache>
                <c:ptCount val="1"/>
                <c:pt idx="0">
                  <c:v>0</c:v>
                </c:pt>
              </c:strCache>
            </c:strRef>
          </c:tx>
          <c:xVal>
            <c:numRef>
              <c:f>'2016 E Maize VWC Graphs'!$AE$266:$AE$277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BEE4-4E38-BBB8-0B6941A0AE97}"/>
            </c:ext>
          </c:extLst>
        </c:ser>
        <c:ser>
          <c:idx val="22"/>
          <c:order val="21"/>
          <c:tx>
            <c:strRef>
              <c:f>'2016 E Maize VWC Graphs'!$Z$279</c:f>
              <c:strCache>
                <c:ptCount val="1"/>
                <c:pt idx="0">
                  <c:v>0</c:v>
                </c:pt>
              </c:strCache>
            </c:strRef>
          </c:tx>
          <c:xVal>
            <c:numRef>
              <c:f>'2016 E Maize VWC Graphs'!$AE$279:$AE$290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BEE4-4E38-BBB8-0B6941A0AE97}"/>
            </c:ext>
          </c:extLst>
        </c:ser>
        <c:ser>
          <c:idx val="23"/>
          <c:order val="22"/>
          <c:tx>
            <c:strRef>
              <c:f>'2016 E Maize VWC Graphs'!$Z$292</c:f>
              <c:strCache>
                <c:ptCount val="1"/>
                <c:pt idx="0">
                  <c:v>0</c:v>
                </c:pt>
              </c:strCache>
            </c:strRef>
          </c:tx>
          <c:xVal>
            <c:numRef>
              <c:f>'2016 E Maize VWC Graphs'!$AE$292:$AE$303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BEE4-4E38-BBB8-0B6941A0AE97}"/>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BEE4-4E38-BBB8-0B6941A0AE9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900647948164149"/>
          <c:h val="0.7317312608651190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Graphs'!$AF$6:$AF$17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3ABC-42C3-BD61-E53A0AE8C321}"/>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Graphs'!$AF$19:$AF$30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3ABC-42C3-BD61-E53A0AE8C321}"/>
            </c:ext>
          </c:extLst>
        </c:ser>
        <c:ser>
          <c:idx val="0"/>
          <c:order val="2"/>
          <c:tx>
            <c:strRef>
              <c:f>'2016 E Maize VWC Graphs'!$Z$32</c:f>
              <c:strCache>
                <c:ptCount val="1"/>
                <c:pt idx="0">
                  <c:v>161</c:v>
                </c:pt>
              </c:strCache>
            </c:strRef>
          </c:tx>
          <c:xVal>
            <c:numRef>
              <c:f>'2016 E Maize VWC Graphs'!$AF$32:$AF$43</c:f>
              <c:numCache>
                <c:formatCode>General</c:formatCode>
                <c:ptCount val="12"/>
                <c:pt idx="0">
                  <c:v>0.23474173240300056</c:v>
                </c:pt>
                <c:pt idx="1">
                  <c:v>0.32122590085491048</c:v>
                </c:pt>
                <c:pt idx="2">
                  <c:v>0.34668881316807298</c:v>
                </c:pt>
                <c:pt idx="3">
                  <c:v>0.33844542428971103</c:v>
                </c:pt>
                <c:pt idx="4">
                  <c:v>0.3377355769140743</c:v>
                </c:pt>
                <c:pt idx="5">
                  <c:v>0.33677384821159873</c:v>
                </c:pt>
                <c:pt idx="6">
                  <c:v>0.3004455370665538</c:v>
                </c:pt>
                <c:pt idx="7">
                  <c:v>0.2945672565400092</c:v>
                </c:pt>
                <c:pt idx="8">
                  <c:v>0.28384231425482354</c:v>
                </c:pt>
                <c:pt idx="9">
                  <c:v>0.28623644837656187</c:v>
                </c:pt>
                <c:pt idx="10">
                  <c:v>0.27305897845447352</c:v>
                </c:pt>
                <c:pt idx="11">
                  <c:v>0.26523424742245061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3ABC-42C3-BD61-E53A0AE8C321}"/>
            </c:ext>
          </c:extLst>
        </c:ser>
        <c:ser>
          <c:idx val="1"/>
          <c:order val="3"/>
          <c:tx>
            <c:strRef>
              <c:f>'2016 E Maize VWC Graphs'!$Z$45</c:f>
              <c:strCache>
                <c:ptCount val="1"/>
                <c:pt idx="0">
                  <c:v>167</c:v>
                </c:pt>
              </c:strCache>
            </c:strRef>
          </c:tx>
          <c:marker>
            <c:symbol val="square"/>
            <c:size val="5"/>
          </c:marker>
          <c:xVal>
            <c:numRef>
              <c:f>'2016 E Maize VWC Graphs'!$AF$45:$AF$56</c:f>
              <c:numCache>
                <c:formatCode>General</c:formatCode>
                <c:ptCount val="12"/>
                <c:pt idx="0">
                  <c:v>0.23205633431791078</c:v>
                </c:pt>
                <c:pt idx="1">
                  <c:v>0.31664624036693162</c:v>
                </c:pt>
                <c:pt idx="2">
                  <c:v>0.34870386378278367</c:v>
                </c:pt>
                <c:pt idx="3">
                  <c:v>0.34004830546050357</c:v>
                </c:pt>
                <c:pt idx="4">
                  <c:v>0.33819354296287213</c:v>
                </c:pt>
                <c:pt idx="5">
                  <c:v>0.34112452567517859</c:v>
                </c:pt>
                <c:pt idx="6">
                  <c:v>0.30690775274474186</c:v>
                </c:pt>
                <c:pt idx="7">
                  <c:v>0.30239198757203212</c:v>
                </c:pt>
                <c:pt idx="8">
                  <c:v>0.29793461591448667</c:v>
                </c:pt>
                <c:pt idx="9">
                  <c:v>0.29297116712551691</c:v>
                </c:pt>
                <c:pt idx="10">
                  <c:v>0.28837754393258808</c:v>
                </c:pt>
                <c:pt idx="11">
                  <c:v>0.27726331154630673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3ABC-42C3-BD61-E53A0AE8C321}"/>
            </c:ext>
          </c:extLst>
        </c:ser>
        <c:ser>
          <c:idx val="2"/>
          <c:order val="4"/>
          <c:tx>
            <c:strRef>
              <c:f>'2016 E Maize VWC Graphs'!$Z$58</c:f>
              <c:strCache>
                <c:ptCount val="1"/>
                <c:pt idx="0">
                  <c:v>173</c:v>
                </c:pt>
              </c:strCache>
            </c:strRef>
          </c:tx>
          <c:marker>
            <c:spPr>
              <a:solidFill>
                <a:srgbClr val="00B050"/>
              </a:solidFill>
            </c:spPr>
          </c:marker>
          <c:xVal>
            <c:numRef>
              <c:f>'2016 E Maize VWC Graphs'!$AF$58:$AF$69</c:f>
              <c:numCache>
                <c:formatCode>General</c:formatCode>
                <c:ptCount val="12"/>
                <c:pt idx="0">
                  <c:v>0.20752330466912627</c:v>
                </c:pt>
                <c:pt idx="1">
                  <c:v>0.29246563299040312</c:v>
                </c:pt>
                <c:pt idx="2">
                  <c:v>0.34169698323617603</c:v>
                </c:pt>
                <c:pt idx="3">
                  <c:v>0.34066655962638076</c:v>
                </c:pt>
                <c:pt idx="4">
                  <c:v>0.34201755947033452</c:v>
                </c:pt>
                <c:pt idx="5">
                  <c:v>0.34151379681665689</c:v>
                </c:pt>
                <c:pt idx="6">
                  <c:v>0.30842598413901495</c:v>
                </c:pt>
                <c:pt idx="7">
                  <c:v>0.31319478787743688</c:v>
                </c:pt>
                <c:pt idx="8">
                  <c:v>0.30468879916849656</c:v>
                </c:pt>
                <c:pt idx="9">
                  <c:v>0.29888837666217111</c:v>
                </c:pt>
                <c:pt idx="10">
                  <c:v>0.29464511456022829</c:v>
                </c:pt>
                <c:pt idx="11">
                  <c:v>0.28512697158843925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3ABC-42C3-BD61-E53A0AE8C321}"/>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Graphs'!$AF$71:$AF$82</c:f>
              <c:numCache>
                <c:formatCode>General</c:formatCode>
                <c:ptCount val="12"/>
                <c:pt idx="0">
                  <c:v>0.16279224513748791</c:v>
                </c:pt>
                <c:pt idx="1">
                  <c:v>0.24866118042288532</c:v>
                </c:pt>
                <c:pt idx="2">
                  <c:v>0.31749347755720769</c:v>
                </c:pt>
                <c:pt idx="3">
                  <c:v>0.3290113236844745</c:v>
                </c:pt>
                <c:pt idx="4">
                  <c:v>0.33311011982121563</c:v>
                </c:pt>
                <c:pt idx="5">
                  <c:v>0.34064366132394086</c:v>
                </c:pt>
                <c:pt idx="6">
                  <c:v>0.31025564761416458</c:v>
                </c:pt>
                <c:pt idx="7">
                  <c:v>0.30067911112721113</c:v>
                </c:pt>
                <c:pt idx="8">
                  <c:v>0.29503440466132397</c:v>
                </c:pt>
                <c:pt idx="9">
                  <c:v>0.2990440927026094</c:v>
                </c:pt>
                <c:pt idx="10">
                  <c:v>0.28966220126620373</c:v>
                </c:pt>
                <c:pt idx="11">
                  <c:v>0.28156496716341389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3ABC-42C3-BD61-E53A0AE8C321}"/>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Graphs'!$AF$84:$AF$95</c:f>
              <c:numCache>
                <c:formatCode>General</c:formatCode>
                <c:ptCount val="12"/>
                <c:pt idx="0">
                  <c:v>0.15711454632901234</c:v>
                </c:pt>
                <c:pt idx="1">
                  <c:v>0.24806582455944809</c:v>
                </c:pt>
                <c:pt idx="2">
                  <c:v>0.2951676326783107</c:v>
                </c:pt>
                <c:pt idx="3">
                  <c:v>0.31174600364479421</c:v>
                </c:pt>
                <c:pt idx="4">
                  <c:v>0.33448401796760929</c:v>
                </c:pt>
                <c:pt idx="5">
                  <c:v>0.34504013539240058</c:v>
                </c:pt>
                <c:pt idx="6">
                  <c:v>0.31066440222031499</c:v>
                </c:pt>
                <c:pt idx="7">
                  <c:v>0.30601238551222176</c:v>
                </c:pt>
                <c:pt idx="8">
                  <c:v>0.30149662033951202</c:v>
                </c:pt>
                <c:pt idx="9">
                  <c:v>0.30067911112721113</c:v>
                </c:pt>
                <c:pt idx="10">
                  <c:v>0.29404171490352998</c:v>
                </c:pt>
                <c:pt idx="11">
                  <c:v>0.28421213985086441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3ABC-42C3-BD61-E53A0AE8C321}"/>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Graphs'!$AF$97:$AF$108</c:f>
              <c:numCache>
                <c:formatCode>General</c:formatCode>
                <c:ptCount val="12"/>
                <c:pt idx="0">
                  <c:v>0.15370025447796962</c:v>
                </c:pt>
                <c:pt idx="1">
                  <c:v>0.25369880695966207</c:v>
                </c:pt>
                <c:pt idx="2">
                  <c:v>0.29608356477590647</c:v>
                </c:pt>
                <c:pt idx="3">
                  <c:v>0.30416666553718918</c:v>
                </c:pt>
                <c:pt idx="4">
                  <c:v>0.32862205254299631</c:v>
                </c:pt>
                <c:pt idx="5">
                  <c:v>0.33615559404572154</c:v>
                </c:pt>
                <c:pt idx="6">
                  <c:v>0.30990528652317845</c:v>
                </c:pt>
                <c:pt idx="7">
                  <c:v>0.30601238551222176</c:v>
                </c:pt>
                <c:pt idx="8">
                  <c:v>0.29754532581339105</c:v>
                </c:pt>
                <c:pt idx="9">
                  <c:v>0.29649424254043272</c:v>
                </c:pt>
                <c:pt idx="10">
                  <c:v>0.29172543880201079</c:v>
                </c:pt>
                <c:pt idx="11">
                  <c:v>0.28004673576914074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3ABC-42C3-BD61-E53A0AE8C321}"/>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Graphs'!$AF$110:$AF$121</c:f>
              <c:numCache>
                <c:formatCode>General</c:formatCode>
                <c:ptCount val="12"/>
                <c:pt idx="0">
                  <c:v>0.14923098480778449</c:v>
                </c:pt>
                <c:pt idx="1">
                  <c:v>0.25044724801319707</c:v>
                </c:pt>
                <c:pt idx="2">
                  <c:v>0.302037123410279</c:v>
                </c:pt>
                <c:pt idx="3">
                  <c:v>0.30947907170324462</c:v>
                </c:pt>
                <c:pt idx="4">
                  <c:v>0.32266849390862379</c:v>
                </c:pt>
                <c:pt idx="5">
                  <c:v>0.33984222073854453</c:v>
                </c:pt>
                <c:pt idx="6">
                  <c:v>0.30556470189596174</c:v>
                </c:pt>
                <c:pt idx="7">
                  <c:v>0.30171072989511472</c:v>
                </c:pt>
                <c:pt idx="8">
                  <c:v>0.29413903742880393</c:v>
                </c:pt>
                <c:pt idx="9">
                  <c:v>0.2974285387830623</c:v>
                </c:pt>
                <c:pt idx="10">
                  <c:v>0.28964273676114899</c:v>
                </c:pt>
                <c:pt idx="11">
                  <c:v>0.28378392073965919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3ABC-42C3-BD61-E53A0AE8C321}"/>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Graphs'!$AF$123:$AF$134</c:f>
              <c:numCache>
                <c:formatCode>General</c:formatCode>
                <c:ptCount val="12"/>
                <c:pt idx="0">
                  <c:v>0.13018383981854054</c:v>
                </c:pt>
                <c:pt idx="1">
                  <c:v>0.28635178623895141</c:v>
                </c:pt>
                <c:pt idx="2">
                  <c:v>0.32287457863058289</c:v>
                </c:pt>
                <c:pt idx="3">
                  <c:v>0.32988145917719053</c:v>
                </c:pt>
                <c:pt idx="4">
                  <c:v>0.32992725578207027</c:v>
                </c:pt>
                <c:pt idx="5">
                  <c:v>0.33736920407503596</c:v>
                </c:pt>
                <c:pt idx="6">
                  <c:v>0.31025564761416458</c:v>
                </c:pt>
                <c:pt idx="7">
                  <c:v>0.30011464048062242</c:v>
                </c:pt>
                <c:pt idx="8">
                  <c:v>0.29618281045955619</c:v>
                </c:pt>
                <c:pt idx="9">
                  <c:v>0.29466457906528309</c:v>
                </c:pt>
                <c:pt idx="10">
                  <c:v>0.29238723197387345</c:v>
                </c:pt>
                <c:pt idx="11">
                  <c:v>0.28218783132516695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3ABC-42C3-BD61-E53A0AE8C321}"/>
            </c:ext>
          </c:extLst>
        </c:ser>
        <c:ser>
          <c:idx val="10"/>
          <c:order val="10"/>
          <c:tx>
            <c:strRef>
              <c:f>'2016 E Maize VWC Graphs'!$Z$136</c:f>
              <c:strCache>
                <c:ptCount val="1"/>
                <c:pt idx="0">
                  <c:v>224</c:v>
                </c:pt>
              </c:strCache>
            </c:strRef>
          </c:tx>
          <c:xVal>
            <c:numRef>
              <c:f>'2016 E Maize VWC Graphs'!$AF$136:$AF$147</c:f>
              <c:numCache>
                <c:formatCode>General</c:formatCode>
                <c:ptCount val="12"/>
                <c:pt idx="0">
                  <c:v>0.24688356803058509</c:v>
                </c:pt>
                <c:pt idx="1">
                  <c:v>0.30123568282488267</c:v>
                </c:pt>
                <c:pt idx="2">
                  <c:v>0.33457561117736889</c:v>
                </c:pt>
                <c:pt idx="3">
                  <c:v>0.31792854530356568</c:v>
                </c:pt>
                <c:pt idx="4">
                  <c:v>0.33061420485526716</c:v>
                </c:pt>
                <c:pt idx="5">
                  <c:v>0.32921740840643354</c:v>
                </c:pt>
                <c:pt idx="6">
                  <c:v>0.3171266178985031</c:v>
                </c:pt>
                <c:pt idx="7">
                  <c:v>0.30058178860193724</c:v>
                </c:pt>
                <c:pt idx="8">
                  <c:v>0.28831915041742373</c:v>
                </c:pt>
                <c:pt idx="9">
                  <c:v>0.30194430395577204</c:v>
                </c:pt>
                <c:pt idx="10">
                  <c:v>0.29754532581339105</c:v>
                </c:pt>
                <c:pt idx="11">
                  <c:v>0.27786671120300505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3ABC-42C3-BD61-E53A0AE8C321}"/>
            </c:ext>
          </c:extLst>
        </c:ser>
        <c:ser>
          <c:idx val="11"/>
          <c:order val="11"/>
          <c:tx>
            <c:strRef>
              <c:f>'2016 E Maize VWC Graphs'!$Z$149</c:f>
              <c:strCache>
                <c:ptCount val="1"/>
                <c:pt idx="0">
                  <c:v>236</c:v>
                </c:pt>
              </c:strCache>
            </c:strRef>
          </c:tx>
          <c:xVal>
            <c:numRef>
              <c:f>'2016 E Maize VWC Graphs'!$AF$149:$AF$160</c:f>
              <c:numCache>
                <c:formatCode>General</c:formatCode>
                <c:ptCount val="12"/>
                <c:pt idx="0">
                  <c:v>0.23955626754126869</c:v>
                </c:pt>
                <c:pt idx="1">
                  <c:v>0.31877578249384175</c:v>
                </c:pt>
                <c:pt idx="2">
                  <c:v>0.32878234066007561</c:v>
                </c:pt>
                <c:pt idx="3">
                  <c:v>0.3190047655182407</c:v>
                </c:pt>
                <c:pt idx="4">
                  <c:v>0.31728739283524865</c:v>
                </c:pt>
                <c:pt idx="5">
                  <c:v>0.32830147630883777</c:v>
                </c:pt>
                <c:pt idx="6">
                  <c:v>0.30542845036057831</c:v>
                </c:pt>
                <c:pt idx="7">
                  <c:v>0.28997363334708032</c:v>
                </c:pt>
                <c:pt idx="8">
                  <c:v>0.28355034667900181</c:v>
                </c:pt>
                <c:pt idx="9">
                  <c:v>0.29275705756991433</c:v>
                </c:pt>
                <c:pt idx="10">
                  <c:v>0.28532161663898709</c:v>
                </c:pt>
                <c:pt idx="11">
                  <c:v>0.27444095831336313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3ABC-42C3-BD61-E53A0AE8C321}"/>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Graphs'!$AF$162:$AF$173</c:f>
              <c:numCache>
                <c:formatCode>General</c:formatCode>
                <c:ptCount val="12"/>
                <c:pt idx="0">
                  <c:v>0.28344334481759309</c:v>
                </c:pt>
                <c:pt idx="1">
                  <c:v>0.3222334261622658</c:v>
                </c:pt>
                <c:pt idx="2">
                  <c:v>0.33858281410435032</c:v>
                </c:pt>
                <c:pt idx="3">
                  <c:v>0.33189650979190122</c:v>
                </c:pt>
                <c:pt idx="4">
                  <c:v>0.31751637585964754</c:v>
                </c:pt>
                <c:pt idx="5">
                  <c:v>0.32079083310855244</c:v>
                </c:pt>
                <c:pt idx="6">
                  <c:v>0.29715603571229537</c:v>
                </c:pt>
                <c:pt idx="7">
                  <c:v>0.27868422041530594</c:v>
                </c:pt>
                <c:pt idx="8">
                  <c:v>0.27959905215288078</c:v>
                </c:pt>
                <c:pt idx="9">
                  <c:v>0.28376445623460439</c:v>
                </c:pt>
                <c:pt idx="10">
                  <c:v>0.28031923883990773</c:v>
                </c:pt>
                <c:pt idx="11">
                  <c:v>0.27000305116087259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3ABC-42C3-BD61-E53A0AE8C321}"/>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Graphs'!$AF$175:$AF$186</c:f>
              <c:numCache>
                <c:formatCode>General</c:formatCode>
                <c:ptCount val="12"/>
                <c:pt idx="0">
                  <c:v>0.23754221897745131</c:v>
                </c:pt>
                <c:pt idx="1">
                  <c:v>0.29436619209291442</c:v>
                </c:pt>
                <c:pt idx="2">
                  <c:v>0.3361097974408418</c:v>
                </c:pt>
                <c:pt idx="3">
                  <c:v>0.32628642569412708</c:v>
                </c:pt>
                <c:pt idx="4">
                  <c:v>0.31016602077644151</c:v>
                </c:pt>
                <c:pt idx="5">
                  <c:v>0.31518074901077836</c:v>
                </c:pt>
                <c:pt idx="6">
                  <c:v>0.29787622239932238</c:v>
                </c:pt>
                <c:pt idx="7">
                  <c:v>0.27662098287949888</c:v>
                </c:pt>
                <c:pt idx="8">
                  <c:v>0.27340933954545965</c:v>
                </c:pt>
                <c:pt idx="9">
                  <c:v>0.28323891459812528</c:v>
                </c:pt>
                <c:pt idx="10">
                  <c:v>0.27989101972870251</c:v>
                </c:pt>
                <c:pt idx="11">
                  <c:v>0.2705480573024065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3ABC-42C3-BD61-E53A0AE8C321}"/>
            </c:ext>
          </c:extLst>
        </c:ser>
        <c:ser>
          <c:idx val="14"/>
          <c:order val="14"/>
          <c:tx>
            <c:strRef>
              <c:f>'2016 E Maize VWC Graphs'!$Z$188</c:f>
              <c:strCache>
                <c:ptCount val="1"/>
                <c:pt idx="0">
                  <c:v>270</c:v>
                </c:pt>
              </c:strCache>
            </c:strRef>
          </c:tx>
          <c:xVal>
            <c:numRef>
              <c:f>'2016 E Maize VWC Graphs'!$AF$188:$AF$199</c:f>
              <c:numCache>
                <c:formatCode>General</c:formatCode>
                <c:ptCount val="12"/>
                <c:pt idx="0">
                  <c:v>0.20946062757336958</c:v>
                </c:pt>
                <c:pt idx="1">
                  <c:v>0.28110807498021556</c:v>
                </c:pt>
                <c:pt idx="2">
                  <c:v>0.32995015408451017</c:v>
                </c:pt>
                <c:pt idx="3">
                  <c:v>0.31685232508889066</c:v>
                </c:pt>
                <c:pt idx="4">
                  <c:v>0.30080061507852474</c:v>
                </c:pt>
                <c:pt idx="5">
                  <c:v>0.31472278296198047</c:v>
                </c:pt>
                <c:pt idx="6">
                  <c:v>0.29256241251936649</c:v>
                </c:pt>
                <c:pt idx="7">
                  <c:v>0.27442149380830838</c:v>
                </c:pt>
                <c:pt idx="8">
                  <c:v>0.27350666207073354</c:v>
                </c:pt>
                <c:pt idx="9">
                  <c:v>0.28257712142626262</c:v>
                </c:pt>
                <c:pt idx="10">
                  <c:v>0.27455774534369187</c:v>
                </c:pt>
                <c:pt idx="11">
                  <c:v>0.26620747267518979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3ABC-42C3-BD61-E53A0AE8C321}"/>
            </c:ext>
          </c:extLst>
        </c:ser>
        <c:ser>
          <c:idx val="16"/>
          <c:order val="15"/>
          <c:tx>
            <c:strRef>
              <c:f>'2016 E Maize VWC Graphs'!$Z$201</c:f>
              <c:strCache>
                <c:ptCount val="1"/>
                <c:pt idx="0">
                  <c:v>286</c:v>
                </c:pt>
              </c:strCache>
            </c:strRef>
          </c:tx>
          <c:xVal>
            <c:numRef>
              <c:f>'2016 E Maize VWC Graphs'!$AF$201:$AF$212</c:f>
              <c:numCache>
                <c:formatCode>General</c:formatCode>
                <c:ptCount val="12"/>
                <c:pt idx="0">
                  <c:v>0.18740200044584637</c:v>
                </c:pt>
                <c:pt idx="1">
                  <c:v>0.27016268641394608</c:v>
                </c:pt>
                <c:pt idx="2">
                  <c:v>0.31632566413277308</c:v>
                </c:pt>
                <c:pt idx="3">
                  <c:v>0.31105905457159738</c:v>
                </c:pt>
                <c:pt idx="4">
                  <c:v>0.29223664996600424</c:v>
                </c:pt>
                <c:pt idx="5">
                  <c:v>0.30817386846417066</c:v>
                </c:pt>
                <c:pt idx="6">
                  <c:v>0.2879882538314924</c:v>
                </c:pt>
                <c:pt idx="7">
                  <c:v>0.27085948938328303</c:v>
                </c:pt>
                <c:pt idx="8">
                  <c:v>0.27212468221184394</c:v>
                </c:pt>
                <c:pt idx="9">
                  <c:v>0.27909297502145636</c:v>
                </c:pt>
                <c:pt idx="10">
                  <c:v>0.27401273920215796</c:v>
                </c:pt>
                <c:pt idx="11">
                  <c:v>0.263852267563561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3ABC-42C3-BD61-E53A0AE8C321}"/>
            </c:ext>
          </c:extLst>
        </c:ser>
        <c:ser>
          <c:idx val="17"/>
          <c:order val="16"/>
          <c:tx>
            <c:strRef>
              <c:f>'2016 E Maize VWC Graphs'!$Z$214</c:f>
              <c:strCache>
                <c:ptCount val="1"/>
                <c:pt idx="0">
                  <c:v>302</c:v>
                </c:pt>
              </c:strCache>
            </c:strRef>
          </c:tx>
          <c:xVal>
            <c:numRef>
              <c:f>'2016 E Maize VWC Graphs'!$AF$214:$AF$225</c:f>
              <c:numCache>
                <c:formatCode>General</c:formatCode>
                <c:ptCount val="12"/>
                <c:pt idx="0">
                  <c:v>0.16557355029704518</c:v>
                </c:pt>
                <c:pt idx="1">
                  <c:v>0.26691112746748108</c:v>
                </c:pt>
                <c:pt idx="2">
                  <c:v>0.31866129098164231</c:v>
                </c:pt>
                <c:pt idx="3">
                  <c:v>0.31073847833743884</c:v>
                </c:pt>
                <c:pt idx="4">
                  <c:v>0.29500734456123145</c:v>
                </c:pt>
                <c:pt idx="5">
                  <c:v>0.30810517355685102</c:v>
                </c:pt>
                <c:pt idx="6">
                  <c:v>0.28974005928642294</c:v>
                </c:pt>
                <c:pt idx="7">
                  <c:v>0.27008090918109168</c:v>
                </c:pt>
                <c:pt idx="8">
                  <c:v>0.27159914057536477</c:v>
                </c:pt>
                <c:pt idx="9">
                  <c:v>0.27586186718236233</c:v>
                </c:pt>
                <c:pt idx="10">
                  <c:v>0.26918554194857169</c:v>
                </c:pt>
                <c:pt idx="11">
                  <c:v>0.25777934198646857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3ABC-42C3-BD61-E53A0AE8C321}"/>
            </c:ext>
          </c:extLst>
        </c:ser>
        <c:ser>
          <c:idx val="18"/>
          <c:order val="17"/>
          <c:tx>
            <c:strRef>
              <c:f>'2016 E Maize VWC Graphs'!$Z$227</c:f>
              <c:strCache>
                <c:ptCount val="1"/>
                <c:pt idx="0">
                  <c:v>0</c:v>
                </c:pt>
              </c:strCache>
            </c:strRef>
          </c:tx>
          <c:xVal>
            <c:numRef>
              <c:f>'2016 E Maize VWC Graphs'!$AF$227:$AF$238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3ABC-42C3-BD61-E53A0AE8C321}"/>
            </c:ext>
          </c:extLst>
        </c:ser>
        <c:ser>
          <c:idx val="19"/>
          <c:order val="18"/>
          <c:tx>
            <c:strRef>
              <c:f>'2016 E Maize VWC Graphs'!$Z$240</c:f>
              <c:strCache>
                <c:ptCount val="1"/>
                <c:pt idx="0">
                  <c:v>0</c:v>
                </c:pt>
              </c:strCache>
            </c:strRef>
          </c:tx>
          <c:xVal>
            <c:numRef>
              <c:f>'2016 E Maize VWC Graphs'!$AF$240:$AF$251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3ABC-42C3-BD61-E53A0AE8C321}"/>
            </c:ext>
          </c:extLst>
        </c:ser>
        <c:ser>
          <c:idx val="20"/>
          <c:order val="19"/>
          <c:tx>
            <c:strRef>
              <c:f>'2016 E Maize VWC Graphs'!$Z$253</c:f>
              <c:strCache>
                <c:ptCount val="1"/>
                <c:pt idx="0">
                  <c:v>0</c:v>
                </c:pt>
              </c:strCache>
            </c:strRef>
          </c:tx>
          <c:xVal>
            <c:numRef>
              <c:f>'2016 E Maize VWC Graphs'!$AF$253:$AF$264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3ABC-42C3-BD61-E53A0AE8C321}"/>
            </c:ext>
          </c:extLst>
        </c:ser>
        <c:ser>
          <c:idx val="21"/>
          <c:order val="20"/>
          <c:tx>
            <c:strRef>
              <c:f>'2016 E Maize VWC Graphs'!$Z$266</c:f>
              <c:strCache>
                <c:ptCount val="1"/>
                <c:pt idx="0">
                  <c:v>0</c:v>
                </c:pt>
              </c:strCache>
            </c:strRef>
          </c:tx>
          <c:xVal>
            <c:numRef>
              <c:f>'2016 E Maize VWC Graphs'!$AF$266:$AF$277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3ABC-42C3-BD61-E53A0AE8C321}"/>
            </c:ext>
          </c:extLst>
        </c:ser>
        <c:ser>
          <c:idx val="22"/>
          <c:order val="21"/>
          <c:tx>
            <c:strRef>
              <c:f>'2016 E Maize VWC Graphs'!$Z$279</c:f>
              <c:strCache>
                <c:ptCount val="1"/>
                <c:pt idx="0">
                  <c:v>0</c:v>
                </c:pt>
              </c:strCache>
            </c:strRef>
          </c:tx>
          <c:xVal>
            <c:numRef>
              <c:f>'2016 E Maize VWC Graphs'!$AF$279:$AF$290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3ABC-42C3-BD61-E53A0AE8C321}"/>
            </c:ext>
          </c:extLst>
        </c:ser>
        <c:ser>
          <c:idx val="23"/>
          <c:order val="22"/>
          <c:tx>
            <c:strRef>
              <c:f>'2016 E Maize VWC Graphs'!$Z$292</c:f>
              <c:strCache>
                <c:ptCount val="1"/>
                <c:pt idx="0">
                  <c:v>0</c:v>
                </c:pt>
              </c:strCache>
            </c:strRef>
          </c:tx>
          <c:xVal>
            <c:numRef>
              <c:f>'2016 E Maize VWC Graphs'!$AF$292:$AF$303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3ABC-42C3-BD61-E53A0AE8C321}"/>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3ABC-42C3-BD61-E53A0AE8C32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328064148568891"/>
          <c:y val="0.11242458329072502"/>
          <c:w val="0.11900647948164149"/>
          <c:h val="0.7512117803456386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Graphs'!$AG$6:$AG$17</c:f>
              <c:numCache>
                <c:formatCode>General</c:formatCode>
                <c:ptCount val="12"/>
                <c:pt idx="0">
                  <c:v>0.27009308005171817</c:v>
                </c:pt>
                <c:pt idx="1">
                  <c:v>0.35042123646577572</c:v>
                </c:pt>
                <c:pt idx="2">
                  <c:v>0.3493221179486608</c:v>
                </c:pt>
                <c:pt idx="3">
                  <c:v>0.33627008555792104</c:v>
                </c:pt>
                <c:pt idx="4">
                  <c:v>0.33159883186018257</c:v>
                </c:pt>
                <c:pt idx="5">
                  <c:v>0.33189650979190122</c:v>
                </c:pt>
                <c:pt idx="6">
                  <c:v>0.30716079131045404</c:v>
                </c:pt>
                <c:pt idx="7">
                  <c:v>0.35531597681598814</c:v>
                </c:pt>
                <c:pt idx="8">
                  <c:v>0.31739912096927009</c:v>
                </c:pt>
                <c:pt idx="9">
                  <c:v>0.32259614381889723</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EA0C-4F04-92CC-0775FD4204F3}"/>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Graphs'!$AG$19:$AG$30</c:f>
              <c:numCache>
                <c:formatCode>General</c:formatCode>
                <c:ptCount val="12"/>
                <c:pt idx="0">
                  <c:v>0.24009334715828662</c:v>
                </c:pt>
                <c:pt idx="1">
                  <c:v>0.33968193262146529</c:v>
                </c:pt>
                <c:pt idx="2">
                  <c:v>0.3477879316851879</c:v>
                </c:pt>
                <c:pt idx="3">
                  <c:v>0.33700283123599767</c:v>
                </c:pt>
                <c:pt idx="4">
                  <c:v>0.32736264590880215</c:v>
                </c:pt>
                <c:pt idx="5">
                  <c:v>0.33576632290424335</c:v>
                </c:pt>
                <c:pt idx="6">
                  <c:v>0.30879580973505583</c:v>
                </c:pt>
                <c:pt idx="7">
                  <c:v>0.35333059730040017</c:v>
                </c:pt>
                <c:pt idx="8">
                  <c:v>0.32859121137577052</c:v>
                </c:pt>
                <c:pt idx="9">
                  <c:v>0.324503665314266</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EA0C-4F04-92CC-0775FD4204F3}"/>
            </c:ext>
          </c:extLst>
        </c:ser>
        <c:ser>
          <c:idx val="0"/>
          <c:order val="2"/>
          <c:tx>
            <c:strRef>
              <c:f>'2016 E Maize VWC Graphs'!$Z$32</c:f>
              <c:strCache>
                <c:ptCount val="1"/>
                <c:pt idx="0">
                  <c:v>161</c:v>
                </c:pt>
              </c:strCache>
            </c:strRef>
          </c:tx>
          <c:xVal>
            <c:numRef>
              <c:f>'2016 E Maize VWC Graphs'!$AG$32:$AG$43</c:f>
              <c:numCache>
                <c:formatCode>General</c:formatCode>
                <c:ptCount val="12"/>
                <c:pt idx="0">
                  <c:v>0.24847562546674545</c:v>
                </c:pt>
                <c:pt idx="1">
                  <c:v>0.34542940653387877</c:v>
                </c:pt>
                <c:pt idx="2">
                  <c:v>0.34797111810470704</c:v>
                </c:pt>
                <c:pt idx="3">
                  <c:v>0.34378072875820637</c:v>
                </c:pt>
                <c:pt idx="4">
                  <c:v>0.33400315361637145</c:v>
                </c:pt>
                <c:pt idx="5">
                  <c:v>0.33173622167482197</c:v>
                </c:pt>
                <c:pt idx="6">
                  <c:v>0.31115101484668461</c:v>
                </c:pt>
                <c:pt idx="7">
                  <c:v>0.36076603823132741</c:v>
                </c:pt>
                <c:pt idx="8">
                  <c:v>0.32504867145579996</c:v>
                </c:pt>
                <c:pt idx="9">
                  <c:v>0.33238678986145326</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EA0C-4F04-92CC-0775FD4204F3}"/>
            </c:ext>
          </c:extLst>
        </c:ser>
        <c:ser>
          <c:idx val="1"/>
          <c:order val="3"/>
          <c:tx>
            <c:strRef>
              <c:f>'2016 E Maize VWC Graphs'!$Z$45</c:f>
              <c:strCache>
                <c:ptCount val="1"/>
                <c:pt idx="0">
                  <c:v>167</c:v>
                </c:pt>
              </c:strCache>
            </c:strRef>
          </c:tx>
          <c:marker>
            <c:symbol val="square"/>
            <c:size val="5"/>
          </c:marker>
          <c:xVal>
            <c:numRef>
              <c:f>'2016 E Maize VWC Graphs'!$AG$45:$AG$56</c:f>
              <c:numCache>
                <c:formatCode>General</c:formatCode>
                <c:ptCount val="12"/>
                <c:pt idx="0">
                  <c:v>0.23873146670084827</c:v>
                </c:pt>
                <c:pt idx="1">
                  <c:v>0.33143854374310333</c:v>
                </c:pt>
                <c:pt idx="2">
                  <c:v>0.35110818553897255</c:v>
                </c:pt>
                <c:pt idx="3">
                  <c:v>0.34648272844611394</c:v>
                </c:pt>
                <c:pt idx="4">
                  <c:v>0.33975062752878499</c:v>
                </c:pt>
                <c:pt idx="5">
                  <c:v>0.34357464403624732</c:v>
                </c:pt>
                <c:pt idx="6">
                  <c:v>0.31229942064491684</c:v>
                </c:pt>
                <c:pt idx="7">
                  <c:v>0.35646438261422031</c:v>
                </c:pt>
                <c:pt idx="8">
                  <c:v>0.32668368988040175</c:v>
                </c:pt>
                <c:pt idx="9">
                  <c:v>0.3324646478816724</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EA0C-4F04-92CC-0775FD4204F3}"/>
            </c:ext>
          </c:extLst>
        </c:ser>
        <c:ser>
          <c:idx val="2"/>
          <c:order val="4"/>
          <c:tx>
            <c:strRef>
              <c:f>'2016 E Maize VWC Graphs'!$Z$58</c:f>
              <c:strCache>
                <c:ptCount val="1"/>
                <c:pt idx="0">
                  <c:v>173</c:v>
                </c:pt>
              </c:strCache>
            </c:strRef>
          </c:tx>
          <c:marker>
            <c:spPr>
              <a:solidFill>
                <a:srgbClr val="00B050"/>
              </a:solidFill>
            </c:spPr>
          </c:marker>
          <c:xVal>
            <c:numRef>
              <c:f>'2016 E Maize VWC Graphs'!$AG$58:$AG$69</c:f>
              <c:numCache>
                <c:formatCode>General</c:formatCode>
                <c:ptCount val="12"/>
                <c:pt idx="0">
                  <c:v>0.19495947791388479</c:v>
                </c:pt>
                <c:pt idx="1">
                  <c:v>0.30705185164461585</c:v>
                </c:pt>
                <c:pt idx="2">
                  <c:v>0.34339145761672818</c:v>
                </c:pt>
                <c:pt idx="3">
                  <c:v>0.34222364419229356</c:v>
                </c:pt>
                <c:pt idx="4">
                  <c:v>0.34036888169466212</c:v>
                </c:pt>
                <c:pt idx="5">
                  <c:v>0.34581867767535696</c:v>
                </c:pt>
                <c:pt idx="6">
                  <c:v>0.31545267046379172</c:v>
                </c:pt>
                <c:pt idx="7">
                  <c:v>0.36129157986780658</c:v>
                </c:pt>
                <c:pt idx="8">
                  <c:v>0.32683940592083999</c:v>
                </c:pt>
                <c:pt idx="9">
                  <c:v>0.33474199497308205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EA0C-4F04-92CC-0775FD4204F3}"/>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Graphs'!$AG$71:$AG$82</c:f>
              <c:numCache>
                <c:formatCode>General</c:formatCode>
                <c:ptCount val="12"/>
                <c:pt idx="0">
                  <c:v>0.18421788557352564</c:v>
                </c:pt>
                <c:pt idx="1">
                  <c:v>0.27510871974096329</c:v>
                </c:pt>
                <c:pt idx="2">
                  <c:v>0.30670837710801746</c:v>
                </c:pt>
                <c:pt idx="3">
                  <c:v>0.32788930686491968</c:v>
                </c:pt>
                <c:pt idx="4">
                  <c:v>0.3359953059286423</c:v>
                </c:pt>
                <c:pt idx="5">
                  <c:v>0.34004830546050357</c:v>
                </c:pt>
                <c:pt idx="6">
                  <c:v>0.31683465032268138</c:v>
                </c:pt>
                <c:pt idx="7">
                  <c:v>0.36136943788802572</c:v>
                </c:pt>
                <c:pt idx="8">
                  <c:v>0.33055712638630363</c:v>
                </c:pt>
                <c:pt idx="9">
                  <c:v>0.3354037881449447</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EA0C-4F04-92CC-0775FD4204F3}"/>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Graphs'!$AG$84:$AG$95</c:f>
              <c:numCache>
                <c:formatCode>General</c:formatCode>
                <c:ptCount val="12"/>
                <c:pt idx="0">
                  <c:v>0.15711454632901234</c:v>
                </c:pt>
                <c:pt idx="1">
                  <c:v>0.26423202608201346</c:v>
                </c:pt>
                <c:pt idx="2">
                  <c:v>0.28571063377063433</c:v>
                </c:pt>
                <c:pt idx="3">
                  <c:v>0.29148100598548771</c:v>
                </c:pt>
                <c:pt idx="4">
                  <c:v>0.31492886768393952</c:v>
                </c:pt>
                <c:pt idx="5">
                  <c:v>0.3307744929723464</c:v>
                </c:pt>
                <c:pt idx="6">
                  <c:v>0.3150633803626961</c:v>
                </c:pt>
                <c:pt idx="7">
                  <c:v>0.36870755629367907</c:v>
                </c:pt>
                <c:pt idx="8">
                  <c:v>0.33629915537746474</c:v>
                </c:pt>
                <c:pt idx="9">
                  <c:v>0.35965656144320485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EA0C-4F04-92CC-0775FD4204F3}"/>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Graphs'!$AG$97:$AG$108</c:f>
              <c:numCache>
                <c:formatCode>General</c:formatCode>
                <c:ptCount val="12"/>
                <c:pt idx="0">
                  <c:v>0.15517722342476903</c:v>
                </c:pt>
                <c:pt idx="1">
                  <c:v>0.26741489012115877</c:v>
                </c:pt>
                <c:pt idx="2">
                  <c:v>0.28348949843396459</c:v>
                </c:pt>
                <c:pt idx="3">
                  <c:v>0.28048982081433843</c:v>
                </c:pt>
                <c:pt idx="4">
                  <c:v>0.30265537757615613</c:v>
                </c:pt>
                <c:pt idx="5">
                  <c:v>0.33001884899182987</c:v>
                </c:pt>
                <c:pt idx="6">
                  <c:v>0.31681518581762658</c:v>
                </c:pt>
                <c:pt idx="7">
                  <c:v>0.36792897609148772</c:v>
                </c:pt>
                <c:pt idx="8">
                  <c:v>0.33388555675067161</c:v>
                </c:pt>
                <c:pt idx="9">
                  <c:v>0.34338423521740585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EA0C-4F04-92CC-0775FD4204F3}"/>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Graphs'!$AG$110:$AG$121</c:f>
              <c:numCache>
                <c:formatCode>General</c:formatCode>
                <c:ptCount val="12"/>
                <c:pt idx="0">
                  <c:v>0.15997257714814361</c:v>
                </c:pt>
                <c:pt idx="1">
                  <c:v>0.26716300879431992</c:v>
                </c:pt>
                <c:pt idx="2">
                  <c:v>0.28369558315592364</c:v>
                </c:pt>
                <c:pt idx="3">
                  <c:v>0.28287124426808746</c:v>
                </c:pt>
                <c:pt idx="4">
                  <c:v>0.29370214132215744</c:v>
                </c:pt>
                <c:pt idx="5">
                  <c:v>0.32191284992810726</c:v>
                </c:pt>
                <c:pt idx="6">
                  <c:v>0.31076172474558894</c:v>
                </c:pt>
                <c:pt idx="7">
                  <c:v>0.36508715835348932</c:v>
                </c:pt>
                <c:pt idx="8">
                  <c:v>0.33367144719506897</c:v>
                </c:pt>
                <c:pt idx="9">
                  <c:v>0.3391993666306275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EA0C-4F04-92CC-0775FD4204F3}"/>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Graphs'!$AG$123:$AG$134</c:f>
              <c:numCache>
                <c:formatCode>General</c:formatCode>
                <c:ptCount val="12"/>
                <c:pt idx="0">
                  <c:v>0.19472930093516277</c:v>
                </c:pt>
                <c:pt idx="1">
                  <c:v>0.28561904056087478</c:v>
                </c:pt>
                <c:pt idx="2">
                  <c:v>0.30162495396636091</c:v>
                </c:pt>
                <c:pt idx="3">
                  <c:v>0.29951831014189062</c:v>
                </c:pt>
                <c:pt idx="4">
                  <c:v>0.31689812169377041</c:v>
                </c:pt>
                <c:pt idx="5">
                  <c:v>0.32853045933323677</c:v>
                </c:pt>
                <c:pt idx="6">
                  <c:v>0.31216316910953334</c:v>
                </c:pt>
                <c:pt idx="7">
                  <c:v>0.36722825390951552</c:v>
                </c:pt>
                <c:pt idx="8">
                  <c:v>0.32936979157796187</c:v>
                </c:pt>
                <c:pt idx="9">
                  <c:v>0.34533068572288428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EA0C-4F04-92CC-0775FD4204F3}"/>
            </c:ext>
          </c:extLst>
        </c:ser>
        <c:ser>
          <c:idx val="10"/>
          <c:order val="10"/>
          <c:tx>
            <c:strRef>
              <c:f>'2016 E Maize VWC Graphs'!$Z$136</c:f>
              <c:strCache>
                <c:ptCount val="1"/>
                <c:pt idx="0">
                  <c:v>224</c:v>
                </c:pt>
              </c:strCache>
            </c:strRef>
          </c:tx>
          <c:xVal>
            <c:numRef>
              <c:f>'2016 E Maize VWC Graphs'!$AG$136:$AG$147</c:f>
              <c:numCache>
                <c:formatCode>General</c:formatCode>
                <c:ptCount val="12"/>
                <c:pt idx="0">
                  <c:v>0.29182562312605193</c:v>
                </c:pt>
                <c:pt idx="1">
                  <c:v>0.33480459420176778</c:v>
                </c:pt>
                <c:pt idx="2">
                  <c:v>0.32866784914787611</c:v>
                </c:pt>
                <c:pt idx="3">
                  <c:v>0.31666913866937152</c:v>
                </c:pt>
                <c:pt idx="4">
                  <c:v>0.31279932555702938</c:v>
                </c:pt>
                <c:pt idx="5">
                  <c:v>0.33173622167482197</c:v>
                </c:pt>
                <c:pt idx="6">
                  <c:v>0.31259138822073862</c:v>
                </c:pt>
                <c:pt idx="7">
                  <c:v>0.37059561328399304</c:v>
                </c:pt>
                <c:pt idx="8">
                  <c:v>0.3376422062262448</c:v>
                </c:pt>
                <c:pt idx="9">
                  <c:v>0.33929668915590139</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EA0C-4F04-92CC-0775FD4204F3}"/>
            </c:ext>
          </c:extLst>
        </c:ser>
        <c:ser>
          <c:idx val="11"/>
          <c:order val="11"/>
          <c:tx>
            <c:strRef>
              <c:f>'2016 E Maize VWC Graphs'!$Z$149</c:f>
              <c:strCache>
                <c:ptCount val="1"/>
                <c:pt idx="0">
                  <c:v>236</c:v>
                </c:pt>
              </c:strCache>
            </c:strRef>
          </c:tx>
          <c:xVal>
            <c:numRef>
              <c:f>'2016 E Maize VWC Graphs'!$AG$149:$AG$160</c:f>
              <c:numCache>
                <c:formatCode>General</c:formatCode>
                <c:ptCount val="12"/>
                <c:pt idx="0">
                  <c:v>0.31758626332802037</c:v>
                </c:pt>
                <c:pt idx="1">
                  <c:v>0.34046047490442172</c:v>
                </c:pt>
                <c:pt idx="2">
                  <c:v>0.34540650823143887</c:v>
                </c:pt>
                <c:pt idx="3">
                  <c:v>0.31032630889352075</c:v>
                </c:pt>
                <c:pt idx="4">
                  <c:v>0.28692424379994874</c:v>
                </c:pt>
                <c:pt idx="5">
                  <c:v>0.30851734300076911</c:v>
                </c:pt>
                <c:pt idx="6">
                  <c:v>0.30797830052275493</c:v>
                </c:pt>
                <c:pt idx="7">
                  <c:v>0.3624594501710936</c:v>
                </c:pt>
                <c:pt idx="8">
                  <c:v>0.3244842008092112</c:v>
                </c:pt>
                <c:pt idx="9">
                  <c:v>0.33252304139683675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EA0C-4F04-92CC-0775FD4204F3}"/>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Graphs'!$AG$162:$AG$173</c:f>
              <c:numCache>
                <c:formatCode>General</c:formatCode>
                <c:ptCount val="12"/>
                <c:pt idx="0">
                  <c:v>0.29976672889196032</c:v>
                </c:pt>
                <c:pt idx="1">
                  <c:v>0.33949874620194609</c:v>
                </c:pt>
                <c:pt idx="2">
                  <c:v>0.35058152458285496</c:v>
                </c:pt>
                <c:pt idx="3">
                  <c:v>0.34107872907029885</c:v>
                </c:pt>
                <c:pt idx="4">
                  <c:v>0.32717945948928295</c:v>
                </c:pt>
                <c:pt idx="5">
                  <c:v>0.32106561273783119</c:v>
                </c:pt>
                <c:pt idx="6">
                  <c:v>0.30961331894735677</c:v>
                </c:pt>
                <c:pt idx="7">
                  <c:v>0.36039621263528654</c:v>
                </c:pt>
                <c:pt idx="8">
                  <c:v>0.32238203426329465</c:v>
                </c:pt>
                <c:pt idx="9">
                  <c:v>0.32812406325445576</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EA0C-4F04-92CC-0775FD4204F3}"/>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Graphs'!$AG$175:$AG$186</c:f>
              <c:numCache>
                <c:formatCode>General</c:formatCode>
                <c:ptCount val="12"/>
                <c:pt idx="0">
                  <c:v>0.22302188790307298</c:v>
                </c:pt>
                <c:pt idx="1">
                  <c:v>0.32273718881594349</c:v>
                </c:pt>
                <c:pt idx="2">
                  <c:v>0.33837672938239127</c:v>
                </c:pt>
                <c:pt idx="3">
                  <c:v>0.3275229340258814</c:v>
                </c:pt>
                <c:pt idx="4">
                  <c:v>0.32280588372326313</c:v>
                </c:pt>
                <c:pt idx="5">
                  <c:v>0.32317225656230147</c:v>
                </c:pt>
                <c:pt idx="6">
                  <c:v>0.30320949678433301</c:v>
                </c:pt>
                <c:pt idx="7">
                  <c:v>0.35763225291750733</c:v>
                </c:pt>
                <c:pt idx="8">
                  <c:v>0.32639172230457997</c:v>
                </c:pt>
                <c:pt idx="9">
                  <c:v>0.32584671616304606</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EA0C-4F04-92CC-0775FD4204F3}"/>
            </c:ext>
          </c:extLst>
        </c:ser>
        <c:ser>
          <c:idx val="14"/>
          <c:order val="14"/>
          <c:tx>
            <c:strRef>
              <c:f>'2016 E Maize VWC Graphs'!$Z$188</c:f>
              <c:strCache>
                <c:ptCount val="1"/>
                <c:pt idx="0">
                  <c:v>270</c:v>
                </c:pt>
              </c:strCache>
            </c:strRef>
          </c:tx>
          <c:xVal>
            <c:numRef>
              <c:f>'2016 E Maize VWC Graphs'!$AG$188:$AG$199</c:f>
              <c:numCache>
                <c:formatCode>General</c:formatCode>
                <c:ptCount val="12"/>
                <c:pt idx="0">
                  <c:v>0.19820113703088599</c:v>
                </c:pt>
                <c:pt idx="1">
                  <c:v>0.31247874932287084</c:v>
                </c:pt>
                <c:pt idx="2">
                  <c:v>0.3309118827869858</c:v>
                </c:pt>
                <c:pt idx="3">
                  <c:v>0.32713366288440321</c:v>
                </c:pt>
                <c:pt idx="4">
                  <c:v>0.3206992398987929</c:v>
                </c:pt>
                <c:pt idx="5">
                  <c:v>0.32259979900130409</c:v>
                </c:pt>
                <c:pt idx="6">
                  <c:v>0.30700507527001575</c:v>
                </c:pt>
                <c:pt idx="7">
                  <c:v>0.35831351059442473</c:v>
                </c:pt>
                <c:pt idx="8">
                  <c:v>0.32417276872833467</c:v>
                </c:pt>
                <c:pt idx="9">
                  <c:v>0.32574939363777211</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EA0C-4F04-92CC-0775FD4204F3}"/>
            </c:ext>
          </c:extLst>
        </c:ser>
        <c:ser>
          <c:idx val="16"/>
          <c:order val="15"/>
          <c:tx>
            <c:strRef>
              <c:f>'2016 E Maize VWC Graphs'!$Z$201</c:f>
              <c:strCache>
                <c:ptCount val="1"/>
                <c:pt idx="0">
                  <c:v>286</c:v>
                </c:pt>
              </c:strCache>
            </c:strRef>
          </c:tx>
          <c:xVal>
            <c:numRef>
              <c:f>'2016 E Maize VWC Graphs'!$AG$201:$AG$212</c:f>
              <c:numCache>
                <c:formatCode>General</c:formatCode>
                <c:ptCount val="12"/>
                <c:pt idx="0">
                  <c:v>0.21845671115842036</c:v>
                </c:pt>
                <c:pt idx="1">
                  <c:v>0.31147122401551547</c:v>
                </c:pt>
                <c:pt idx="2">
                  <c:v>0.32317225656230147</c:v>
                </c:pt>
                <c:pt idx="3">
                  <c:v>0.32312645995742167</c:v>
                </c:pt>
                <c:pt idx="4">
                  <c:v>0.31772246058160658</c:v>
                </c:pt>
                <c:pt idx="5">
                  <c:v>0.3205618500841535</c:v>
                </c:pt>
                <c:pt idx="6">
                  <c:v>0.30669364318913922</c:v>
                </c:pt>
                <c:pt idx="7">
                  <c:v>0.35523811879576894</c:v>
                </c:pt>
                <c:pt idx="8">
                  <c:v>0.32053290628309022</c:v>
                </c:pt>
                <c:pt idx="9">
                  <c:v>0.3296422946487288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EA0C-4F04-92CC-0775FD4204F3}"/>
            </c:ext>
          </c:extLst>
        </c:ser>
        <c:ser>
          <c:idx val="17"/>
          <c:order val="16"/>
          <c:tx>
            <c:strRef>
              <c:f>'2016 E Maize VWC Graphs'!$Z$214</c:f>
              <c:strCache>
                <c:ptCount val="1"/>
                <c:pt idx="0">
                  <c:v>302</c:v>
                </c:pt>
              </c:strCache>
            </c:strRef>
          </c:tx>
          <c:xVal>
            <c:numRef>
              <c:f>'2016 E Maize VWC Graphs'!$AG$214:$AG$225</c:f>
              <c:numCache>
                <c:formatCode>General</c:formatCode>
                <c:ptCount val="12"/>
                <c:pt idx="0">
                  <c:v>0.20412819423297701</c:v>
                </c:pt>
                <c:pt idx="1">
                  <c:v>0.31408163049366344</c:v>
                </c:pt>
                <c:pt idx="2">
                  <c:v>0.3238821039379382</c:v>
                </c:pt>
                <c:pt idx="3">
                  <c:v>0.32504991736237282</c:v>
                </c:pt>
                <c:pt idx="4">
                  <c:v>0.3238134090306185</c:v>
                </c:pt>
                <c:pt idx="5">
                  <c:v>0.32786640856247984</c:v>
                </c:pt>
                <c:pt idx="6">
                  <c:v>0.3048445152089348</c:v>
                </c:pt>
                <c:pt idx="7">
                  <c:v>0.35418703552281067</c:v>
                </c:pt>
                <c:pt idx="8">
                  <c:v>0.32275185985933552</c:v>
                </c:pt>
                <c:pt idx="9">
                  <c:v>0.3216229185661581</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EA0C-4F04-92CC-0775FD4204F3}"/>
            </c:ext>
          </c:extLst>
        </c:ser>
        <c:ser>
          <c:idx val="18"/>
          <c:order val="17"/>
          <c:tx>
            <c:strRef>
              <c:f>'2016 E Maize VWC Graphs'!$Z$227</c:f>
              <c:strCache>
                <c:ptCount val="1"/>
                <c:pt idx="0">
                  <c:v>0</c:v>
                </c:pt>
              </c:strCache>
            </c:strRef>
          </c:tx>
          <c:xVal>
            <c:numRef>
              <c:f>'2016 E Maize VWC Graphs'!$AG$227:$AG$238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EA0C-4F04-92CC-0775FD4204F3}"/>
            </c:ext>
          </c:extLst>
        </c:ser>
        <c:ser>
          <c:idx val="19"/>
          <c:order val="18"/>
          <c:tx>
            <c:strRef>
              <c:f>'2016 E Maize VWC Graphs'!$Z$240</c:f>
              <c:strCache>
                <c:ptCount val="1"/>
                <c:pt idx="0">
                  <c:v>0</c:v>
                </c:pt>
              </c:strCache>
            </c:strRef>
          </c:tx>
          <c:xVal>
            <c:numRef>
              <c:f>'2016 E Maize VWC Graphs'!$AG$240:$AG$251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EA0C-4F04-92CC-0775FD4204F3}"/>
            </c:ext>
          </c:extLst>
        </c:ser>
        <c:ser>
          <c:idx val="20"/>
          <c:order val="19"/>
          <c:tx>
            <c:strRef>
              <c:f>'2016 E Maize VWC Graphs'!$Z$253</c:f>
              <c:strCache>
                <c:ptCount val="1"/>
                <c:pt idx="0">
                  <c:v>0</c:v>
                </c:pt>
              </c:strCache>
            </c:strRef>
          </c:tx>
          <c:xVal>
            <c:numRef>
              <c:f>'2016 E Maize VWC Graphs'!$AG$253:$AG$264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EA0C-4F04-92CC-0775FD4204F3}"/>
            </c:ext>
          </c:extLst>
        </c:ser>
        <c:ser>
          <c:idx val="21"/>
          <c:order val="20"/>
          <c:tx>
            <c:strRef>
              <c:f>'2016 E Maize VWC Graphs'!$Z$266</c:f>
              <c:strCache>
                <c:ptCount val="1"/>
                <c:pt idx="0">
                  <c:v>0</c:v>
                </c:pt>
              </c:strCache>
            </c:strRef>
          </c:tx>
          <c:xVal>
            <c:numRef>
              <c:f>'2016 E Maize VWC Graphs'!$AG$266:$AG$277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EA0C-4F04-92CC-0775FD4204F3}"/>
            </c:ext>
          </c:extLst>
        </c:ser>
        <c:ser>
          <c:idx val="22"/>
          <c:order val="21"/>
          <c:tx>
            <c:strRef>
              <c:f>'2016 E Maize VWC Graphs'!$Z$279</c:f>
              <c:strCache>
                <c:ptCount val="1"/>
                <c:pt idx="0">
                  <c:v>0</c:v>
                </c:pt>
              </c:strCache>
            </c:strRef>
          </c:tx>
          <c:xVal>
            <c:numRef>
              <c:f>'2016 E Maize VWC Graphs'!$AG$279:$AG$290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EA0C-4F04-92CC-0775FD4204F3}"/>
            </c:ext>
          </c:extLst>
        </c:ser>
        <c:ser>
          <c:idx val="15"/>
          <c:order val="22"/>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6-EA0C-4F04-92CC-0775FD4204F3}"/>
            </c:ext>
          </c:extLst>
        </c:ser>
        <c:ser>
          <c:idx val="23"/>
          <c:order val="23"/>
          <c:tx>
            <c:strRef>
              <c:f>'2016 E Maize VWC Graphs'!$Z$292</c:f>
              <c:strCache>
                <c:ptCount val="1"/>
                <c:pt idx="0">
                  <c:v>0</c:v>
                </c:pt>
              </c:strCache>
            </c:strRef>
          </c:tx>
          <c:xVal>
            <c:numRef>
              <c:f>'2016 E Maize VWC Graphs'!$AG$292:$AG$303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EA0C-4F04-92CC-0775FD4204F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788107345113181"/>
          <c:y val="0.10809557896172071"/>
          <c:w val="0.11900647948164149"/>
          <c:h val="0.7555407846746429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Graphs'!$AH$6:$AH$17</c:f>
              <c:numCache>
                <c:formatCode>General</c:formatCode>
                <c:ptCount val="12"/>
                <c:pt idx="0">
                  <c:v>0.2515446518497052</c:v>
                </c:pt>
                <c:pt idx="1">
                  <c:v>0.3274084425136819</c:v>
                </c:pt>
                <c:pt idx="2">
                  <c:v>0.3460476606997559</c:v>
                </c:pt>
                <c:pt idx="3">
                  <c:v>0.33395735701149171</c:v>
                </c:pt>
                <c:pt idx="4">
                  <c:v>0.32360732430865946</c:v>
                </c:pt>
                <c:pt idx="5">
                  <c:v>0.32358442600621962</c:v>
                </c:pt>
                <c:pt idx="6">
                  <c:v>0.30500023124937309</c:v>
                </c:pt>
                <c:pt idx="7">
                  <c:v>0.34067866901479105</c:v>
                </c:pt>
                <c:pt idx="8">
                  <c:v>0.32631386428436088</c:v>
                </c:pt>
                <c:pt idx="9">
                  <c:v>0.33446949190231506</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B8C-4E90-9B03-C1C04A7A4654}"/>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Graphs'!$AH$19:$AH$30</c:f>
              <c:numCache>
                <c:formatCode>General</c:formatCode>
                <c:ptCount val="12"/>
                <c:pt idx="0">
                  <c:v>0.23207551573280427</c:v>
                </c:pt>
                <c:pt idx="1">
                  <c:v>0.33052261164550756</c:v>
                </c:pt>
                <c:pt idx="2">
                  <c:v>0.34423869480700425</c:v>
                </c:pt>
                <c:pt idx="3">
                  <c:v>0.33750659388967535</c:v>
                </c:pt>
                <c:pt idx="4">
                  <c:v>0.31937113835727898</c:v>
                </c:pt>
                <c:pt idx="5">
                  <c:v>0.33343069605537412</c:v>
                </c:pt>
                <c:pt idx="6">
                  <c:v>0.30062071761204684</c:v>
                </c:pt>
                <c:pt idx="7">
                  <c:v>0.33964705024688752</c:v>
                </c:pt>
                <c:pt idx="8">
                  <c:v>0.33608504582186211</c:v>
                </c:pt>
                <c:pt idx="9">
                  <c:v>0.33343787313441159</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B8C-4E90-9B03-C1C04A7A4654}"/>
            </c:ext>
          </c:extLst>
        </c:ser>
        <c:ser>
          <c:idx val="0"/>
          <c:order val="2"/>
          <c:tx>
            <c:strRef>
              <c:f>'2016 E Maize VWC Graphs'!$Z$32</c:f>
              <c:strCache>
                <c:ptCount val="1"/>
                <c:pt idx="0">
                  <c:v>161</c:v>
                </c:pt>
              </c:strCache>
            </c:strRef>
          </c:tx>
          <c:xVal>
            <c:numRef>
              <c:f>'2016 E Maize VWC Graphs'!$AH$32:$AH$43</c:f>
              <c:numCache>
                <c:formatCode>General</c:formatCode>
                <c:ptCount val="12"/>
                <c:pt idx="0">
                  <c:v>0.23514454211576402</c:v>
                </c:pt>
                <c:pt idx="1">
                  <c:v>0.33702572953843757</c:v>
                </c:pt>
                <c:pt idx="2">
                  <c:v>0.34975718569501885</c:v>
                </c:pt>
                <c:pt idx="3">
                  <c:v>0.34201755947033452</c:v>
                </c:pt>
                <c:pt idx="4">
                  <c:v>0.32667569683560527</c:v>
                </c:pt>
                <c:pt idx="5">
                  <c:v>0.32305776505010203</c:v>
                </c:pt>
                <c:pt idx="6">
                  <c:v>0.30620703056276966</c:v>
                </c:pt>
                <c:pt idx="7">
                  <c:v>0.34466889255102157</c:v>
                </c:pt>
                <c:pt idx="8">
                  <c:v>0.32703405097138788</c:v>
                </c:pt>
                <c:pt idx="9">
                  <c:v>0.34134046218665365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B8C-4E90-9B03-C1C04A7A4654}"/>
            </c:ext>
          </c:extLst>
        </c:ser>
        <c:ser>
          <c:idx val="1"/>
          <c:order val="3"/>
          <c:tx>
            <c:strRef>
              <c:f>'2016 E Maize VWC Graphs'!$Z$45</c:f>
              <c:strCache>
                <c:ptCount val="1"/>
                <c:pt idx="0">
                  <c:v>167</c:v>
                </c:pt>
              </c:strCache>
            </c:strRef>
          </c:tx>
          <c:marker>
            <c:symbol val="square"/>
            <c:size val="5"/>
          </c:marker>
          <c:xVal>
            <c:numRef>
              <c:f>'2016 E Maize VWC Graphs'!$AH$45:$AH$56</c:f>
              <c:numCache>
                <c:formatCode>General</c:formatCode>
                <c:ptCount val="12"/>
                <c:pt idx="0">
                  <c:v>0.22509348071157087</c:v>
                </c:pt>
                <c:pt idx="1">
                  <c:v>0.33171332337238207</c:v>
                </c:pt>
                <c:pt idx="2">
                  <c:v>0.35190962612436882</c:v>
                </c:pt>
                <c:pt idx="3">
                  <c:v>0.34190306795813508</c:v>
                </c:pt>
                <c:pt idx="4">
                  <c:v>0.33136984883578363</c:v>
                </c:pt>
                <c:pt idx="5">
                  <c:v>0.3359266110213226</c:v>
                </c:pt>
                <c:pt idx="6">
                  <c:v>0.30827026809857666</c:v>
                </c:pt>
                <c:pt idx="7">
                  <c:v>0.34437692497519989</c:v>
                </c:pt>
                <c:pt idx="8">
                  <c:v>0.3324451833766176</c:v>
                </c:pt>
                <c:pt idx="9">
                  <c:v>0.34803625192549908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B8C-4E90-9B03-C1C04A7A4654}"/>
            </c:ext>
          </c:extLst>
        </c:ser>
        <c:ser>
          <c:idx val="2"/>
          <c:order val="4"/>
          <c:tx>
            <c:strRef>
              <c:f>'2016 E Maize VWC Graphs'!$Z$58</c:f>
              <c:strCache>
                <c:ptCount val="1"/>
                <c:pt idx="0">
                  <c:v>173</c:v>
                </c:pt>
              </c:strCache>
            </c:strRef>
          </c:tx>
          <c:marker>
            <c:spPr>
              <a:solidFill>
                <a:srgbClr val="00B050"/>
              </a:solidFill>
            </c:spPr>
          </c:marker>
          <c:xVal>
            <c:numRef>
              <c:f>'2016 E Maize VWC Graphs'!$AH$58:$AH$69</c:f>
              <c:numCache>
                <c:formatCode>General</c:formatCode>
                <c:ptCount val="12"/>
                <c:pt idx="0">
                  <c:v>0.18995312862668168</c:v>
                </c:pt>
                <c:pt idx="1">
                  <c:v>0.30590693652262113</c:v>
                </c:pt>
                <c:pt idx="2">
                  <c:v>0.344513474436283</c:v>
                </c:pt>
                <c:pt idx="3">
                  <c:v>0.34066655962638076</c:v>
                </c:pt>
                <c:pt idx="4">
                  <c:v>0.33191940809434112</c:v>
                </c:pt>
                <c:pt idx="5">
                  <c:v>0.33221708602605976</c:v>
                </c:pt>
                <c:pt idx="6">
                  <c:v>0.30521434080497567</c:v>
                </c:pt>
                <c:pt idx="7">
                  <c:v>0.35083914065338789</c:v>
                </c:pt>
                <c:pt idx="8">
                  <c:v>0.33875168301436742</c:v>
                </c:pt>
                <c:pt idx="9">
                  <c:v>0.34957394782482698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B8C-4E90-9B03-C1C04A7A4654}"/>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Graphs'!$AH$71:$AH$82</c:f>
              <c:numCache>
                <c:formatCode>General</c:formatCode>
                <c:ptCount val="12"/>
                <c:pt idx="0">
                  <c:v>0.17969107165866005</c:v>
                </c:pt>
                <c:pt idx="1">
                  <c:v>0.27373482159456958</c:v>
                </c:pt>
                <c:pt idx="2">
                  <c:v>0.3204702568743939</c:v>
                </c:pt>
                <c:pt idx="3">
                  <c:v>0.32498122245505312</c:v>
                </c:pt>
                <c:pt idx="4">
                  <c:v>0.32596584945996859</c:v>
                </c:pt>
                <c:pt idx="5">
                  <c:v>0.32601164606484839</c:v>
                </c:pt>
                <c:pt idx="6">
                  <c:v>0.30928242236142539</c:v>
                </c:pt>
                <c:pt idx="7">
                  <c:v>0.34846447103670436</c:v>
                </c:pt>
                <c:pt idx="8">
                  <c:v>0.34028937891369532</c:v>
                </c:pt>
                <c:pt idx="9">
                  <c:v>0.35467364814918029</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B8C-4E90-9B03-C1C04A7A4654}"/>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Graphs'!$AH$84:$AH$95</c:f>
              <c:numCache>
                <c:formatCode>General</c:formatCode>
                <c:ptCount val="12"/>
                <c:pt idx="0">
                  <c:v>0.17786883724377767</c:v>
                </c:pt>
                <c:pt idx="1">
                  <c:v>0.2627436364234203</c:v>
                </c:pt>
                <c:pt idx="2">
                  <c:v>0.28314602389736615</c:v>
                </c:pt>
                <c:pt idx="3">
                  <c:v>0.30121278452244282</c:v>
                </c:pt>
                <c:pt idx="4">
                  <c:v>0.31408163049366344</c:v>
                </c:pt>
                <c:pt idx="5">
                  <c:v>0.32759162893320104</c:v>
                </c:pt>
                <c:pt idx="6">
                  <c:v>0.30914617082604195</c:v>
                </c:pt>
                <c:pt idx="7">
                  <c:v>0.34568104681387035</c:v>
                </c:pt>
                <c:pt idx="8">
                  <c:v>0.35255201709820888</c:v>
                </c:pt>
                <c:pt idx="9">
                  <c:v>0.37090704536486963</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B8C-4E90-9B03-C1C04A7A4654}"/>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Graphs'!$AH$97:$AH$108</c:f>
              <c:numCache>
                <c:formatCode>General</c:formatCode>
                <c:ptCount val="12"/>
                <c:pt idx="0">
                  <c:v>0.1887255180734978</c:v>
                </c:pt>
                <c:pt idx="1">
                  <c:v>0.26757517823823801</c:v>
                </c:pt>
                <c:pt idx="2">
                  <c:v>0.28644337944871096</c:v>
                </c:pt>
                <c:pt idx="3">
                  <c:v>0.2898323282098153</c:v>
                </c:pt>
                <c:pt idx="4">
                  <c:v>0.2983047001125762</c:v>
                </c:pt>
                <c:pt idx="5">
                  <c:v>0.32003518912803597</c:v>
                </c:pt>
                <c:pt idx="6">
                  <c:v>0.30786151349242619</c:v>
                </c:pt>
                <c:pt idx="7">
                  <c:v>0.35262987511842797</c:v>
                </c:pt>
                <c:pt idx="8">
                  <c:v>0.35103378570393579</c:v>
                </c:pt>
                <c:pt idx="9">
                  <c:v>0.36633288667699548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B8C-4E90-9B03-C1C04A7A4654}"/>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Graphs'!$AH$110:$AH$121</c:f>
              <c:numCache>
                <c:formatCode>General</c:formatCode>
                <c:ptCount val="12"/>
                <c:pt idx="0">
                  <c:v>0.17401337285018448</c:v>
                </c:pt>
                <c:pt idx="1">
                  <c:v>0.26187350093070433</c:v>
                </c:pt>
                <c:pt idx="2">
                  <c:v>0.28048982081433843</c:v>
                </c:pt>
                <c:pt idx="3">
                  <c:v>0.2814057529119342</c:v>
                </c:pt>
                <c:pt idx="4">
                  <c:v>0.2796654819265022</c:v>
                </c:pt>
                <c:pt idx="5">
                  <c:v>0.30657098729337812</c:v>
                </c:pt>
                <c:pt idx="6">
                  <c:v>0.30231412955181297</c:v>
                </c:pt>
                <c:pt idx="7">
                  <c:v>0.34758856830923912</c:v>
                </c:pt>
                <c:pt idx="8">
                  <c:v>0.34577836933914424</c:v>
                </c:pt>
                <c:pt idx="9">
                  <c:v>0.36185605051439534</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B8C-4E90-9B03-C1C04A7A4654}"/>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Graphs'!$AH$123:$AH$134</c:f>
              <c:numCache>
                <c:formatCode>General</c:formatCode>
                <c:ptCount val="12"/>
                <c:pt idx="0">
                  <c:v>0.19672416808408666</c:v>
                </c:pt>
                <c:pt idx="1">
                  <c:v>0.28715322682434768</c:v>
                </c:pt>
                <c:pt idx="2">
                  <c:v>0.30977674963496327</c:v>
                </c:pt>
                <c:pt idx="3">
                  <c:v>0.31250164762531074</c:v>
                </c:pt>
                <c:pt idx="4">
                  <c:v>0.31174600364479421</c:v>
                </c:pt>
                <c:pt idx="5">
                  <c:v>0.3308202895772262</c:v>
                </c:pt>
                <c:pt idx="6">
                  <c:v>0.30844544864406975</c:v>
                </c:pt>
                <c:pt idx="7">
                  <c:v>0.3529607717043593</c:v>
                </c:pt>
                <c:pt idx="8">
                  <c:v>0.35152039833030529</c:v>
                </c:pt>
                <c:pt idx="9">
                  <c:v>0.36006531604935527</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B8C-4E90-9B03-C1C04A7A4654}"/>
            </c:ext>
          </c:extLst>
        </c:ser>
        <c:ser>
          <c:idx val="10"/>
          <c:order val="10"/>
          <c:tx>
            <c:strRef>
              <c:f>'2016 E Maize VWC Graphs'!$Z$136</c:f>
              <c:strCache>
                <c:ptCount val="1"/>
                <c:pt idx="0">
                  <c:v>224</c:v>
                </c:pt>
              </c:strCache>
            </c:strRef>
          </c:tx>
          <c:xVal>
            <c:numRef>
              <c:f>'2016 E Maize VWC Graphs'!$AH$136:$AH$147</c:f>
              <c:numCache>
                <c:formatCode>General</c:formatCode>
                <c:ptCount val="12"/>
                <c:pt idx="0">
                  <c:v>0.29031029134946557</c:v>
                </c:pt>
                <c:pt idx="1">
                  <c:v>0.31795144360600558</c:v>
                </c:pt>
                <c:pt idx="2">
                  <c:v>0.33556023818228431</c:v>
                </c:pt>
                <c:pt idx="3">
                  <c:v>0.32857625593811657</c:v>
                </c:pt>
                <c:pt idx="4">
                  <c:v>0.30549476707870304</c:v>
                </c:pt>
                <c:pt idx="5">
                  <c:v>0.31982910440607693</c:v>
                </c:pt>
                <c:pt idx="6">
                  <c:v>0.3150049868475317</c:v>
                </c:pt>
                <c:pt idx="7">
                  <c:v>0.36049353516056043</c:v>
                </c:pt>
                <c:pt idx="8">
                  <c:v>0.35247415907798973</c:v>
                </c:pt>
                <c:pt idx="9">
                  <c:v>0.35679527920015158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B8C-4E90-9B03-C1C04A7A4654}"/>
            </c:ext>
          </c:extLst>
        </c:ser>
        <c:ser>
          <c:idx val="11"/>
          <c:order val="11"/>
          <c:tx>
            <c:strRef>
              <c:f>'2016 E Maize VWC Graphs'!$Z$149</c:f>
              <c:strCache>
                <c:ptCount val="1"/>
                <c:pt idx="0">
                  <c:v>236</c:v>
                </c:pt>
              </c:strCache>
            </c:strRef>
          </c:tx>
          <c:xVal>
            <c:numRef>
              <c:f>'2016 E Maize VWC Graphs'!$AH$149:$AH$160</c:f>
              <c:numCache>
                <c:formatCode>General</c:formatCode>
                <c:ptCount val="12"/>
                <c:pt idx="0">
                  <c:v>0.29608389723240863</c:v>
                </c:pt>
                <c:pt idx="1">
                  <c:v>0.33633878046524068</c:v>
                </c:pt>
                <c:pt idx="2">
                  <c:v>0.35048993137309542</c:v>
                </c:pt>
                <c:pt idx="3">
                  <c:v>0.32878234066007561</c:v>
                </c:pt>
                <c:pt idx="4">
                  <c:v>0.30105249640536352</c:v>
                </c:pt>
                <c:pt idx="5">
                  <c:v>0.31110485117647713</c:v>
                </c:pt>
                <c:pt idx="6">
                  <c:v>0.30266449064279904</c:v>
                </c:pt>
                <c:pt idx="7">
                  <c:v>0.34262511952026936</c:v>
                </c:pt>
                <c:pt idx="8">
                  <c:v>0.33396341477089075</c:v>
                </c:pt>
                <c:pt idx="9">
                  <c:v>0.34826982598615652</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B8C-4E90-9B03-C1C04A7A4654}"/>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Graphs'!$AH$162:$AH$173</c:f>
              <c:numCache>
                <c:formatCode>General</c:formatCode>
                <c:ptCount val="12"/>
                <c:pt idx="0">
                  <c:v>0.2988652023919659</c:v>
                </c:pt>
                <c:pt idx="1">
                  <c:v>0.3359724076262024</c:v>
                </c:pt>
                <c:pt idx="2">
                  <c:v>0.35106238893409281</c:v>
                </c:pt>
                <c:pt idx="3">
                  <c:v>0.33503357722616672</c:v>
                </c:pt>
                <c:pt idx="4">
                  <c:v>0.31298251197654853</c:v>
                </c:pt>
                <c:pt idx="5">
                  <c:v>0.30856313960564885</c:v>
                </c:pt>
                <c:pt idx="6">
                  <c:v>0.29997838894523898</c:v>
                </c:pt>
                <c:pt idx="7">
                  <c:v>0.34060081099457185</c:v>
                </c:pt>
                <c:pt idx="8">
                  <c:v>0.32890264345664705</c:v>
                </c:pt>
                <c:pt idx="9">
                  <c:v>0.34233315194444758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B8C-4E90-9B03-C1C04A7A4654}"/>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Graphs'!$AH$175:$AH$186</c:f>
              <c:numCache>
                <c:formatCode>General</c:formatCode>
                <c:ptCount val="12"/>
                <c:pt idx="0">
                  <c:v>0.23988235159445814</c:v>
                </c:pt>
                <c:pt idx="1">
                  <c:v>0.32995015408451017</c:v>
                </c:pt>
                <c:pt idx="2">
                  <c:v>0.34485694897288144</c:v>
                </c:pt>
                <c:pt idx="3">
                  <c:v>0.32978986596743093</c:v>
                </c:pt>
                <c:pt idx="4">
                  <c:v>0.30755561429829353</c:v>
                </c:pt>
                <c:pt idx="5">
                  <c:v>0.31176890194723411</c:v>
                </c:pt>
                <c:pt idx="6">
                  <c:v>0.29719496472240498</c:v>
                </c:pt>
                <c:pt idx="7">
                  <c:v>0.3398416952974353</c:v>
                </c:pt>
                <c:pt idx="8">
                  <c:v>0.32899996598192094</c:v>
                </c:pt>
                <c:pt idx="9">
                  <c:v>0.33933561816601099</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B8C-4E90-9B03-C1C04A7A4654}"/>
            </c:ext>
          </c:extLst>
        </c:ser>
        <c:ser>
          <c:idx val="14"/>
          <c:order val="14"/>
          <c:tx>
            <c:strRef>
              <c:f>'2016 E Maize VWC Graphs'!$Z$188</c:f>
              <c:strCache>
                <c:ptCount val="1"/>
                <c:pt idx="0">
                  <c:v>270</c:v>
                </c:pt>
              </c:strCache>
            </c:strRef>
          </c:tx>
          <c:xVal>
            <c:numRef>
              <c:f>'2016 E Maize VWC Graphs'!$AH$188:$AH$199</c:f>
              <c:numCache>
                <c:formatCode>General</c:formatCode>
                <c:ptCount val="12"/>
                <c:pt idx="0">
                  <c:v>0.23380184307321911</c:v>
                </c:pt>
                <c:pt idx="1">
                  <c:v>0.31788274869868588</c:v>
                </c:pt>
                <c:pt idx="2">
                  <c:v>0.34284189835817075</c:v>
                </c:pt>
                <c:pt idx="3">
                  <c:v>0.32420268017209675</c:v>
                </c:pt>
                <c:pt idx="4">
                  <c:v>0.30448724177134767</c:v>
                </c:pt>
                <c:pt idx="5">
                  <c:v>0.30961646151788402</c:v>
                </c:pt>
                <c:pt idx="6">
                  <c:v>0.30285913569334688</c:v>
                </c:pt>
                <c:pt idx="7">
                  <c:v>0.33565682671065689</c:v>
                </c:pt>
                <c:pt idx="8">
                  <c:v>0.32621654175908693</c:v>
                </c:pt>
                <c:pt idx="9">
                  <c:v>0.33635754889262909</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B8C-4E90-9B03-C1C04A7A4654}"/>
            </c:ext>
          </c:extLst>
        </c:ser>
        <c:ser>
          <c:idx val="15"/>
          <c:order val="15"/>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4B8C-4E90-9B03-C1C04A7A4654}"/>
            </c:ext>
          </c:extLst>
        </c:ser>
        <c:ser>
          <c:idx val="16"/>
          <c:order val="16"/>
          <c:tx>
            <c:strRef>
              <c:f>'2016 E Maize VWC Graphs'!$Z$201</c:f>
              <c:strCache>
                <c:ptCount val="1"/>
                <c:pt idx="0">
                  <c:v>286</c:v>
                </c:pt>
              </c:strCache>
            </c:strRef>
          </c:tx>
          <c:xVal>
            <c:numRef>
              <c:f>'2016 E Maize VWC Graphs'!$AH$201:$AH$212</c:f>
              <c:numCache>
                <c:formatCode>General</c:formatCode>
                <c:ptCount val="12"/>
                <c:pt idx="0">
                  <c:v>0.20261286245639065</c:v>
                </c:pt>
                <c:pt idx="1">
                  <c:v>0.30771590241537283</c:v>
                </c:pt>
                <c:pt idx="2">
                  <c:v>0.33260635716753795</c:v>
                </c:pt>
                <c:pt idx="3">
                  <c:v>0.32172966350858812</c:v>
                </c:pt>
                <c:pt idx="4">
                  <c:v>0.30714344485437545</c:v>
                </c:pt>
                <c:pt idx="5">
                  <c:v>0.31712710471816935</c:v>
                </c:pt>
                <c:pt idx="6">
                  <c:v>0.3040464705016887</c:v>
                </c:pt>
                <c:pt idx="7">
                  <c:v>0.33871275400425788</c:v>
                </c:pt>
                <c:pt idx="8">
                  <c:v>0.3237640141221842</c:v>
                </c:pt>
                <c:pt idx="9">
                  <c:v>0.33680523250888911</c:v>
                </c:pt>
                <c:pt idx="10">
                  <c:v>#N/A</c:v>
                </c:pt>
                <c:pt idx="11">
                  <c:v>#N/A</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4B8C-4E90-9B03-C1C04A7A4654}"/>
            </c:ext>
          </c:extLst>
        </c:ser>
        <c:ser>
          <c:idx val="17"/>
          <c:order val="17"/>
          <c:tx>
            <c:strRef>
              <c:f>'2016 E Maize VWC Graphs'!$Z$214</c:f>
              <c:strCache>
                <c:ptCount val="1"/>
                <c:pt idx="0">
                  <c:v>302</c:v>
                </c:pt>
              </c:strCache>
            </c:strRef>
          </c:tx>
          <c:xVal>
            <c:numRef>
              <c:f>'2016 E Maize VWC Graphs'!$AH$214:$AH$225</c:f>
              <c:numCache>
                <c:formatCode>General</c:formatCode>
                <c:ptCount val="12"/>
                <c:pt idx="0">
                  <c:v>0.20196069435001168</c:v>
                </c:pt>
                <c:pt idx="1">
                  <c:v>0.31307410518630807</c:v>
                </c:pt>
                <c:pt idx="2">
                  <c:v>0.32958378124547189</c:v>
                </c:pt>
                <c:pt idx="3">
                  <c:v>0.31987490101095667</c:v>
                </c:pt>
                <c:pt idx="4">
                  <c:v>0.31073847833743884</c:v>
                </c:pt>
                <c:pt idx="5">
                  <c:v>0.3122039696935921</c:v>
                </c:pt>
                <c:pt idx="6">
                  <c:v>0.30137983330918339</c:v>
                </c:pt>
                <c:pt idx="7">
                  <c:v>0.34297548061125543</c:v>
                </c:pt>
                <c:pt idx="8">
                  <c:v>0.32419223323338947</c:v>
                </c:pt>
                <c:pt idx="9">
                  <c:v>0.33635754889262909</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4B8C-4E90-9B03-C1C04A7A4654}"/>
            </c:ext>
          </c:extLst>
        </c:ser>
        <c:ser>
          <c:idx val="18"/>
          <c:order val="18"/>
          <c:tx>
            <c:strRef>
              <c:f>'2016 E Maize VWC Graphs'!$Z$227</c:f>
              <c:strCache>
                <c:ptCount val="1"/>
                <c:pt idx="0">
                  <c:v>0</c:v>
                </c:pt>
              </c:strCache>
            </c:strRef>
          </c:tx>
          <c:xVal>
            <c:numRef>
              <c:f>'2016 E Maize VWC Graphs'!$AH$227:$AH$238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4B8C-4E90-9B03-C1C04A7A4654}"/>
            </c:ext>
          </c:extLst>
        </c:ser>
        <c:ser>
          <c:idx val="19"/>
          <c:order val="19"/>
          <c:tx>
            <c:strRef>
              <c:f>'2016 E Maize VWC Graphs'!$Z$240</c:f>
              <c:strCache>
                <c:ptCount val="1"/>
                <c:pt idx="0">
                  <c:v>0</c:v>
                </c:pt>
              </c:strCache>
            </c:strRef>
          </c:tx>
          <c:xVal>
            <c:numRef>
              <c:f>'2016 E Maize VWC Graphs'!$AH$240:$AH$251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4B8C-4E90-9B03-C1C04A7A4654}"/>
            </c:ext>
          </c:extLst>
        </c:ser>
        <c:ser>
          <c:idx val="20"/>
          <c:order val="20"/>
          <c:tx>
            <c:strRef>
              <c:f>'2016 E Maize VWC Graphs'!$Z$253</c:f>
              <c:strCache>
                <c:ptCount val="1"/>
                <c:pt idx="0">
                  <c:v>0</c:v>
                </c:pt>
              </c:strCache>
            </c:strRef>
          </c:tx>
          <c:xVal>
            <c:numRef>
              <c:f>'2016 E Maize VWC Graphs'!$AH$253:$AH$264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4B8C-4E90-9B03-C1C04A7A4654}"/>
            </c:ext>
          </c:extLst>
        </c:ser>
        <c:ser>
          <c:idx val="21"/>
          <c:order val="21"/>
          <c:tx>
            <c:strRef>
              <c:f>'2016 E Maize VWC Graphs'!$Z$266</c:f>
              <c:strCache>
                <c:ptCount val="1"/>
                <c:pt idx="0">
                  <c:v>0</c:v>
                </c:pt>
              </c:strCache>
            </c:strRef>
          </c:tx>
          <c:xVal>
            <c:numRef>
              <c:f>'2016 E Maize VWC Graphs'!$AH$266:$AH$277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4B8C-4E90-9B03-C1C04A7A4654}"/>
            </c:ext>
          </c:extLst>
        </c:ser>
        <c:ser>
          <c:idx val="22"/>
          <c:order val="22"/>
          <c:tx>
            <c:strRef>
              <c:f>'2016 E Maize VWC Graphs'!$Z$279</c:f>
              <c:strCache>
                <c:ptCount val="1"/>
                <c:pt idx="0">
                  <c:v>0</c:v>
                </c:pt>
              </c:strCache>
            </c:strRef>
          </c:tx>
          <c:xVal>
            <c:numRef>
              <c:f>'2016 E Maize VWC Graphs'!$AH$279:$AH$290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4B8C-4E90-9B03-C1C04A7A4654}"/>
            </c:ext>
          </c:extLst>
        </c:ser>
        <c:ser>
          <c:idx val="23"/>
          <c:order val="23"/>
          <c:tx>
            <c:strRef>
              <c:f>'2016 E Maize VWC Graphs'!$Z$292</c:f>
              <c:strCache>
                <c:ptCount val="1"/>
                <c:pt idx="0">
                  <c:v>0</c:v>
                </c:pt>
              </c:strCache>
            </c:strRef>
          </c:tx>
          <c:xVal>
            <c:numRef>
              <c:f>'2016 E Maize VWC Graphs'!$AH$292:$AH$303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4B8C-4E90-9B03-C1C04A7A4654}"/>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227992154328445"/>
          <c:y val="0.14705661792275967"/>
          <c:w val="0.11900647948164149"/>
          <c:h val="0.7230732522071105"/>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Graphs'!$AI$6:$AI$17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19A4-4908-842E-DF70B85EEC69}"/>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Graphs'!$AI$19:$AI$30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19A4-4908-842E-DF70B85EEC69}"/>
            </c:ext>
          </c:extLst>
        </c:ser>
        <c:ser>
          <c:idx val="0"/>
          <c:order val="2"/>
          <c:tx>
            <c:strRef>
              <c:f>'2016 E Maize VWC Graphs'!$Z$32</c:f>
              <c:strCache>
                <c:ptCount val="1"/>
                <c:pt idx="0">
                  <c:v>161</c:v>
                </c:pt>
              </c:strCache>
            </c:strRef>
          </c:tx>
          <c:xVal>
            <c:numRef>
              <c:f>'2016 E Maize VWC Graphs'!$AI$32:$AI$43</c:f>
              <c:numCache>
                <c:formatCode>General</c:formatCode>
                <c:ptCount val="12"/>
                <c:pt idx="0">
                  <c:v>0.222983525073286</c:v>
                </c:pt>
                <c:pt idx="1">
                  <c:v>0.29912903900041243</c:v>
                </c:pt>
                <c:pt idx="2">
                  <c:v>0.35811506608558019</c:v>
                </c:pt>
                <c:pt idx="3">
                  <c:v>0.34291059326549039</c:v>
                </c:pt>
                <c:pt idx="4">
                  <c:v>0.34007120376294353</c:v>
                </c:pt>
                <c:pt idx="5">
                  <c:v>0.33968193262146529</c:v>
                </c:pt>
                <c:pt idx="6">
                  <c:v>0.31000260904845239</c:v>
                </c:pt>
                <c:pt idx="7">
                  <c:v>0.3333016215990281</c:v>
                </c:pt>
                <c:pt idx="8">
                  <c:v>0.29991999543007458</c:v>
                </c:pt>
                <c:pt idx="9">
                  <c:v>0.28392017227504268</c:v>
                </c:pt>
                <c:pt idx="10">
                  <c:v>0.27767206615245721</c:v>
                </c:pt>
                <c:pt idx="11">
                  <c:v>0.27609544124301977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19A4-4908-842E-DF70B85EEC69}"/>
            </c:ext>
          </c:extLst>
        </c:ser>
        <c:ser>
          <c:idx val="1"/>
          <c:order val="3"/>
          <c:tx>
            <c:strRef>
              <c:f>'2016 E Maize VWC Graphs'!$Z$45</c:f>
              <c:strCache>
                <c:ptCount val="1"/>
                <c:pt idx="0">
                  <c:v>167</c:v>
                </c:pt>
              </c:strCache>
            </c:strRef>
          </c:tx>
          <c:marker>
            <c:symbol val="square"/>
            <c:size val="5"/>
          </c:marker>
          <c:xVal>
            <c:numRef>
              <c:f>'2016 E Maize VWC Graphs'!$AI$45:$AI$56</c:f>
              <c:numCache>
                <c:formatCode>General</c:formatCode>
                <c:ptCount val="12"/>
                <c:pt idx="0">
                  <c:v>0.23222896705195223</c:v>
                </c:pt>
                <c:pt idx="1">
                  <c:v>0.30657098729337812</c:v>
                </c:pt>
                <c:pt idx="2">
                  <c:v>0.35406206655371891</c:v>
                </c:pt>
                <c:pt idx="3">
                  <c:v>0.3493908128559805</c:v>
                </c:pt>
                <c:pt idx="4">
                  <c:v>0.33874310222142962</c:v>
                </c:pt>
                <c:pt idx="5">
                  <c:v>0.34158249172397653</c:v>
                </c:pt>
                <c:pt idx="6">
                  <c:v>0.3135062199583134</c:v>
                </c:pt>
                <c:pt idx="7">
                  <c:v>0.33456681442758901</c:v>
                </c:pt>
                <c:pt idx="8">
                  <c:v>0.30344307084499039</c:v>
                </c:pt>
                <c:pt idx="9">
                  <c:v>0.28812450536687584</c:v>
                </c:pt>
                <c:pt idx="10">
                  <c:v>0.28179854122407128</c:v>
                </c:pt>
                <c:pt idx="11">
                  <c:v>0.28374499172954959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19A4-4908-842E-DF70B85EEC69}"/>
            </c:ext>
          </c:extLst>
        </c:ser>
        <c:ser>
          <c:idx val="2"/>
          <c:order val="4"/>
          <c:tx>
            <c:strRef>
              <c:f>'2016 E Maize VWC Graphs'!$Z$58</c:f>
              <c:strCache>
                <c:ptCount val="1"/>
                <c:pt idx="0">
                  <c:v>173</c:v>
                </c:pt>
              </c:strCache>
            </c:strRef>
          </c:tx>
          <c:marker>
            <c:spPr>
              <a:solidFill>
                <a:srgbClr val="00B050"/>
              </a:solidFill>
            </c:spPr>
          </c:marker>
          <c:xVal>
            <c:numRef>
              <c:f>'2016 E Maize VWC Graphs'!$AI$58:$AI$69</c:f>
              <c:numCache>
                <c:formatCode>General</c:formatCode>
                <c:ptCount val="12"/>
                <c:pt idx="0">
                  <c:v>0.19747224326493307</c:v>
                </c:pt>
                <c:pt idx="1">
                  <c:v>0.29896875088333319</c:v>
                </c:pt>
                <c:pt idx="2">
                  <c:v>0.35142876177313109</c:v>
                </c:pt>
                <c:pt idx="3">
                  <c:v>0.3461850505143953</c:v>
                </c:pt>
                <c:pt idx="4">
                  <c:v>0.3461392539095155</c:v>
                </c:pt>
                <c:pt idx="5">
                  <c:v>0.34197176286545472</c:v>
                </c:pt>
                <c:pt idx="6">
                  <c:v>0.31681518581762658</c:v>
                </c:pt>
                <c:pt idx="7">
                  <c:v>0.33154981614409762</c:v>
                </c:pt>
                <c:pt idx="8">
                  <c:v>0.30494183773420869</c:v>
                </c:pt>
                <c:pt idx="9">
                  <c:v>0.28983738181169683</c:v>
                </c:pt>
                <c:pt idx="10">
                  <c:v>0.28442624940646705</c:v>
                </c:pt>
                <c:pt idx="11">
                  <c:v>0.28356981118405655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19A4-4908-842E-DF70B85EEC69}"/>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Graphs'!$AI$71:$AI$82</c:f>
              <c:numCache>
                <c:formatCode>General</c:formatCode>
                <c:ptCount val="12"/>
                <c:pt idx="0">
                  <c:v>0.17809901422249963</c:v>
                </c:pt>
                <c:pt idx="1">
                  <c:v>0.25752282346712441</c:v>
                </c:pt>
                <c:pt idx="2">
                  <c:v>0.33867440731410992</c:v>
                </c:pt>
                <c:pt idx="3">
                  <c:v>0.34561259295339791</c:v>
                </c:pt>
                <c:pt idx="4">
                  <c:v>0.34199466116789462</c:v>
                </c:pt>
                <c:pt idx="5">
                  <c:v>0.34357464403624732</c:v>
                </c:pt>
                <c:pt idx="6">
                  <c:v>0.3179635916158588</c:v>
                </c:pt>
                <c:pt idx="7">
                  <c:v>0.32890264345664705</c:v>
                </c:pt>
                <c:pt idx="8">
                  <c:v>0.30176912341027901</c:v>
                </c:pt>
                <c:pt idx="9">
                  <c:v>0.29028506542795685</c:v>
                </c:pt>
                <c:pt idx="10">
                  <c:v>0.28520482960865839</c:v>
                </c:pt>
                <c:pt idx="11">
                  <c:v>0.28337516613350877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19A4-4908-842E-DF70B85EEC69}"/>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Graphs'!$AI$84:$AI$95</c:f>
              <c:numCache>
                <c:formatCode>General</c:formatCode>
                <c:ptCount val="12"/>
                <c:pt idx="0">
                  <c:v>0.16208253278642842</c:v>
                </c:pt>
                <c:pt idx="1">
                  <c:v>0.25727094214028556</c:v>
                </c:pt>
                <c:pt idx="2">
                  <c:v>0.31037210549840055</c:v>
                </c:pt>
                <c:pt idx="3">
                  <c:v>0.32951508633815219</c:v>
                </c:pt>
                <c:pt idx="4">
                  <c:v>0.33590371271888275</c:v>
                </c:pt>
                <c:pt idx="5">
                  <c:v>0.33961323771414559</c:v>
                </c:pt>
                <c:pt idx="6">
                  <c:v>0.3114235179174516</c:v>
                </c:pt>
                <c:pt idx="7">
                  <c:v>0.33071284242674193</c:v>
                </c:pt>
                <c:pt idx="8">
                  <c:v>0.30126304627885464</c:v>
                </c:pt>
                <c:pt idx="9">
                  <c:v>0.29010988488246375</c:v>
                </c:pt>
                <c:pt idx="10">
                  <c:v>0.28199318627461911</c:v>
                </c:pt>
                <c:pt idx="11">
                  <c:v>0.28253819241615302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19A4-4908-842E-DF70B85EEC69}"/>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Graphs'!$AI$97:$AI$108</c:f>
              <c:numCache>
                <c:formatCode>General</c:formatCode>
                <c:ptCount val="12"/>
                <c:pt idx="0">
                  <c:v>0.19557328319047673</c:v>
                </c:pt>
                <c:pt idx="1">
                  <c:v>0.26924675431635031</c:v>
                </c:pt>
                <c:pt idx="2">
                  <c:v>0.31474568126442037</c:v>
                </c:pt>
                <c:pt idx="3">
                  <c:v>0.32626352739168718</c:v>
                </c:pt>
                <c:pt idx="4">
                  <c:v>0.33972772922634509</c:v>
                </c:pt>
                <c:pt idx="5">
                  <c:v>0.33981932243610463</c:v>
                </c:pt>
                <c:pt idx="6">
                  <c:v>0.3091656353310967</c:v>
                </c:pt>
                <c:pt idx="7">
                  <c:v>0.3281045987494009</c:v>
                </c:pt>
                <c:pt idx="8">
                  <c:v>0.30151608484456682</c:v>
                </c:pt>
                <c:pt idx="9">
                  <c:v>0.28736538966973929</c:v>
                </c:pt>
                <c:pt idx="10">
                  <c:v>0.2770686664957589</c:v>
                </c:pt>
                <c:pt idx="11">
                  <c:v>0.28251872791109828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19A4-4908-842E-DF70B85EEC69}"/>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Graphs'!$AI$110:$AI$121</c:f>
              <c:numCache>
                <c:formatCode>General</c:formatCode>
                <c:ptCount val="12"/>
                <c:pt idx="0">
                  <c:v>0.18859124816924328</c:v>
                </c:pt>
                <c:pt idx="1">
                  <c:v>0.25665268797440843</c:v>
                </c:pt>
                <c:pt idx="2">
                  <c:v>0.31192919006431336</c:v>
                </c:pt>
                <c:pt idx="3">
                  <c:v>0.32239371427934504</c:v>
                </c:pt>
                <c:pt idx="4">
                  <c:v>0.327614527235641</c:v>
                </c:pt>
                <c:pt idx="5">
                  <c:v>0.33791876333359344</c:v>
                </c:pt>
                <c:pt idx="6">
                  <c:v>0.31130673088712285</c:v>
                </c:pt>
                <c:pt idx="7">
                  <c:v>0.32530171002151209</c:v>
                </c:pt>
                <c:pt idx="8">
                  <c:v>0.2967862101162545</c:v>
                </c:pt>
                <c:pt idx="9">
                  <c:v>0.28236301187065999</c:v>
                </c:pt>
                <c:pt idx="10">
                  <c:v>0.2793265490821138</c:v>
                </c:pt>
                <c:pt idx="11">
                  <c:v>0.27728277605136153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19A4-4908-842E-DF70B85EEC69}"/>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Graphs'!$AI$123:$AI$134</c:f>
              <c:numCache>
                <c:formatCode>General</c:formatCode>
                <c:ptCount val="12"/>
                <c:pt idx="0">
                  <c:v>0.20763839315848726</c:v>
                </c:pt>
                <c:pt idx="1">
                  <c:v>0.29326707357579951</c:v>
                </c:pt>
                <c:pt idx="2">
                  <c:v>0.33114086581138469</c:v>
                </c:pt>
                <c:pt idx="3">
                  <c:v>0.32878234066007561</c:v>
                </c:pt>
                <c:pt idx="4">
                  <c:v>0.32898842538203465</c:v>
                </c:pt>
                <c:pt idx="5">
                  <c:v>0.34091844095321955</c:v>
                </c:pt>
                <c:pt idx="6">
                  <c:v>0.31082011826075329</c:v>
                </c:pt>
                <c:pt idx="7">
                  <c:v>0.3295060431133453</c:v>
                </c:pt>
                <c:pt idx="8">
                  <c:v>0.30937974488669934</c:v>
                </c:pt>
                <c:pt idx="9">
                  <c:v>0.28578876476030185</c:v>
                </c:pt>
                <c:pt idx="10">
                  <c:v>0.28767682175061582</c:v>
                </c:pt>
                <c:pt idx="11">
                  <c:v>0.28024138081968863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19A4-4908-842E-DF70B85EEC69}"/>
            </c:ext>
          </c:extLst>
        </c:ser>
        <c:ser>
          <c:idx val="10"/>
          <c:order val="10"/>
          <c:tx>
            <c:strRef>
              <c:f>'2016 E Maize VWC Graphs'!$Z$136</c:f>
              <c:strCache>
                <c:ptCount val="1"/>
                <c:pt idx="0">
                  <c:v>224</c:v>
                </c:pt>
              </c:strCache>
            </c:strRef>
          </c:tx>
          <c:xVal>
            <c:numRef>
              <c:f>'2016 E Maize VWC Graphs'!$AI$136:$AI$147</c:f>
              <c:numCache>
                <c:formatCode>General</c:formatCode>
                <c:ptCount val="12"/>
                <c:pt idx="0">
                  <c:v>0.27563650895593922</c:v>
                </c:pt>
                <c:pt idx="1">
                  <c:v>0.30004497109800821</c:v>
                </c:pt>
                <c:pt idx="2">
                  <c:v>0.33636167876768058</c:v>
                </c:pt>
                <c:pt idx="3">
                  <c:v>0.3291487134991139</c:v>
                </c:pt>
                <c:pt idx="4">
                  <c:v>0.3321712894211799</c:v>
                </c:pt>
                <c:pt idx="5">
                  <c:v>0.34423869480700425</c:v>
                </c:pt>
                <c:pt idx="6">
                  <c:v>0.31482980630203866</c:v>
                </c:pt>
                <c:pt idx="7">
                  <c:v>0.33302911852826111</c:v>
                </c:pt>
                <c:pt idx="8">
                  <c:v>0.30840651963396015</c:v>
                </c:pt>
                <c:pt idx="9">
                  <c:v>0.29690299714658319</c:v>
                </c:pt>
                <c:pt idx="10">
                  <c:v>0.28105889003198953</c:v>
                </c:pt>
                <c:pt idx="11">
                  <c:v>0.27720491803114239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19A4-4908-842E-DF70B85EEC69}"/>
            </c:ext>
          </c:extLst>
        </c:ser>
        <c:ser>
          <c:idx val="11"/>
          <c:order val="11"/>
          <c:tx>
            <c:strRef>
              <c:f>'2016 E Maize VWC Graphs'!$Z$149</c:f>
              <c:strCache>
                <c:ptCount val="1"/>
                <c:pt idx="0">
                  <c:v>236</c:v>
                </c:pt>
              </c:strCache>
            </c:strRef>
          </c:tx>
          <c:xVal>
            <c:numRef>
              <c:f>'2016 E Maize VWC Graphs'!$AI$149:$AI$160</c:f>
              <c:numCache>
                <c:formatCode>General</c:formatCode>
                <c:ptCount val="12"/>
                <c:pt idx="0">
                  <c:v>0.29510564507284015</c:v>
                </c:pt>
                <c:pt idx="1">
                  <c:v>0.33182781488458157</c:v>
                </c:pt>
                <c:pt idx="2">
                  <c:v>0.34171988153861593</c:v>
                </c:pt>
                <c:pt idx="3">
                  <c:v>0.31371525765462516</c:v>
                </c:pt>
                <c:pt idx="4">
                  <c:v>0.31502046089369912</c:v>
                </c:pt>
                <c:pt idx="5">
                  <c:v>0.32692757816244417</c:v>
                </c:pt>
                <c:pt idx="6">
                  <c:v>0.306985610764961</c:v>
                </c:pt>
                <c:pt idx="7">
                  <c:v>0.32218738921274676</c:v>
                </c:pt>
                <c:pt idx="8">
                  <c:v>0.29583244936857012</c:v>
                </c:pt>
                <c:pt idx="9">
                  <c:v>0.27872314942541554</c:v>
                </c:pt>
                <c:pt idx="10">
                  <c:v>0.26955536754461257</c:v>
                </c:pt>
                <c:pt idx="11">
                  <c:v>0.27323415899996661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19A4-4908-842E-DF70B85EEC69}"/>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Graphs'!$AI$162:$AI$173</c:f>
              <c:numCache>
                <c:formatCode>General</c:formatCode>
                <c:ptCount val="12"/>
                <c:pt idx="0">
                  <c:v>0.29527827780688165</c:v>
                </c:pt>
                <c:pt idx="1">
                  <c:v>0.33008754389914957</c:v>
                </c:pt>
                <c:pt idx="2">
                  <c:v>0.35188672782192898</c:v>
                </c:pt>
                <c:pt idx="3">
                  <c:v>0.34133061039713769</c:v>
                </c:pt>
                <c:pt idx="4">
                  <c:v>0.32420268017209675</c:v>
                </c:pt>
                <c:pt idx="5">
                  <c:v>0.32360732430865946</c:v>
                </c:pt>
                <c:pt idx="6">
                  <c:v>0.30283967118829214</c:v>
                </c:pt>
                <c:pt idx="7">
                  <c:v>0.3193455714747484</c:v>
                </c:pt>
                <c:pt idx="8">
                  <c:v>0.28892255007412199</c:v>
                </c:pt>
                <c:pt idx="9">
                  <c:v>0.27288379790898049</c:v>
                </c:pt>
                <c:pt idx="10">
                  <c:v>0.26192528156313744</c:v>
                </c:pt>
                <c:pt idx="11">
                  <c:v>0.26143866893676787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19A4-4908-842E-DF70B85EEC69}"/>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Graphs'!$AI$175:$AI$186</c:f>
              <c:numCache>
                <c:formatCode>General</c:formatCode>
                <c:ptCount val="12"/>
                <c:pt idx="0">
                  <c:v>0.28701108798778385</c:v>
                </c:pt>
                <c:pt idx="1">
                  <c:v>0.33294983170413639</c:v>
                </c:pt>
                <c:pt idx="2">
                  <c:v>0.3528255582219646</c:v>
                </c:pt>
                <c:pt idx="3">
                  <c:v>0.34840618585106503</c:v>
                </c:pt>
                <c:pt idx="4">
                  <c:v>0.34517752520703998</c:v>
                </c:pt>
                <c:pt idx="5">
                  <c:v>0.32534759529409141</c:v>
                </c:pt>
                <c:pt idx="6">
                  <c:v>0.30544791486563311</c:v>
                </c:pt>
                <c:pt idx="7">
                  <c:v>0.30200269747093644</c:v>
                </c:pt>
                <c:pt idx="8">
                  <c:v>0.29859640908634932</c:v>
                </c:pt>
                <c:pt idx="9">
                  <c:v>0.29591030738878921</c:v>
                </c:pt>
                <c:pt idx="10">
                  <c:v>0.26342404845235573</c:v>
                </c:pt>
                <c:pt idx="11">
                  <c:v>0.26788142010990118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19A4-4908-842E-DF70B85EEC69}"/>
            </c:ext>
          </c:extLst>
        </c:ser>
        <c:ser>
          <c:idx val="14"/>
          <c:order val="14"/>
          <c:tx>
            <c:strRef>
              <c:f>'2016 E Maize VWC Graphs'!$Z$188</c:f>
              <c:strCache>
                <c:ptCount val="1"/>
                <c:pt idx="0">
                  <c:v>270</c:v>
                </c:pt>
              </c:strCache>
            </c:strRef>
          </c:tx>
          <c:xVal>
            <c:numRef>
              <c:f>'2016 E Maize VWC Graphs'!$AI$188:$AI$199</c:f>
              <c:numCache>
                <c:formatCode>General</c:formatCode>
                <c:ptCount val="12"/>
                <c:pt idx="0">
                  <c:v>0.23299622364769218</c:v>
                </c:pt>
                <c:pt idx="1">
                  <c:v>0.30716634315681535</c:v>
                </c:pt>
                <c:pt idx="2">
                  <c:v>0.34581867767535696</c:v>
                </c:pt>
                <c:pt idx="3">
                  <c:v>0.33146144204554323</c:v>
                </c:pt>
                <c:pt idx="4">
                  <c:v>0.31405873219122349</c:v>
                </c:pt>
                <c:pt idx="5">
                  <c:v>0.31973751119631733</c:v>
                </c:pt>
                <c:pt idx="6">
                  <c:v>0.29764264833866499</c:v>
                </c:pt>
                <c:pt idx="7">
                  <c:v>0.31825555919168053</c:v>
                </c:pt>
                <c:pt idx="8">
                  <c:v>0.28682038352820538</c:v>
                </c:pt>
                <c:pt idx="9">
                  <c:v>0.27062591532262564</c:v>
                </c:pt>
                <c:pt idx="10">
                  <c:v>0.25207624200541706</c:v>
                </c:pt>
                <c:pt idx="11">
                  <c:v>0.2566309361882364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19A4-4908-842E-DF70B85EEC69}"/>
            </c:ext>
          </c:extLst>
        </c:ser>
        <c:ser>
          <c:idx val="16"/>
          <c:order val="15"/>
          <c:tx>
            <c:strRef>
              <c:f>'2016 E Maize VWC Graphs'!$Z$201</c:f>
              <c:strCache>
                <c:ptCount val="1"/>
                <c:pt idx="0">
                  <c:v>286</c:v>
                </c:pt>
              </c:strCache>
            </c:strRef>
          </c:tx>
          <c:xVal>
            <c:numRef>
              <c:f>'2016 E Maize VWC Graphs'!$AI$201:$AI$212</c:f>
              <c:numCache>
                <c:formatCode>General</c:formatCode>
                <c:ptCount val="12"/>
                <c:pt idx="0">
                  <c:v>0.20489545082871696</c:v>
                </c:pt>
                <c:pt idx="1">
                  <c:v>0.30485361461038601</c:v>
                </c:pt>
                <c:pt idx="2">
                  <c:v>0.34032308508978232</c:v>
                </c:pt>
                <c:pt idx="3">
                  <c:v>0.32589715455264889</c:v>
                </c:pt>
                <c:pt idx="4">
                  <c:v>0.30856313960564885</c:v>
                </c:pt>
                <c:pt idx="5">
                  <c:v>0.31685232508889066</c:v>
                </c:pt>
                <c:pt idx="6">
                  <c:v>0.29779836437910323</c:v>
                </c:pt>
                <c:pt idx="7">
                  <c:v>0.31111208583657501</c:v>
                </c:pt>
                <c:pt idx="8">
                  <c:v>0.28623644837656187</c:v>
                </c:pt>
                <c:pt idx="9">
                  <c:v>0.26241189418950706</c:v>
                </c:pt>
                <c:pt idx="10">
                  <c:v>0.25207624200541706</c:v>
                </c:pt>
                <c:pt idx="11">
                  <c:v>0.25308839626826579</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19A4-4908-842E-DF70B85EEC69}"/>
            </c:ext>
          </c:extLst>
        </c:ser>
        <c:ser>
          <c:idx val="17"/>
          <c:order val="16"/>
          <c:tx>
            <c:strRef>
              <c:f>'2016 E Maize VWC Graphs'!$Z$214</c:f>
              <c:strCache>
                <c:ptCount val="1"/>
                <c:pt idx="0">
                  <c:v>302</c:v>
                </c:pt>
              </c:strCache>
            </c:strRef>
          </c:tx>
          <c:xVal>
            <c:numRef>
              <c:f>'2016 E Maize VWC Graphs'!$AI$214:$AI$225</c:f>
              <c:numCache>
                <c:formatCode>General</c:formatCode>
                <c:ptCount val="12"/>
                <c:pt idx="0">
                  <c:v>0.19622545129685565</c:v>
                </c:pt>
                <c:pt idx="1">
                  <c:v>0.30382319100059074</c:v>
                </c:pt>
                <c:pt idx="2">
                  <c:v>0.3375981870994349</c:v>
                </c:pt>
                <c:pt idx="3">
                  <c:v>0.32319515486474137</c:v>
                </c:pt>
                <c:pt idx="4">
                  <c:v>0.30647939408361852</c:v>
                </c:pt>
                <c:pt idx="5">
                  <c:v>0.31916505363531994</c:v>
                </c:pt>
                <c:pt idx="6">
                  <c:v>0.29721442922745972</c:v>
                </c:pt>
                <c:pt idx="7">
                  <c:v>0.3135062199583134</c:v>
                </c:pt>
                <c:pt idx="8">
                  <c:v>0.28395910128515228</c:v>
                </c:pt>
                <c:pt idx="9">
                  <c:v>0.26595443410947761</c:v>
                </c:pt>
                <c:pt idx="10">
                  <c:v>0.24469919458965417</c:v>
                </c:pt>
                <c:pt idx="11">
                  <c:v>0.25223195804585535</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19A4-4908-842E-DF70B85EEC69}"/>
            </c:ext>
          </c:extLst>
        </c:ser>
        <c:ser>
          <c:idx val="18"/>
          <c:order val="17"/>
          <c:tx>
            <c:strRef>
              <c:f>'2016 E Maize VWC Graphs'!$Z$227</c:f>
              <c:strCache>
                <c:ptCount val="1"/>
                <c:pt idx="0">
                  <c:v>0</c:v>
                </c:pt>
              </c:strCache>
            </c:strRef>
          </c:tx>
          <c:xVal>
            <c:numRef>
              <c:f>'2016 E Maize VWC Graphs'!$AI$227:$AI$238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19A4-4908-842E-DF70B85EEC69}"/>
            </c:ext>
          </c:extLst>
        </c:ser>
        <c:ser>
          <c:idx val="19"/>
          <c:order val="18"/>
          <c:tx>
            <c:strRef>
              <c:f>'2016 E Maize VWC Graphs'!$Z$240</c:f>
              <c:strCache>
                <c:ptCount val="1"/>
                <c:pt idx="0">
                  <c:v>0</c:v>
                </c:pt>
              </c:strCache>
            </c:strRef>
          </c:tx>
          <c:xVal>
            <c:numRef>
              <c:f>'2016 E Maize VWC Graphs'!$AI$240:$AI$251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19A4-4908-842E-DF70B85EEC69}"/>
            </c:ext>
          </c:extLst>
        </c:ser>
        <c:ser>
          <c:idx val="20"/>
          <c:order val="19"/>
          <c:tx>
            <c:strRef>
              <c:f>'2016 E Maize VWC Graphs'!$Z$253</c:f>
              <c:strCache>
                <c:ptCount val="1"/>
                <c:pt idx="0">
                  <c:v>0</c:v>
                </c:pt>
              </c:strCache>
            </c:strRef>
          </c:tx>
          <c:xVal>
            <c:numRef>
              <c:f>'2016 E Maize VWC Graphs'!$AI$253:$AI$264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19A4-4908-842E-DF70B85EEC69}"/>
            </c:ext>
          </c:extLst>
        </c:ser>
        <c:ser>
          <c:idx val="21"/>
          <c:order val="20"/>
          <c:tx>
            <c:strRef>
              <c:f>'2016 E Maize VWC Graphs'!$Z$266</c:f>
              <c:strCache>
                <c:ptCount val="1"/>
                <c:pt idx="0">
                  <c:v>0</c:v>
                </c:pt>
              </c:strCache>
            </c:strRef>
          </c:tx>
          <c:xVal>
            <c:numRef>
              <c:f>'2016 E Maize VWC Graphs'!$AI$266:$AI$277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19A4-4908-842E-DF70B85EEC69}"/>
            </c:ext>
          </c:extLst>
        </c:ser>
        <c:ser>
          <c:idx val="22"/>
          <c:order val="21"/>
          <c:tx>
            <c:strRef>
              <c:f>'2016 E Maize VWC Graphs'!$Z$279</c:f>
              <c:strCache>
                <c:ptCount val="1"/>
                <c:pt idx="0">
                  <c:v>0</c:v>
                </c:pt>
              </c:strCache>
            </c:strRef>
          </c:tx>
          <c:xVal>
            <c:numRef>
              <c:f>'2016 E Maize VWC Graphs'!$AI$279:$AI$290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19A4-4908-842E-DF70B85EEC69}"/>
            </c:ext>
          </c:extLst>
        </c:ser>
        <c:ser>
          <c:idx val="23"/>
          <c:order val="22"/>
          <c:tx>
            <c:strRef>
              <c:f>'2016 E Maize VWC Graphs'!$Z$292</c:f>
              <c:strCache>
                <c:ptCount val="1"/>
                <c:pt idx="0">
                  <c:v>0</c:v>
                </c:pt>
              </c:strCache>
            </c:strRef>
          </c:tx>
          <c:xVal>
            <c:numRef>
              <c:f>'2016 E Maize VWC Graphs'!$AI$292:$AI$303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19A4-4908-842E-DF70B85EEC69}"/>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19A4-4908-842E-DF70B85EEC6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439584360810191"/>
              <c:y val="3.5781095544875074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788107345113181"/>
          <c:y val="0.12324709411323587"/>
          <c:w val="0.11900647948164149"/>
          <c:h val="0.7512117803456386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Graphs'!$AJ$6:$AJ$17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A280-41AA-BA70-D2730790EC31}"/>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Graphs'!$AJ$19:$AJ$30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A280-41AA-BA70-D2730790EC31}"/>
            </c:ext>
          </c:extLst>
        </c:ser>
        <c:ser>
          <c:idx val="0"/>
          <c:order val="2"/>
          <c:tx>
            <c:strRef>
              <c:f>'2016 E Maize VWC Graphs'!$Z$32</c:f>
              <c:strCache>
                <c:ptCount val="1"/>
                <c:pt idx="0">
                  <c:v>161</c:v>
                </c:pt>
              </c:strCache>
            </c:strRef>
          </c:tx>
          <c:xVal>
            <c:numRef>
              <c:f>'2016 E Maize VWC Graphs'!$AJ$32:$AJ$43</c:f>
              <c:numCache>
                <c:formatCode>General</c:formatCode>
                <c:ptCount val="12"/>
                <c:pt idx="0">
                  <c:v>0.22676226380730519</c:v>
                </c:pt>
                <c:pt idx="1">
                  <c:v>0.32321805316718122</c:v>
                </c:pt>
                <c:pt idx="2">
                  <c:v>0.34508593199728033</c:v>
                </c:pt>
                <c:pt idx="3">
                  <c:v>0.34270450854353135</c:v>
                </c:pt>
                <c:pt idx="4">
                  <c:v>0.33258345886509805</c:v>
                </c:pt>
                <c:pt idx="5">
                  <c:v>0.33826223787019183</c:v>
                </c:pt>
                <c:pt idx="6">
                  <c:v>0.34190493283324241</c:v>
                </c:pt>
                <c:pt idx="7">
                  <c:v>0.33888793454975091</c:v>
                </c:pt>
                <c:pt idx="8">
                  <c:v>0.30003678246040333</c:v>
                </c:pt>
                <c:pt idx="9">
                  <c:v>0.28711235110402716</c:v>
                </c:pt>
                <c:pt idx="10">
                  <c:v>0.29910248621777369</c:v>
                </c:pt>
                <c:pt idx="11">
                  <c:v>0.30581774046167398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A280-41AA-BA70-D2730790EC31}"/>
            </c:ext>
          </c:extLst>
        </c:ser>
        <c:ser>
          <c:idx val="1"/>
          <c:order val="3"/>
          <c:tx>
            <c:strRef>
              <c:f>'2016 E Maize VWC Graphs'!$Z$45</c:f>
              <c:strCache>
                <c:ptCount val="1"/>
                <c:pt idx="0">
                  <c:v>167</c:v>
                </c:pt>
              </c:strCache>
            </c:strRef>
          </c:tx>
          <c:marker>
            <c:symbol val="square"/>
            <c:size val="5"/>
          </c:marker>
          <c:xVal>
            <c:numRef>
              <c:f>'2016 E Maize VWC Graphs'!$AJ$45:$AJ$56</c:f>
              <c:numCache>
                <c:formatCode>General</c:formatCode>
                <c:ptCount val="12"/>
                <c:pt idx="0">
                  <c:v>0.22240808262648104</c:v>
                </c:pt>
                <c:pt idx="1">
                  <c:v>0.32637801890388668</c:v>
                </c:pt>
                <c:pt idx="2">
                  <c:v>0.34975718569501885</c:v>
                </c:pt>
                <c:pt idx="3">
                  <c:v>0.33846832259215087</c:v>
                </c:pt>
                <c:pt idx="4">
                  <c:v>0.34032308508978232</c:v>
                </c:pt>
                <c:pt idx="5">
                  <c:v>0.34508593199728033</c:v>
                </c:pt>
                <c:pt idx="6">
                  <c:v>0.34254726150005022</c:v>
                </c:pt>
                <c:pt idx="7">
                  <c:v>0.34336477071235111</c:v>
                </c:pt>
                <c:pt idx="8">
                  <c:v>0.30642114011837224</c:v>
                </c:pt>
                <c:pt idx="9">
                  <c:v>0.29664995858087101</c:v>
                </c:pt>
                <c:pt idx="10">
                  <c:v>0.30032875003622506</c:v>
                </c:pt>
                <c:pt idx="11">
                  <c:v>0.30523380531003047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A280-41AA-BA70-D2730790EC31}"/>
            </c:ext>
          </c:extLst>
        </c:ser>
        <c:ser>
          <c:idx val="2"/>
          <c:order val="4"/>
          <c:tx>
            <c:strRef>
              <c:f>'2016 E Maize VWC Graphs'!$Z$58</c:f>
              <c:strCache>
                <c:ptCount val="1"/>
                <c:pt idx="0">
                  <c:v>173</c:v>
                </c:pt>
              </c:strCache>
            </c:strRef>
          </c:tx>
          <c:marker>
            <c:spPr>
              <a:solidFill>
                <a:srgbClr val="00B050"/>
              </a:solidFill>
            </c:spPr>
          </c:marker>
          <c:xVal>
            <c:numRef>
              <c:f>'2016 E Maize VWC Graphs'!$AJ$58:$AJ$69</c:f>
              <c:numCache>
                <c:formatCode>General</c:formatCode>
                <c:ptCount val="12"/>
                <c:pt idx="0">
                  <c:v>0.20470363667978198</c:v>
                </c:pt>
                <c:pt idx="1">
                  <c:v>0.31231846120579154</c:v>
                </c:pt>
                <c:pt idx="2">
                  <c:v>0.34737576224126981</c:v>
                </c:pt>
                <c:pt idx="3">
                  <c:v>0.34320827119720904</c:v>
                </c:pt>
                <c:pt idx="4">
                  <c:v>0.34165118663129618</c:v>
                </c:pt>
                <c:pt idx="5">
                  <c:v>0.34313957628988934</c:v>
                </c:pt>
                <c:pt idx="6">
                  <c:v>0.34813357445077309</c:v>
                </c:pt>
                <c:pt idx="7">
                  <c:v>0.3412820686714893</c:v>
                </c:pt>
                <c:pt idx="8">
                  <c:v>0.31128726638206811</c:v>
                </c:pt>
                <c:pt idx="9">
                  <c:v>0.30272288415796339</c:v>
                </c:pt>
                <c:pt idx="10">
                  <c:v>0.3026255616326895</c:v>
                </c:pt>
                <c:pt idx="11">
                  <c:v>0.30782258448231664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A280-41AA-BA70-D2730790EC31}"/>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Graphs'!$AJ$71:$AJ$82</c:f>
              <c:numCache>
                <c:formatCode>General</c:formatCode>
                <c:ptCount val="12"/>
                <c:pt idx="0">
                  <c:v>0.1291288619993981</c:v>
                </c:pt>
                <c:pt idx="1">
                  <c:v>0.25395068828650091</c:v>
                </c:pt>
                <c:pt idx="2">
                  <c:v>0.33485039080664758</c:v>
                </c:pt>
                <c:pt idx="3">
                  <c:v>0.33459850947980874</c:v>
                </c:pt>
                <c:pt idx="4">
                  <c:v>0.33805615314823284</c:v>
                </c:pt>
                <c:pt idx="5">
                  <c:v>0.34291059326549039</c:v>
                </c:pt>
                <c:pt idx="6">
                  <c:v>0.3339828792759455</c:v>
                </c:pt>
                <c:pt idx="7">
                  <c:v>0.35039145703712793</c:v>
                </c:pt>
                <c:pt idx="8">
                  <c:v>0.31167655648316378</c:v>
                </c:pt>
                <c:pt idx="9">
                  <c:v>0.29978374389469109</c:v>
                </c:pt>
                <c:pt idx="10">
                  <c:v>0.30237252306697732</c:v>
                </c:pt>
                <c:pt idx="11">
                  <c:v>0.3098468930080141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A280-41AA-BA70-D2730790EC31}"/>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Graphs'!$AJ$84:$AJ$95</c:f>
              <c:numCache>
                <c:formatCode>General</c:formatCode>
                <c:ptCount val="12"/>
                <c:pt idx="0">
                  <c:v>0.16146872750983648</c:v>
                </c:pt>
                <c:pt idx="1">
                  <c:v>0.26665924614064224</c:v>
                </c:pt>
                <c:pt idx="2">
                  <c:v>0.30048003884436619</c:v>
                </c:pt>
                <c:pt idx="3">
                  <c:v>0.31946273156703858</c:v>
                </c:pt>
                <c:pt idx="4">
                  <c:v>0.3324231707480188</c:v>
                </c:pt>
                <c:pt idx="5">
                  <c:v>0.34194886456301482</c:v>
                </c:pt>
                <c:pt idx="6">
                  <c:v>0.34589515636947293</c:v>
                </c:pt>
                <c:pt idx="7">
                  <c:v>0.33789524479195698</c:v>
                </c:pt>
                <c:pt idx="8">
                  <c:v>0.31292228480666989</c:v>
                </c:pt>
                <c:pt idx="9">
                  <c:v>0.30025089201600591</c:v>
                </c:pt>
                <c:pt idx="10">
                  <c:v>0.30671310769419402</c:v>
                </c:pt>
                <c:pt idx="11">
                  <c:v>0.30978849949284981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A280-41AA-BA70-D2730790EC31}"/>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Graphs'!$AJ$97:$AJ$108</c:f>
              <c:numCache>
                <c:formatCode>General</c:formatCode>
                <c:ptCount val="12"/>
                <c:pt idx="0">
                  <c:v>0.16616817415874363</c:v>
                </c:pt>
                <c:pt idx="1">
                  <c:v>0.26979631357490774</c:v>
                </c:pt>
                <c:pt idx="2">
                  <c:v>0.29583168344906763</c:v>
                </c:pt>
                <c:pt idx="3">
                  <c:v>0.31362366444486556</c:v>
                </c:pt>
                <c:pt idx="4">
                  <c:v>0.3237218158208589</c:v>
                </c:pt>
                <c:pt idx="5">
                  <c:v>0.33684254311891837</c:v>
                </c:pt>
                <c:pt idx="6">
                  <c:v>0.34357888026795375</c:v>
                </c:pt>
                <c:pt idx="7">
                  <c:v>0.34229422293433803</c:v>
                </c:pt>
                <c:pt idx="8">
                  <c:v>0.31157923395788983</c:v>
                </c:pt>
                <c:pt idx="9">
                  <c:v>0.29859640908634932</c:v>
                </c:pt>
                <c:pt idx="10">
                  <c:v>0.30392968347135996</c:v>
                </c:pt>
                <c:pt idx="11">
                  <c:v>0.30967171246252106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A280-41AA-BA70-D2730790EC31}"/>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Graphs'!$AJ$110:$AJ$121</c:f>
              <c:numCache>
                <c:formatCode>General</c:formatCode>
                <c:ptCount val="12"/>
                <c:pt idx="0">
                  <c:v>0.14777319727587862</c:v>
                </c:pt>
                <c:pt idx="1">
                  <c:v>0.26166741620874528</c:v>
                </c:pt>
                <c:pt idx="2">
                  <c:v>0.29551110721490914</c:v>
                </c:pt>
                <c:pt idx="3">
                  <c:v>0.30407507232742959</c:v>
                </c:pt>
                <c:pt idx="4">
                  <c:v>0.3238821039379382</c:v>
                </c:pt>
                <c:pt idx="5">
                  <c:v>0.33654486518719973</c:v>
                </c:pt>
                <c:pt idx="6">
                  <c:v>0.34317012566180333</c:v>
                </c:pt>
                <c:pt idx="7">
                  <c:v>0.34172975228774932</c:v>
                </c:pt>
                <c:pt idx="8">
                  <c:v>0.30690775274474186</c:v>
                </c:pt>
                <c:pt idx="9">
                  <c:v>0.29581298486351532</c:v>
                </c:pt>
                <c:pt idx="10">
                  <c:v>0.30200269747093644</c:v>
                </c:pt>
                <c:pt idx="11">
                  <c:v>0.30675203670430357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A280-41AA-BA70-D2730790EC31}"/>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Graphs'!$AJ$123:$AJ$134</c:f>
              <c:numCache>
                <c:formatCode>General</c:formatCode>
                <c:ptCount val="12"/>
                <c:pt idx="0">
                  <c:v>0.16599554142470213</c:v>
                </c:pt>
                <c:pt idx="1">
                  <c:v>0.28719902342922748</c:v>
                </c:pt>
                <c:pt idx="2">
                  <c:v>0.31325729160582721</c:v>
                </c:pt>
                <c:pt idx="3">
                  <c:v>0.32214183295250626</c:v>
                </c:pt>
                <c:pt idx="4">
                  <c:v>0.33169042506994217</c:v>
                </c:pt>
                <c:pt idx="5">
                  <c:v>0.33684254311891837</c:v>
                </c:pt>
                <c:pt idx="6">
                  <c:v>0.34155457174225623</c:v>
                </c:pt>
                <c:pt idx="7">
                  <c:v>0.34272244204554325</c:v>
                </c:pt>
                <c:pt idx="8">
                  <c:v>0.30743329438122097</c:v>
                </c:pt>
                <c:pt idx="9">
                  <c:v>0.30106840122830686</c:v>
                </c:pt>
                <c:pt idx="10">
                  <c:v>0.30470826367355131</c:v>
                </c:pt>
                <c:pt idx="11">
                  <c:v>0.30897099028054886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A280-41AA-BA70-D2730790EC31}"/>
            </c:ext>
          </c:extLst>
        </c:ser>
        <c:ser>
          <c:idx val="10"/>
          <c:order val="10"/>
          <c:tx>
            <c:strRef>
              <c:f>'2016 E Maize VWC Graphs'!$Z$136</c:f>
              <c:strCache>
                <c:ptCount val="1"/>
                <c:pt idx="0">
                  <c:v>224</c:v>
                </c:pt>
              </c:strCache>
            </c:strRef>
          </c:tx>
          <c:xVal>
            <c:numRef>
              <c:f>'2016 E Maize VWC Graphs'!$AJ$136:$AJ$147</c:f>
              <c:numCache>
                <c:formatCode>General</c:formatCode>
                <c:ptCount val="12"/>
                <c:pt idx="0">
                  <c:v>0.25599474010499684</c:v>
                </c:pt>
                <c:pt idx="1">
                  <c:v>0.29983888637604916</c:v>
                </c:pt>
                <c:pt idx="2">
                  <c:v>0.32005808743047581</c:v>
                </c:pt>
                <c:pt idx="3">
                  <c:v>0.31394424067902404</c:v>
                </c:pt>
                <c:pt idx="4">
                  <c:v>0.3189818672158008</c:v>
                </c:pt>
                <c:pt idx="5">
                  <c:v>0.33395735701149171</c:v>
                </c:pt>
                <c:pt idx="6">
                  <c:v>0.33951079871150402</c:v>
                </c:pt>
                <c:pt idx="7">
                  <c:v>0.34490246661167895</c:v>
                </c:pt>
                <c:pt idx="8">
                  <c:v>0.31416801313017606</c:v>
                </c:pt>
                <c:pt idx="9">
                  <c:v>0.30248931009730601</c:v>
                </c:pt>
                <c:pt idx="10">
                  <c:v>0.30610970803749571</c:v>
                </c:pt>
                <c:pt idx="11">
                  <c:v>0.30969117696757587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A280-41AA-BA70-D2730790EC31}"/>
            </c:ext>
          </c:extLst>
        </c:ser>
        <c:ser>
          <c:idx val="11"/>
          <c:order val="11"/>
          <c:tx>
            <c:strRef>
              <c:f>'2016 E Maize VWC Graphs'!$Z$149</c:f>
              <c:strCache>
                <c:ptCount val="1"/>
                <c:pt idx="0">
                  <c:v>236</c:v>
                </c:pt>
              </c:strCache>
            </c:strRef>
          </c:tx>
          <c:xVal>
            <c:numRef>
              <c:f>'2016 E Maize VWC Graphs'!$AJ$149:$AJ$160</c:f>
              <c:numCache>
                <c:formatCode>General</c:formatCode>
                <c:ptCount val="12"/>
                <c:pt idx="0">
                  <c:v>0.28434487131758757</c:v>
                </c:pt>
                <c:pt idx="1">
                  <c:v>0.33894918694338866</c:v>
                </c:pt>
                <c:pt idx="2">
                  <c:v>0.33308722151877568</c:v>
                </c:pt>
                <c:pt idx="3">
                  <c:v>0.30157915736148111</c:v>
                </c:pt>
                <c:pt idx="4">
                  <c:v>0.30547186877626314</c:v>
                </c:pt>
                <c:pt idx="5">
                  <c:v>0.32891973047471496</c:v>
                </c:pt>
                <c:pt idx="6">
                  <c:v>0.33643540691284823</c:v>
                </c:pt>
                <c:pt idx="7">
                  <c:v>0.32870799840609921</c:v>
                </c:pt>
                <c:pt idx="8">
                  <c:v>0.28853325997302631</c:v>
                </c:pt>
                <c:pt idx="9">
                  <c:v>0.29592977189384401</c:v>
                </c:pt>
                <c:pt idx="10">
                  <c:v>0.3033262838146617</c:v>
                </c:pt>
                <c:pt idx="11">
                  <c:v>0.30735543636100188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A280-41AA-BA70-D2730790EC31}"/>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Graphs'!$AJ$162:$AJ$173</c:f>
              <c:numCache>
                <c:formatCode>General</c:formatCode>
                <c:ptCount val="12"/>
                <c:pt idx="0">
                  <c:v>0.28507376508354049</c:v>
                </c:pt>
                <c:pt idx="1">
                  <c:v>0.33315591642609543</c:v>
                </c:pt>
                <c:pt idx="2">
                  <c:v>0.34277320345085099</c:v>
                </c:pt>
                <c:pt idx="3">
                  <c:v>0.32834727291371762</c:v>
                </c:pt>
                <c:pt idx="4">
                  <c:v>0.31753927416208744</c:v>
                </c:pt>
                <c:pt idx="5">
                  <c:v>0.32873654405519581</c:v>
                </c:pt>
                <c:pt idx="6">
                  <c:v>0.33079070044696107</c:v>
                </c:pt>
                <c:pt idx="7">
                  <c:v>0.33077123594190627</c:v>
                </c:pt>
                <c:pt idx="8">
                  <c:v>0.29701978417691188</c:v>
                </c:pt>
                <c:pt idx="9">
                  <c:v>0.28818289888204024</c:v>
                </c:pt>
                <c:pt idx="10">
                  <c:v>0.29147240023629861</c:v>
                </c:pt>
                <c:pt idx="11">
                  <c:v>0.30396861248146956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A280-41AA-BA70-D2730790EC31}"/>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Graphs'!$AJ$175:$AJ$186</c:f>
              <c:numCache>
                <c:formatCode>General</c:formatCode>
                <c:ptCount val="12"/>
                <c:pt idx="0">
                  <c:v>0.23911509499871819</c:v>
                </c:pt>
                <c:pt idx="1">
                  <c:v>0.31854679946944281</c:v>
                </c:pt>
                <c:pt idx="2">
                  <c:v>0.33780427182139394</c:v>
                </c:pt>
                <c:pt idx="3">
                  <c:v>0.32269139221106369</c:v>
                </c:pt>
                <c:pt idx="4">
                  <c:v>0.31140252910819577</c:v>
                </c:pt>
                <c:pt idx="5">
                  <c:v>0.32337834128426052</c:v>
                </c:pt>
                <c:pt idx="6">
                  <c:v>0.32755959260786699</c:v>
                </c:pt>
                <c:pt idx="7">
                  <c:v>0.33211428679068633</c:v>
                </c:pt>
                <c:pt idx="8">
                  <c:v>0.29881051864195196</c:v>
                </c:pt>
                <c:pt idx="9">
                  <c:v>0.28442624940646705</c:v>
                </c:pt>
                <c:pt idx="10">
                  <c:v>0.29659156506570666</c:v>
                </c:pt>
                <c:pt idx="11">
                  <c:v>0.30357932238037388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A280-41AA-BA70-D2730790EC31}"/>
            </c:ext>
          </c:extLst>
        </c:ser>
        <c:ser>
          <c:idx val="14"/>
          <c:order val="14"/>
          <c:tx>
            <c:strRef>
              <c:f>'2016 E Maize VWC Graphs'!$Z$188</c:f>
              <c:strCache>
                <c:ptCount val="1"/>
                <c:pt idx="0">
                  <c:v>270</c:v>
                </c:pt>
              </c:strCache>
            </c:strRef>
          </c:tx>
          <c:xVal>
            <c:numRef>
              <c:f>'2016 E Maize VWC Graphs'!$AJ$188:$AJ$199</c:f>
              <c:numCache>
                <c:formatCode>General</c:formatCode>
                <c:ptCount val="12"/>
                <c:pt idx="0">
                  <c:v>0.20270876953085815</c:v>
                </c:pt>
                <c:pt idx="1">
                  <c:v>0.30061742865900554</c:v>
                </c:pt>
                <c:pt idx="2">
                  <c:v>0.32816408649419848</c:v>
                </c:pt>
                <c:pt idx="3">
                  <c:v>0.32136329066954983</c:v>
                </c:pt>
                <c:pt idx="4">
                  <c:v>0.30808227525441112</c:v>
                </c:pt>
                <c:pt idx="5">
                  <c:v>0.32649251041608612</c:v>
                </c:pt>
                <c:pt idx="6">
                  <c:v>0.32386133664745814</c:v>
                </c:pt>
                <c:pt idx="7">
                  <c:v>0.32888317895159225</c:v>
                </c:pt>
                <c:pt idx="8">
                  <c:v>0.29737014526789801</c:v>
                </c:pt>
                <c:pt idx="9">
                  <c:v>0.2814092511229756</c:v>
                </c:pt>
                <c:pt idx="10">
                  <c:v>0.29094685859981945</c:v>
                </c:pt>
                <c:pt idx="11">
                  <c:v>0.30655739165375573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A280-41AA-BA70-D2730790EC31}"/>
            </c:ext>
          </c:extLst>
        </c:ser>
        <c:ser>
          <c:idx val="15"/>
          <c:order val="15"/>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A280-41AA-BA70-D2730790EC31}"/>
            </c:ext>
          </c:extLst>
        </c:ser>
        <c:ser>
          <c:idx val="16"/>
          <c:order val="16"/>
          <c:tx>
            <c:strRef>
              <c:f>'2016 E Maize VWC Graphs'!$Z$201</c:f>
              <c:strCache>
                <c:ptCount val="1"/>
                <c:pt idx="0">
                  <c:v>286</c:v>
                </c:pt>
              </c:strCache>
            </c:strRef>
          </c:tx>
          <c:xVal>
            <c:numRef>
              <c:f>'2016 E Maize VWC Graphs'!$AJ$201:$AJ$212</c:f>
              <c:numCache>
                <c:formatCode>General</c:formatCode>
                <c:ptCount val="12"/>
                <c:pt idx="0">
                  <c:v>0.17754275319058815</c:v>
                </c:pt>
                <c:pt idx="1">
                  <c:v>0.29500734456123145</c:v>
                </c:pt>
                <c:pt idx="2">
                  <c:v>0.32115720594759078</c:v>
                </c:pt>
                <c:pt idx="3">
                  <c:v>0.31112774947891703</c:v>
                </c:pt>
                <c:pt idx="4">
                  <c:v>0.30515129254210466</c:v>
                </c:pt>
                <c:pt idx="5">
                  <c:v>0.31953142647435828</c:v>
                </c:pt>
                <c:pt idx="6">
                  <c:v>0.32263507282900677</c:v>
                </c:pt>
                <c:pt idx="7">
                  <c:v>0.33139410010365933</c:v>
                </c:pt>
                <c:pt idx="8">
                  <c:v>0.29668888759098055</c:v>
                </c:pt>
                <c:pt idx="9">
                  <c:v>0.2793460135871686</c:v>
                </c:pt>
                <c:pt idx="10">
                  <c:v>0.28685931253831493</c:v>
                </c:pt>
                <c:pt idx="11">
                  <c:v>0.30591506298694787</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A280-41AA-BA70-D2730790EC31}"/>
            </c:ext>
          </c:extLst>
        </c:ser>
        <c:ser>
          <c:idx val="17"/>
          <c:order val="17"/>
          <c:tx>
            <c:strRef>
              <c:f>'2016 E Maize VWC Graphs'!$Z$214</c:f>
              <c:strCache>
                <c:ptCount val="1"/>
                <c:pt idx="0">
                  <c:v>302</c:v>
                </c:pt>
              </c:strCache>
            </c:strRef>
          </c:tx>
          <c:xVal>
            <c:numRef>
              <c:f>'2016 E Maize VWC Graphs'!$AJ$214:$AJ$225</c:f>
              <c:numCache>
                <c:formatCode>General</c:formatCode>
                <c:ptCount val="12"/>
                <c:pt idx="0">
                  <c:v>0.15118748912692132</c:v>
                </c:pt>
                <c:pt idx="1">
                  <c:v>0.28348949843396459</c:v>
                </c:pt>
                <c:pt idx="2">
                  <c:v>0.33544574667008481</c:v>
                </c:pt>
                <c:pt idx="3">
                  <c:v>0.31447090163514163</c:v>
                </c:pt>
                <c:pt idx="4">
                  <c:v>0.30299885211275457</c:v>
                </c:pt>
                <c:pt idx="5">
                  <c:v>0.32344703619158022</c:v>
                </c:pt>
                <c:pt idx="6">
                  <c:v>0.30957438993724717</c:v>
                </c:pt>
                <c:pt idx="7">
                  <c:v>0.32972015266894794</c:v>
                </c:pt>
                <c:pt idx="8">
                  <c:v>0.29390546336814655</c:v>
                </c:pt>
                <c:pt idx="9">
                  <c:v>0.27728277605136153</c:v>
                </c:pt>
                <c:pt idx="10">
                  <c:v>0.29573512684329617</c:v>
                </c:pt>
                <c:pt idx="11">
                  <c:v>0.30354039337026428</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A280-41AA-BA70-D2730790EC31}"/>
            </c:ext>
          </c:extLst>
        </c:ser>
        <c:ser>
          <c:idx val="18"/>
          <c:order val="18"/>
          <c:tx>
            <c:strRef>
              <c:f>'2016 E Maize VWC Graphs'!$Z$227</c:f>
              <c:strCache>
                <c:ptCount val="1"/>
                <c:pt idx="0">
                  <c:v>0</c:v>
                </c:pt>
              </c:strCache>
            </c:strRef>
          </c:tx>
          <c:xVal>
            <c:numRef>
              <c:f>'2016 E Maize VWC Graphs'!$AJ$227:$AJ$238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A280-41AA-BA70-D2730790EC31}"/>
            </c:ext>
          </c:extLst>
        </c:ser>
        <c:ser>
          <c:idx val="19"/>
          <c:order val="19"/>
          <c:tx>
            <c:strRef>
              <c:f>'2016 E Maize VWC Graphs'!$Z$240</c:f>
              <c:strCache>
                <c:ptCount val="1"/>
                <c:pt idx="0">
                  <c:v>0</c:v>
                </c:pt>
              </c:strCache>
            </c:strRef>
          </c:tx>
          <c:xVal>
            <c:numRef>
              <c:f>'2016 E Maize VWC Graphs'!$AJ$240:$AJ$251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A280-41AA-BA70-D2730790EC31}"/>
            </c:ext>
          </c:extLst>
        </c:ser>
        <c:ser>
          <c:idx val="20"/>
          <c:order val="20"/>
          <c:tx>
            <c:strRef>
              <c:f>'2016 E Maize VWC Graphs'!$Z$253</c:f>
              <c:strCache>
                <c:ptCount val="1"/>
                <c:pt idx="0">
                  <c:v>0</c:v>
                </c:pt>
              </c:strCache>
            </c:strRef>
          </c:tx>
          <c:xVal>
            <c:numRef>
              <c:f>'2016 E Maize VWC Graphs'!$AJ$253:$AJ$264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A280-41AA-BA70-D2730790EC31}"/>
            </c:ext>
          </c:extLst>
        </c:ser>
        <c:ser>
          <c:idx val="21"/>
          <c:order val="21"/>
          <c:tx>
            <c:strRef>
              <c:f>'2016 E Maize VWC Graphs'!$Z$266</c:f>
              <c:strCache>
                <c:ptCount val="1"/>
                <c:pt idx="0">
                  <c:v>0</c:v>
                </c:pt>
              </c:strCache>
            </c:strRef>
          </c:tx>
          <c:xVal>
            <c:numRef>
              <c:f>'2016 E Maize VWC Graphs'!$AJ$266:$AJ$277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A280-41AA-BA70-D2730790EC31}"/>
            </c:ext>
          </c:extLst>
        </c:ser>
        <c:ser>
          <c:idx val="22"/>
          <c:order val="22"/>
          <c:tx>
            <c:strRef>
              <c:f>'2016 E Maize VWC Graphs'!$Z$279</c:f>
              <c:strCache>
                <c:ptCount val="1"/>
                <c:pt idx="0">
                  <c:v>0</c:v>
                </c:pt>
              </c:strCache>
            </c:strRef>
          </c:tx>
          <c:xVal>
            <c:numRef>
              <c:f>'2016 E Maize VWC Graphs'!$AJ$279:$AJ$290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A280-41AA-BA70-D2730790EC31}"/>
            </c:ext>
          </c:extLst>
        </c:ser>
        <c:ser>
          <c:idx val="23"/>
          <c:order val="23"/>
          <c:tx>
            <c:strRef>
              <c:f>'2016 E Maize VWC Graphs'!$Z$292</c:f>
              <c:strCache>
                <c:ptCount val="1"/>
                <c:pt idx="0">
                  <c:v>0</c:v>
                </c:pt>
              </c:strCache>
            </c:strRef>
          </c:tx>
          <c:xVal>
            <c:numRef>
              <c:f>'2016 E Maize VWC Graphs'!$AJ$292:$AJ$303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A280-41AA-BA70-D2730790EC3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1026008112622288"/>
          <c:w val="0.11900647948164149"/>
          <c:h val="0.75986978900364732"/>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Graphs'!$AK$6:$AK$17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BD1B-48DE-ACB8-009BEB49AD99}"/>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Graphs'!$AK$19:$AK$30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BD1B-48DE-ACB8-009BEB49AD99}"/>
            </c:ext>
          </c:extLst>
        </c:ser>
        <c:ser>
          <c:idx val="0"/>
          <c:order val="2"/>
          <c:tx>
            <c:strRef>
              <c:f>'2016 E Maize VWC Graphs'!$Z$32</c:f>
              <c:strCache>
                <c:ptCount val="1"/>
                <c:pt idx="0">
                  <c:v>161</c:v>
                </c:pt>
              </c:strCache>
            </c:strRef>
          </c:tx>
          <c:xVal>
            <c:numRef>
              <c:f>'2016 E Maize VWC Graphs'!$AK$32:$AK$43</c:f>
              <c:numCache>
                <c:formatCode>General</c:formatCode>
                <c:ptCount val="12"/>
                <c:pt idx="0">
                  <c:v>0.1994671104138569</c:v>
                </c:pt>
                <c:pt idx="1">
                  <c:v>0.31012022417156171</c:v>
                </c:pt>
                <c:pt idx="2">
                  <c:v>0.35630610019282855</c:v>
                </c:pt>
                <c:pt idx="3">
                  <c:v>0.34135350869957759</c:v>
                </c:pt>
                <c:pt idx="4">
                  <c:v>0.34025439018246267</c:v>
                </c:pt>
                <c:pt idx="5">
                  <c:v>0.33393445870905181</c:v>
                </c:pt>
                <c:pt idx="6">
                  <c:v>0.30733597185594708</c:v>
                </c:pt>
                <c:pt idx="7">
                  <c:v>0.33201696426541244</c:v>
                </c:pt>
                <c:pt idx="8">
                  <c:v>0.2990051636924998</c:v>
                </c:pt>
                <c:pt idx="9">
                  <c:v>0.28847486645786202</c:v>
                </c:pt>
                <c:pt idx="10">
                  <c:v>0.2983239060155824</c:v>
                </c:pt>
                <c:pt idx="11">
                  <c:v>0.3048639797139896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BD1B-48DE-ACB8-009BEB49AD99}"/>
            </c:ext>
          </c:extLst>
        </c:ser>
        <c:ser>
          <c:idx val="1"/>
          <c:order val="3"/>
          <c:tx>
            <c:strRef>
              <c:f>'2016 E Maize VWC Graphs'!$Z$45</c:f>
              <c:strCache>
                <c:ptCount val="1"/>
                <c:pt idx="0">
                  <c:v>167</c:v>
                </c:pt>
              </c:strCache>
            </c:strRef>
          </c:tx>
          <c:marker>
            <c:symbol val="square"/>
            <c:size val="5"/>
          </c:marker>
          <c:xVal>
            <c:numRef>
              <c:f>'2016 E Maize VWC Graphs'!$AK$45:$AK$56</c:f>
              <c:numCache>
                <c:formatCode>General</c:formatCode>
                <c:ptCount val="12"/>
                <c:pt idx="0">
                  <c:v>0.22937093623282095</c:v>
                </c:pt>
                <c:pt idx="1">
                  <c:v>0.31868418928408221</c:v>
                </c:pt>
                <c:pt idx="2">
                  <c:v>0.35273396501220505</c:v>
                </c:pt>
                <c:pt idx="3">
                  <c:v>0.34538360992899902</c:v>
                </c:pt>
                <c:pt idx="4">
                  <c:v>0.33720891595795671</c:v>
                </c:pt>
                <c:pt idx="5">
                  <c:v>0.33590371271888275</c:v>
                </c:pt>
                <c:pt idx="6">
                  <c:v>0.31360354248358729</c:v>
                </c:pt>
                <c:pt idx="7">
                  <c:v>0.32987586870938623</c:v>
                </c:pt>
                <c:pt idx="8">
                  <c:v>0.30359878688542868</c:v>
                </c:pt>
                <c:pt idx="9">
                  <c:v>0.29322420569122915</c:v>
                </c:pt>
                <c:pt idx="10">
                  <c:v>0.30042607256149895</c:v>
                </c:pt>
                <c:pt idx="11">
                  <c:v>0.30873741621989148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BD1B-48DE-ACB8-009BEB49AD99}"/>
            </c:ext>
          </c:extLst>
        </c:ser>
        <c:ser>
          <c:idx val="2"/>
          <c:order val="4"/>
          <c:tx>
            <c:strRef>
              <c:f>'2016 E Maize VWC Graphs'!$Z$58</c:f>
              <c:strCache>
                <c:ptCount val="1"/>
                <c:pt idx="0">
                  <c:v>173</c:v>
                </c:pt>
              </c:strCache>
            </c:strRef>
          </c:tx>
          <c:marker>
            <c:spPr>
              <a:solidFill>
                <a:srgbClr val="00B050"/>
              </a:solidFill>
            </c:spPr>
          </c:marker>
          <c:xVal>
            <c:numRef>
              <c:f>'2016 E Maize VWC Graphs'!$AK$58:$AK$69</c:f>
              <c:numCache>
                <c:formatCode>General</c:formatCode>
                <c:ptCount val="12"/>
                <c:pt idx="0">
                  <c:v>0.18416034132884518</c:v>
                </c:pt>
                <c:pt idx="1">
                  <c:v>0.29741166631742033</c:v>
                </c:pt>
                <c:pt idx="2">
                  <c:v>0.35587103244647061</c:v>
                </c:pt>
                <c:pt idx="3">
                  <c:v>0.34476535576312184</c:v>
                </c:pt>
                <c:pt idx="4">
                  <c:v>0.3408497460458999</c:v>
                </c:pt>
                <c:pt idx="5">
                  <c:v>0.339086576758028</c:v>
                </c:pt>
                <c:pt idx="6">
                  <c:v>0.312104775594369</c:v>
                </c:pt>
                <c:pt idx="7">
                  <c:v>0.3398611598024901</c:v>
                </c:pt>
                <c:pt idx="8">
                  <c:v>0.3078031199772619</c:v>
                </c:pt>
                <c:pt idx="9">
                  <c:v>0.29711710670218577</c:v>
                </c:pt>
                <c:pt idx="10">
                  <c:v>0.30250877460236081</c:v>
                </c:pt>
                <c:pt idx="11">
                  <c:v>0.31068386672536979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BD1B-48DE-ACB8-009BEB49AD99}"/>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Graphs'!$AK$71:$AK$82</c:f>
              <c:numCache>
                <c:formatCode>General</c:formatCode>
                <c:ptCount val="12"/>
                <c:pt idx="0">
                  <c:v>0.16373213446726931</c:v>
                </c:pt>
                <c:pt idx="1">
                  <c:v>0.25713355232564622</c:v>
                </c:pt>
                <c:pt idx="2">
                  <c:v>0.33134695053334373</c:v>
                </c:pt>
                <c:pt idx="3">
                  <c:v>0.33878889882630941</c:v>
                </c:pt>
                <c:pt idx="4">
                  <c:v>0.33537705176276517</c:v>
                </c:pt>
                <c:pt idx="5">
                  <c:v>0.33752949219211525</c:v>
                </c:pt>
                <c:pt idx="6">
                  <c:v>0.30945760290691848</c:v>
                </c:pt>
                <c:pt idx="7">
                  <c:v>0.33411913081132899</c:v>
                </c:pt>
                <c:pt idx="8">
                  <c:v>0.30513648278475658</c:v>
                </c:pt>
                <c:pt idx="9">
                  <c:v>0.29400278589342044</c:v>
                </c:pt>
                <c:pt idx="10">
                  <c:v>0.30885420325022017</c:v>
                </c:pt>
                <c:pt idx="11">
                  <c:v>0.30817294557330277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BD1B-48DE-ACB8-009BEB49AD99}"/>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Graphs'!$AK$84:$AK$95</c:f>
              <c:numCache>
                <c:formatCode>General</c:formatCode>
                <c:ptCount val="12"/>
                <c:pt idx="0">
                  <c:v>0.15333580759499316</c:v>
                </c:pt>
                <c:pt idx="1">
                  <c:v>0.25156926483275188</c:v>
                </c:pt>
                <c:pt idx="2">
                  <c:v>0.29777803915645862</c:v>
                </c:pt>
                <c:pt idx="3">
                  <c:v>0.30796778374221162</c:v>
                </c:pt>
                <c:pt idx="4">
                  <c:v>0.32516440887457226</c:v>
                </c:pt>
                <c:pt idx="5">
                  <c:v>0.33283534019193689</c:v>
                </c:pt>
                <c:pt idx="6">
                  <c:v>0.30897099028054886</c:v>
                </c:pt>
                <c:pt idx="7">
                  <c:v>0.3347030659629725</c:v>
                </c:pt>
                <c:pt idx="8">
                  <c:v>0.3033262838146617</c:v>
                </c:pt>
                <c:pt idx="9">
                  <c:v>0.29267919954969518</c:v>
                </c:pt>
                <c:pt idx="10">
                  <c:v>0.3004455370665538</c:v>
                </c:pt>
                <c:pt idx="11">
                  <c:v>0.3077447264620975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BD1B-48DE-ACB8-009BEB49AD99}"/>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Graphs'!$AK$97:$AK$108</c:f>
              <c:numCache>
                <c:formatCode>General</c:formatCode>
                <c:ptCount val="12"/>
                <c:pt idx="0">
                  <c:v>0.15542658181838448</c:v>
                </c:pt>
                <c:pt idx="1">
                  <c:v>0.24087575759332119</c:v>
                </c:pt>
                <c:pt idx="2">
                  <c:v>0.29248853129284308</c:v>
                </c:pt>
                <c:pt idx="3">
                  <c:v>0.29404561585875588</c:v>
                </c:pt>
                <c:pt idx="4">
                  <c:v>0.31163151213259471</c:v>
                </c:pt>
                <c:pt idx="5">
                  <c:v>0.32935479822107294</c:v>
                </c:pt>
                <c:pt idx="6">
                  <c:v>0.30628488858298875</c:v>
                </c:pt>
                <c:pt idx="7">
                  <c:v>0.33191964174013849</c:v>
                </c:pt>
                <c:pt idx="8">
                  <c:v>0.30136036880412853</c:v>
                </c:pt>
                <c:pt idx="9">
                  <c:v>0.28981791730664203</c:v>
                </c:pt>
                <c:pt idx="10">
                  <c:v>0.29990053092501984</c:v>
                </c:pt>
                <c:pt idx="11">
                  <c:v>0.30718025581550878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BD1B-48DE-ACB8-009BEB49AD99}"/>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Graphs'!$AK$110:$AK$121</c:f>
              <c:numCache>
                <c:formatCode>General</c:formatCode>
                <c:ptCount val="12"/>
                <c:pt idx="0">
                  <c:v>0.16261961240344641</c:v>
                </c:pt>
                <c:pt idx="1">
                  <c:v>0.23276975852959864</c:v>
                </c:pt>
                <c:pt idx="2">
                  <c:v>0.29161839580012711</c:v>
                </c:pt>
                <c:pt idx="3">
                  <c:v>0.28500078639499765</c:v>
                </c:pt>
                <c:pt idx="4">
                  <c:v>0.30437275025914823</c:v>
                </c:pt>
                <c:pt idx="5">
                  <c:v>0.32672149344048512</c:v>
                </c:pt>
                <c:pt idx="6">
                  <c:v>0.30583720496672873</c:v>
                </c:pt>
                <c:pt idx="7">
                  <c:v>0.32931139806279752</c:v>
                </c:pt>
                <c:pt idx="8">
                  <c:v>0.30245038108719641</c:v>
                </c:pt>
                <c:pt idx="9">
                  <c:v>0.28921451764994371</c:v>
                </c:pt>
                <c:pt idx="10">
                  <c:v>0.29410010841869438</c:v>
                </c:pt>
                <c:pt idx="11">
                  <c:v>0.30412432852190779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BD1B-48DE-ACB8-009BEB49AD99}"/>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Graphs'!$AK$123:$AK$134</c:f>
              <c:numCache>
                <c:formatCode>General</c:formatCode>
                <c:ptCount val="12"/>
                <c:pt idx="0">
                  <c:v>0.1893968675947702</c:v>
                </c:pt>
                <c:pt idx="1">
                  <c:v>0.2782686854776687</c:v>
                </c:pt>
                <c:pt idx="2">
                  <c:v>0.30109829301024338</c:v>
                </c:pt>
                <c:pt idx="3">
                  <c:v>0.30975385133252342</c:v>
                </c:pt>
                <c:pt idx="4">
                  <c:v>0.32601164606484839</c:v>
                </c:pt>
                <c:pt idx="5">
                  <c:v>0.32841596782103727</c:v>
                </c:pt>
                <c:pt idx="6">
                  <c:v>0.30445522510783912</c:v>
                </c:pt>
                <c:pt idx="7">
                  <c:v>0.33034301683070105</c:v>
                </c:pt>
                <c:pt idx="8">
                  <c:v>0.3012241172687451</c:v>
                </c:pt>
                <c:pt idx="9">
                  <c:v>0.28962327225609419</c:v>
                </c:pt>
                <c:pt idx="10">
                  <c:v>0.29690299714658319</c:v>
                </c:pt>
                <c:pt idx="11">
                  <c:v>0.30414379302696259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BD1B-48DE-ACB8-009BEB49AD99}"/>
            </c:ext>
          </c:extLst>
        </c:ser>
        <c:ser>
          <c:idx val="10"/>
          <c:order val="10"/>
          <c:tx>
            <c:strRef>
              <c:f>'2016 E Maize VWC Graphs'!$Z$136</c:f>
              <c:strCache>
                <c:ptCount val="1"/>
                <c:pt idx="0">
                  <c:v>224</c:v>
                </c:pt>
              </c:strCache>
            </c:strRef>
          </c:tx>
          <c:xVal>
            <c:numRef>
              <c:f>'2016 E Maize VWC Graphs'!$AK$136:$AK$147</c:f>
              <c:numCache>
                <c:formatCode>General</c:formatCode>
                <c:ptCount val="12"/>
                <c:pt idx="0">
                  <c:v>0.2713206906049021</c:v>
                </c:pt>
                <c:pt idx="1">
                  <c:v>0.32555368001605045</c:v>
                </c:pt>
                <c:pt idx="2">
                  <c:v>0.31293671537166867</c:v>
                </c:pt>
                <c:pt idx="3">
                  <c:v>0.32042446026951416</c:v>
                </c:pt>
                <c:pt idx="4">
                  <c:v>0.31666913866937152</c:v>
                </c:pt>
                <c:pt idx="5">
                  <c:v>0.33478169589932794</c:v>
                </c:pt>
                <c:pt idx="6">
                  <c:v>0.30681043021946791</c:v>
                </c:pt>
                <c:pt idx="7">
                  <c:v>0.33853757345876478</c:v>
                </c:pt>
                <c:pt idx="8">
                  <c:v>0.30525326981508522</c:v>
                </c:pt>
                <c:pt idx="9">
                  <c:v>0.29180329682222994</c:v>
                </c:pt>
                <c:pt idx="10">
                  <c:v>0.30116572375358075</c:v>
                </c:pt>
                <c:pt idx="11">
                  <c:v>0.30291752920851123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BD1B-48DE-ACB8-009BEB49AD99}"/>
            </c:ext>
          </c:extLst>
        </c:ser>
        <c:ser>
          <c:idx val="11"/>
          <c:order val="11"/>
          <c:tx>
            <c:strRef>
              <c:f>'2016 E Maize VWC Graphs'!$Z$149</c:f>
              <c:strCache>
                <c:ptCount val="1"/>
                <c:pt idx="0">
                  <c:v>236</c:v>
                </c:pt>
              </c:strCache>
            </c:strRef>
          </c:tx>
          <c:xVal>
            <c:numRef>
              <c:f>'2016 E Maize VWC Graphs'!$AK$149:$AK$160</c:f>
              <c:numCache>
                <c:formatCode>General</c:formatCode>
                <c:ptCount val="12"/>
                <c:pt idx="0">
                  <c:v>0.26873119959427977</c:v>
                </c:pt>
                <c:pt idx="1">
                  <c:v>0.32839306951859737</c:v>
                </c:pt>
                <c:pt idx="2">
                  <c:v>0.34055206811418126</c:v>
                </c:pt>
                <c:pt idx="3">
                  <c:v>0.32818698479663833</c:v>
                </c:pt>
                <c:pt idx="4">
                  <c:v>0.31852390116700291</c:v>
                </c:pt>
                <c:pt idx="5">
                  <c:v>0.31962301968411788</c:v>
                </c:pt>
                <c:pt idx="6">
                  <c:v>0.29824604799536319</c:v>
                </c:pt>
                <c:pt idx="7">
                  <c:v>0.32952550761840016</c:v>
                </c:pt>
                <c:pt idx="8">
                  <c:v>0.29118043266047688</c:v>
                </c:pt>
                <c:pt idx="9">
                  <c:v>0.28076692245616774</c:v>
                </c:pt>
                <c:pt idx="10">
                  <c:v>0.2902072074077377</c:v>
                </c:pt>
                <c:pt idx="11">
                  <c:v>0.30058178860193724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BD1B-48DE-ACB8-009BEB49AD99}"/>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Graphs'!$AK$162:$AK$173</c:f>
              <c:numCache>
                <c:formatCode>General</c:formatCode>
                <c:ptCount val="12"/>
                <c:pt idx="0">
                  <c:v>0.28944712767925812</c:v>
                </c:pt>
                <c:pt idx="1">
                  <c:v>0.32992725578207027</c:v>
                </c:pt>
                <c:pt idx="2">
                  <c:v>0.34824589773398573</c:v>
                </c:pt>
                <c:pt idx="3">
                  <c:v>0.33938425468974665</c:v>
                </c:pt>
                <c:pt idx="4">
                  <c:v>0.32511861226969252</c:v>
                </c:pt>
                <c:pt idx="5">
                  <c:v>0.32743134081612185</c:v>
                </c:pt>
                <c:pt idx="6">
                  <c:v>0.29376921183276306</c:v>
                </c:pt>
                <c:pt idx="7">
                  <c:v>0.32244042777845899</c:v>
                </c:pt>
                <c:pt idx="8">
                  <c:v>0.28687877704336973</c:v>
                </c:pt>
                <c:pt idx="9">
                  <c:v>0.27681562793004677</c:v>
                </c:pt>
                <c:pt idx="10">
                  <c:v>0.28565251322491836</c:v>
                </c:pt>
                <c:pt idx="11">
                  <c:v>0.30178858791533381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BD1B-48DE-ACB8-009BEB49AD99}"/>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Graphs'!$AK$175:$AK$186</c:f>
              <c:numCache>
                <c:formatCode>General</c:formatCode>
                <c:ptCount val="12"/>
                <c:pt idx="0">
                  <c:v>0.25302162079650459</c:v>
                </c:pt>
                <c:pt idx="1">
                  <c:v>0.30627330936165947</c:v>
                </c:pt>
                <c:pt idx="2">
                  <c:v>0.34275030514841109</c:v>
                </c:pt>
                <c:pt idx="3">
                  <c:v>0.33047681504062776</c:v>
                </c:pt>
                <c:pt idx="4">
                  <c:v>0.31634856243521298</c:v>
                </c:pt>
                <c:pt idx="5">
                  <c:v>0.32317225656230147</c:v>
                </c:pt>
                <c:pt idx="6">
                  <c:v>0.28993470433697072</c:v>
                </c:pt>
                <c:pt idx="7">
                  <c:v>0.31963753905057019</c:v>
                </c:pt>
                <c:pt idx="8">
                  <c:v>0.28442624940646705</c:v>
                </c:pt>
                <c:pt idx="9">
                  <c:v>0.27360398459600749</c:v>
                </c:pt>
                <c:pt idx="10">
                  <c:v>0.28148710914319475</c:v>
                </c:pt>
                <c:pt idx="11">
                  <c:v>0.2961049524393371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BD1B-48DE-ACB8-009BEB49AD99}"/>
            </c:ext>
          </c:extLst>
        </c:ser>
        <c:ser>
          <c:idx val="14"/>
          <c:order val="14"/>
          <c:tx>
            <c:strRef>
              <c:f>'2016 E Maize VWC Graphs'!$Z$188</c:f>
              <c:strCache>
                <c:ptCount val="1"/>
                <c:pt idx="0">
                  <c:v>270</c:v>
                </c:pt>
              </c:strCache>
            </c:strRef>
          </c:tx>
          <c:xVal>
            <c:numRef>
              <c:f>'2016 E Maize VWC Graphs'!$AK$188:$AK$199</c:f>
              <c:numCache>
                <c:formatCode>General</c:formatCode>
                <c:ptCount val="12"/>
                <c:pt idx="0">
                  <c:v>0.21861016247756837</c:v>
                </c:pt>
                <c:pt idx="1">
                  <c:v>0.29496154795635166</c:v>
                </c:pt>
                <c:pt idx="2">
                  <c:v>0.3393384580848669</c:v>
                </c:pt>
                <c:pt idx="3">
                  <c:v>0.32324095146962117</c:v>
                </c:pt>
                <c:pt idx="4">
                  <c:v>0.31344047802534636</c:v>
                </c:pt>
                <c:pt idx="5">
                  <c:v>0.32106561273783119</c:v>
                </c:pt>
                <c:pt idx="6">
                  <c:v>0.28779360878094457</c:v>
                </c:pt>
                <c:pt idx="7">
                  <c:v>0.32051344177803542</c:v>
                </c:pt>
                <c:pt idx="8">
                  <c:v>0.28454303643679574</c:v>
                </c:pt>
                <c:pt idx="9">
                  <c:v>0.2705480573024065</c:v>
                </c:pt>
                <c:pt idx="10">
                  <c:v>0.27963798116299032</c:v>
                </c:pt>
                <c:pt idx="11">
                  <c:v>0.29935552478348593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BD1B-48DE-ACB8-009BEB49AD99}"/>
            </c:ext>
          </c:extLst>
        </c:ser>
        <c:ser>
          <c:idx val="16"/>
          <c:order val="15"/>
          <c:tx>
            <c:strRef>
              <c:f>'2016 E Maize VWC Graphs'!$Z$201</c:f>
              <c:strCache>
                <c:ptCount val="1"/>
                <c:pt idx="0">
                  <c:v>286</c:v>
                </c:pt>
              </c:strCache>
            </c:strRef>
          </c:tx>
          <c:xVal>
            <c:numRef>
              <c:f>'2016 E Maize VWC Graphs'!$AK$201:$AK$212</c:f>
              <c:numCache>
                <c:formatCode>General</c:formatCode>
                <c:ptCount val="12"/>
                <c:pt idx="0">
                  <c:v>0.1985272210840755</c:v>
                </c:pt>
                <c:pt idx="1">
                  <c:v>0.27558958409220102</c:v>
                </c:pt>
                <c:pt idx="2">
                  <c:v>0.33056840825038736</c:v>
                </c:pt>
                <c:pt idx="3">
                  <c:v>0.31962301968411788</c:v>
                </c:pt>
                <c:pt idx="4">
                  <c:v>0.30629620766409937</c:v>
                </c:pt>
                <c:pt idx="5">
                  <c:v>0.32195864653298711</c:v>
                </c:pt>
                <c:pt idx="6">
                  <c:v>0.28576930025524711</c:v>
                </c:pt>
                <c:pt idx="7">
                  <c:v>0.31389551005940908</c:v>
                </c:pt>
                <c:pt idx="8">
                  <c:v>0.285866622780521</c:v>
                </c:pt>
                <c:pt idx="9">
                  <c:v>0.26866000031209247</c:v>
                </c:pt>
                <c:pt idx="10">
                  <c:v>0.27965744566804512</c:v>
                </c:pt>
                <c:pt idx="11">
                  <c:v>0.2982849770054728</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BD1B-48DE-ACB8-009BEB49AD99}"/>
            </c:ext>
          </c:extLst>
        </c:ser>
        <c:ser>
          <c:idx val="17"/>
          <c:order val="16"/>
          <c:tx>
            <c:strRef>
              <c:f>'2016 E Maize VWC Graphs'!$Z$214</c:f>
              <c:strCache>
                <c:ptCount val="1"/>
                <c:pt idx="0">
                  <c:v>302</c:v>
                </c:pt>
              </c:strCache>
            </c:strRef>
          </c:tx>
          <c:xVal>
            <c:numRef>
              <c:f>'2016 E Maize VWC Graphs'!$AK$214:$AK$225</c:f>
              <c:numCache>
                <c:formatCode>General</c:formatCode>
                <c:ptCount val="12"/>
                <c:pt idx="0">
                  <c:v>0.15157111742479129</c:v>
                </c:pt>
                <c:pt idx="1">
                  <c:v>0.25253099353522745</c:v>
                </c:pt>
                <c:pt idx="2">
                  <c:v>0.32837017121615752</c:v>
                </c:pt>
                <c:pt idx="3">
                  <c:v>0.31687522339133056</c:v>
                </c:pt>
                <c:pt idx="4">
                  <c:v>0.30629620766409937</c:v>
                </c:pt>
                <c:pt idx="5">
                  <c:v>0.31859259607432261</c:v>
                </c:pt>
                <c:pt idx="6">
                  <c:v>0.28892255007412199</c:v>
                </c:pt>
                <c:pt idx="7">
                  <c:v>0.3143626581807239</c:v>
                </c:pt>
                <c:pt idx="8">
                  <c:v>0.2850101845581105</c:v>
                </c:pt>
                <c:pt idx="9">
                  <c:v>0.26881571635253076</c:v>
                </c:pt>
                <c:pt idx="10">
                  <c:v>0.2755893641115954</c:v>
                </c:pt>
                <c:pt idx="11">
                  <c:v>0.29740907427800756</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BD1B-48DE-ACB8-009BEB49AD99}"/>
            </c:ext>
          </c:extLst>
        </c:ser>
        <c:ser>
          <c:idx val="18"/>
          <c:order val="17"/>
          <c:tx>
            <c:strRef>
              <c:f>'2016 E Maize VWC Graphs'!$Z$227</c:f>
              <c:strCache>
                <c:ptCount val="1"/>
                <c:pt idx="0">
                  <c:v>0</c:v>
                </c:pt>
              </c:strCache>
            </c:strRef>
          </c:tx>
          <c:xVal>
            <c:numRef>
              <c:f>'2016 E Maize VWC Graphs'!$AK$227:$AK$238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BD1B-48DE-ACB8-009BEB49AD99}"/>
            </c:ext>
          </c:extLst>
        </c:ser>
        <c:ser>
          <c:idx val="19"/>
          <c:order val="18"/>
          <c:tx>
            <c:strRef>
              <c:f>'2016 E Maize VWC Graphs'!$Z$240</c:f>
              <c:strCache>
                <c:ptCount val="1"/>
                <c:pt idx="0">
                  <c:v>0</c:v>
                </c:pt>
              </c:strCache>
            </c:strRef>
          </c:tx>
          <c:xVal>
            <c:numRef>
              <c:f>'2016 E Maize VWC Graphs'!$AK$240:$AK$251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BD1B-48DE-ACB8-009BEB49AD99}"/>
            </c:ext>
          </c:extLst>
        </c:ser>
        <c:ser>
          <c:idx val="20"/>
          <c:order val="19"/>
          <c:tx>
            <c:strRef>
              <c:f>'2016 E Maize VWC Graphs'!$Z$253</c:f>
              <c:strCache>
                <c:ptCount val="1"/>
                <c:pt idx="0">
                  <c:v>0</c:v>
                </c:pt>
              </c:strCache>
            </c:strRef>
          </c:tx>
          <c:xVal>
            <c:numRef>
              <c:f>'2016 E Maize VWC Graphs'!$AK$253:$AK$264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BD1B-48DE-ACB8-009BEB49AD99}"/>
            </c:ext>
          </c:extLst>
        </c:ser>
        <c:ser>
          <c:idx val="21"/>
          <c:order val="20"/>
          <c:tx>
            <c:strRef>
              <c:f>'2016 E Maize VWC Graphs'!$Z$266</c:f>
              <c:strCache>
                <c:ptCount val="1"/>
                <c:pt idx="0">
                  <c:v>0</c:v>
                </c:pt>
              </c:strCache>
            </c:strRef>
          </c:tx>
          <c:xVal>
            <c:numRef>
              <c:f>'2016 E Maize VWC Graphs'!$AK$266:$AK$277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BD1B-48DE-ACB8-009BEB49AD99}"/>
            </c:ext>
          </c:extLst>
        </c:ser>
        <c:ser>
          <c:idx val="22"/>
          <c:order val="21"/>
          <c:tx>
            <c:strRef>
              <c:f>'2016 E Maize VWC Graphs'!$Z$279</c:f>
              <c:strCache>
                <c:ptCount val="1"/>
                <c:pt idx="0">
                  <c:v>0</c:v>
                </c:pt>
              </c:strCache>
            </c:strRef>
          </c:tx>
          <c:xVal>
            <c:numRef>
              <c:f>'2016 E Maize VWC Graphs'!$AK$279:$AK$290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BD1B-48DE-ACB8-009BEB49AD99}"/>
            </c:ext>
          </c:extLst>
        </c:ser>
        <c:ser>
          <c:idx val="23"/>
          <c:order val="22"/>
          <c:tx>
            <c:strRef>
              <c:f>'2016 E Maize VWC Graphs'!$Z$292</c:f>
              <c:strCache>
                <c:ptCount val="1"/>
                <c:pt idx="0">
                  <c:v>0</c:v>
                </c:pt>
              </c:strCache>
            </c:strRef>
          </c:tx>
          <c:xVal>
            <c:numRef>
              <c:f>'2016 E Maize VWC Graphs'!$AK$292:$AK$303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BD1B-48DE-ACB8-009BEB49AD99}"/>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BD1B-48DE-ACB8-009BEB49AD9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048006553176534"/>
          <c:y val="0.11675358761972936"/>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Graphs'!$AL$6:$AL$17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31D9-447A-A4A8-FD1FAB68E822}"/>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Graphs'!$AL$19:$AL$30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31D9-447A-A4A8-FD1FAB68E822}"/>
            </c:ext>
          </c:extLst>
        </c:ser>
        <c:ser>
          <c:idx val="0"/>
          <c:order val="2"/>
          <c:tx>
            <c:strRef>
              <c:f>'2016 E Maize VWC Graphs'!$Z$32</c:f>
              <c:strCache>
                <c:ptCount val="1"/>
                <c:pt idx="0">
                  <c:v>161</c:v>
                </c:pt>
              </c:strCache>
            </c:strRef>
          </c:tx>
          <c:xVal>
            <c:numRef>
              <c:f>'2016 E Maize VWC Graphs'!$AL$32:$AL$43</c:f>
              <c:numCache>
                <c:formatCode>General</c:formatCode>
                <c:ptCount val="12"/>
                <c:pt idx="0">
                  <c:v>0.24830299273270395</c:v>
                </c:pt>
                <c:pt idx="1">
                  <c:v>0.33638457707012048</c:v>
                </c:pt>
                <c:pt idx="2">
                  <c:v>0.35893940497341642</c:v>
                </c:pt>
                <c:pt idx="3">
                  <c:v>0.35087920251457366</c:v>
                </c:pt>
                <c:pt idx="4">
                  <c:v>0.34066655962638076</c:v>
                </c:pt>
                <c:pt idx="5">
                  <c:v>0.34112452567517859</c:v>
                </c:pt>
                <c:pt idx="6">
                  <c:v>0.31759376601981792</c:v>
                </c:pt>
                <c:pt idx="7">
                  <c:v>0.34464942804596677</c:v>
                </c:pt>
                <c:pt idx="8">
                  <c:v>0.30618756605771486</c:v>
                </c:pt>
                <c:pt idx="9">
                  <c:v>0.2917643678121204</c:v>
                </c:pt>
                <c:pt idx="10">
                  <c:v>0.26688873035210725</c:v>
                </c:pt>
                <c:pt idx="11">
                  <c:v>0.27300058493930918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31D9-447A-A4A8-FD1FAB68E822}"/>
            </c:ext>
          </c:extLst>
        </c:ser>
        <c:ser>
          <c:idx val="1"/>
          <c:order val="3"/>
          <c:tx>
            <c:strRef>
              <c:f>'2016 E Maize VWC Graphs'!$Z$45</c:f>
              <c:strCache>
                <c:ptCount val="1"/>
                <c:pt idx="0">
                  <c:v>167</c:v>
                </c:pt>
              </c:strCache>
            </c:strRef>
          </c:tx>
          <c:marker>
            <c:symbol val="square"/>
            <c:size val="5"/>
          </c:marker>
          <c:xVal>
            <c:numRef>
              <c:f>'2016 E Maize VWC Graphs'!$AL$45:$AL$56</c:f>
              <c:numCache>
                <c:formatCode>General</c:formatCode>
                <c:ptCount val="12"/>
                <c:pt idx="0">
                  <c:v>0.25587965161563581</c:v>
                </c:pt>
                <c:pt idx="1">
                  <c:v>0.33473589929444808</c:v>
                </c:pt>
                <c:pt idx="2">
                  <c:v>0.35857303213437813</c:v>
                </c:pt>
                <c:pt idx="3">
                  <c:v>0.34822299943154589</c:v>
                </c:pt>
                <c:pt idx="4">
                  <c:v>0.34004830546050357</c:v>
                </c:pt>
                <c:pt idx="5">
                  <c:v>0.33702572953843757</c:v>
                </c:pt>
                <c:pt idx="6">
                  <c:v>0.32078594484880235</c:v>
                </c:pt>
                <c:pt idx="7">
                  <c:v>0.34877590311758089</c:v>
                </c:pt>
                <c:pt idx="8">
                  <c:v>0.31683465032268138</c:v>
                </c:pt>
                <c:pt idx="9">
                  <c:v>0.30065964662215638</c:v>
                </c:pt>
                <c:pt idx="10">
                  <c:v>0.27043127027207781</c:v>
                </c:pt>
                <c:pt idx="11">
                  <c:v>0.27632901530367715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31D9-447A-A4A8-FD1FAB68E822}"/>
            </c:ext>
          </c:extLst>
        </c:ser>
        <c:ser>
          <c:idx val="2"/>
          <c:order val="4"/>
          <c:tx>
            <c:strRef>
              <c:f>'2016 E Maize VWC Graphs'!$Z$58</c:f>
              <c:strCache>
                <c:ptCount val="1"/>
                <c:pt idx="0">
                  <c:v>173</c:v>
                </c:pt>
              </c:strCache>
            </c:strRef>
          </c:tx>
          <c:marker>
            <c:spPr>
              <a:solidFill>
                <a:srgbClr val="00B050"/>
              </a:solidFill>
            </c:spPr>
          </c:marker>
          <c:xVal>
            <c:numRef>
              <c:f>'2016 E Maize VWC Graphs'!$AL$58:$AL$69</c:f>
              <c:numCache>
                <c:formatCode>General</c:formatCode>
                <c:ptCount val="12"/>
                <c:pt idx="0">
                  <c:v>0.19273443378623895</c:v>
                </c:pt>
                <c:pt idx="1">
                  <c:v>0.31561581675713635</c:v>
                </c:pt>
                <c:pt idx="2">
                  <c:v>0.36189328598816278</c:v>
                </c:pt>
                <c:pt idx="3">
                  <c:v>0.35424525297323811</c:v>
                </c:pt>
                <c:pt idx="4">
                  <c:v>0.3461392539095155</c:v>
                </c:pt>
                <c:pt idx="5">
                  <c:v>0.33997961055318393</c:v>
                </c:pt>
                <c:pt idx="6">
                  <c:v>0.32140880901055546</c:v>
                </c:pt>
                <c:pt idx="7">
                  <c:v>0.35788529148321951</c:v>
                </c:pt>
                <c:pt idx="8">
                  <c:v>0.31917039092925537</c:v>
                </c:pt>
                <c:pt idx="9">
                  <c:v>0.30229466504675817</c:v>
                </c:pt>
                <c:pt idx="10">
                  <c:v>0.27909297502145636</c:v>
                </c:pt>
                <c:pt idx="11">
                  <c:v>0.27562829312170495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31D9-447A-A4A8-FD1FAB68E822}"/>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Graphs'!$AL$71:$AL$82</c:f>
              <c:numCache>
                <c:formatCode>General</c:formatCode>
                <c:ptCount val="12"/>
                <c:pt idx="0">
                  <c:v>0.17750439036080118</c:v>
                </c:pt>
                <c:pt idx="1">
                  <c:v>0.28472600676571885</c:v>
                </c:pt>
                <c:pt idx="2">
                  <c:v>0.34728416903151021</c:v>
                </c:pt>
                <c:pt idx="3">
                  <c:v>0.3493450162511007</c:v>
                </c:pt>
                <c:pt idx="4">
                  <c:v>0.34389522027040587</c:v>
                </c:pt>
                <c:pt idx="5">
                  <c:v>0.34043757660198182</c:v>
                </c:pt>
                <c:pt idx="6">
                  <c:v>0.31860592028266665</c:v>
                </c:pt>
                <c:pt idx="7">
                  <c:v>0.34790000039011565</c:v>
                </c:pt>
                <c:pt idx="8">
                  <c:v>0.31235781416008118</c:v>
                </c:pt>
                <c:pt idx="9">
                  <c:v>0.2967667456111997</c:v>
                </c:pt>
                <c:pt idx="10">
                  <c:v>0.27117092146415955</c:v>
                </c:pt>
                <c:pt idx="11">
                  <c:v>0.27716598902103284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31D9-447A-A4A8-FD1FAB68E822}"/>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Graphs'!$AL$84:$AL$95</c:f>
              <c:numCache>
                <c:formatCode>General</c:formatCode>
                <c:ptCount val="12"/>
                <c:pt idx="0">
                  <c:v>0.16474874945662471</c:v>
                </c:pt>
                <c:pt idx="1">
                  <c:v>0.27735275338007293</c:v>
                </c:pt>
                <c:pt idx="2">
                  <c:v>0.32878234066007561</c:v>
                </c:pt>
                <c:pt idx="3">
                  <c:v>0.33801035654335299</c:v>
                </c:pt>
                <c:pt idx="4">
                  <c:v>0.33947584789950624</c:v>
                </c:pt>
                <c:pt idx="5">
                  <c:v>0.33418634003589065</c:v>
                </c:pt>
                <c:pt idx="6">
                  <c:v>0.32082487385891195</c:v>
                </c:pt>
                <c:pt idx="7">
                  <c:v>0.34852286455186871</c:v>
                </c:pt>
                <c:pt idx="8">
                  <c:v>0.31405122609984731</c:v>
                </c:pt>
                <c:pt idx="9">
                  <c:v>0.2960465589241727</c:v>
                </c:pt>
                <c:pt idx="10">
                  <c:v>0.27255290132304916</c:v>
                </c:pt>
                <c:pt idx="11">
                  <c:v>0.27181325013096741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31D9-447A-A4A8-FD1FAB68E822}"/>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Graphs'!$AL$97:$AL$108</c:f>
              <c:numCache>
                <c:formatCode>General</c:formatCode>
                <c:ptCount val="12"/>
                <c:pt idx="0">
                  <c:v>0.19453748678622779</c:v>
                </c:pt>
                <c:pt idx="1">
                  <c:v>0.30325073343959341</c:v>
                </c:pt>
                <c:pt idx="2">
                  <c:v>0.33899498354826846</c:v>
                </c:pt>
                <c:pt idx="3">
                  <c:v>0.34082684774346</c:v>
                </c:pt>
                <c:pt idx="4">
                  <c:v>0.3375523904945551</c:v>
                </c:pt>
                <c:pt idx="5">
                  <c:v>0.33872020391898972</c:v>
                </c:pt>
                <c:pt idx="6">
                  <c:v>0.32084433836396675</c:v>
                </c:pt>
                <c:pt idx="7">
                  <c:v>0.34735499424858168</c:v>
                </c:pt>
                <c:pt idx="8">
                  <c:v>0.31113155034162981</c:v>
                </c:pt>
                <c:pt idx="9">
                  <c:v>0.29367188930748916</c:v>
                </c:pt>
                <c:pt idx="10">
                  <c:v>0.273467733060624</c:v>
                </c:pt>
                <c:pt idx="11">
                  <c:v>0.26735587847342202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31D9-447A-A4A8-FD1FAB68E822}"/>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Graphs'!$AL$110:$AL$121</c:f>
              <c:numCache>
                <c:formatCode>General</c:formatCode>
                <c:ptCount val="12"/>
                <c:pt idx="0">
                  <c:v>0.17341874898848603</c:v>
                </c:pt>
                <c:pt idx="1">
                  <c:v>0.29129781956596856</c:v>
                </c:pt>
                <c:pt idx="2">
                  <c:v>0.33331620454317468</c:v>
                </c:pt>
                <c:pt idx="3">
                  <c:v>0.33567472969448381</c:v>
                </c:pt>
                <c:pt idx="4">
                  <c:v>0.33556023818228431</c:v>
                </c:pt>
                <c:pt idx="5">
                  <c:v>0.33485039080664758</c:v>
                </c:pt>
                <c:pt idx="6">
                  <c:v>0.31650375373675005</c:v>
                </c:pt>
                <c:pt idx="7">
                  <c:v>0.34299494511631023</c:v>
                </c:pt>
                <c:pt idx="8">
                  <c:v>0.30947706741197328</c:v>
                </c:pt>
                <c:pt idx="9">
                  <c:v>0.29264027053958563</c:v>
                </c:pt>
                <c:pt idx="10">
                  <c:v>0.26747266550375076</c:v>
                </c:pt>
                <c:pt idx="11">
                  <c:v>0.26867946481714727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31D9-447A-A4A8-FD1FAB68E822}"/>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Graphs'!$AL$123:$AL$134</c:f>
              <c:numCache>
                <c:formatCode>General</c:formatCode>
                <c:ptCount val="12"/>
                <c:pt idx="0">
                  <c:v>0.22825841416899806</c:v>
                </c:pt>
                <c:pt idx="1">
                  <c:v>0.32266849390862379</c:v>
                </c:pt>
                <c:pt idx="2">
                  <c:v>0.35071891439749436</c:v>
                </c:pt>
                <c:pt idx="3">
                  <c:v>0.34838328754862513</c:v>
                </c:pt>
                <c:pt idx="4">
                  <c:v>0.33292693340169649</c:v>
                </c:pt>
                <c:pt idx="5">
                  <c:v>0.33411764512857095</c:v>
                </c:pt>
                <c:pt idx="6">
                  <c:v>0.31981271959606322</c:v>
                </c:pt>
                <c:pt idx="7">
                  <c:v>0.34169082327763972</c:v>
                </c:pt>
                <c:pt idx="8">
                  <c:v>0.30610970803749571</c:v>
                </c:pt>
                <c:pt idx="9">
                  <c:v>0.29143347122618907</c:v>
                </c:pt>
                <c:pt idx="10">
                  <c:v>0.26486442182640973</c:v>
                </c:pt>
                <c:pt idx="11">
                  <c:v>0.26936072249406473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31D9-447A-A4A8-FD1FAB68E822}"/>
            </c:ext>
          </c:extLst>
        </c:ser>
        <c:ser>
          <c:idx val="10"/>
          <c:order val="10"/>
          <c:tx>
            <c:strRef>
              <c:f>'2016 E Maize VWC Graphs'!$Z$136</c:f>
              <c:strCache>
                <c:ptCount val="1"/>
                <c:pt idx="0">
                  <c:v>224</c:v>
                </c:pt>
              </c:strCache>
            </c:strRef>
          </c:tx>
          <c:xVal>
            <c:numRef>
              <c:f>'2016 E Maize VWC Graphs'!$AL$136:$AL$147</c:f>
              <c:numCache>
                <c:formatCode>General</c:formatCode>
                <c:ptCount val="12"/>
                <c:pt idx="0">
                  <c:v>0.29583453883879313</c:v>
                </c:pt>
                <c:pt idx="1">
                  <c:v>0.31987490101095667</c:v>
                </c:pt>
                <c:pt idx="2">
                  <c:v>0.3531232361536833</c:v>
                </c:pt>
                <c:pt idx="3">
                  <c:v>0.3408497460458999</c:v>
                </c:pt>
                <c:pt idx="4">
                  <c:v>0.33542284836764491</c:v>
                </c:pt>
                <c:pt idx="5">
                  <c:v>0.34197176286545472</c:v>
                </c:pt>
                <c:pt idx="6">
                  <c:v>0.31611446363565437</c:v>
                </c:pt>
                <c:pt idx="7">
                  <c:v>0.35054717307756617</c:v>
                </c:pt>
                <c:pt idx="8">
                  <c:v>0.30850384215923404</c:v>
                </c:pt>
                <c:pt idx="9">
                  <c:v>0.29805140294481541</c:v>
                </c:pt>
                <c:pt idx="10">
                  <c:v>0.27449935182852753</c:v>
                </c:pt>
                <c:pt idx="11">
                  <c:v>0.2529716092379371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31D9-447A-A4A8-FD1FAB68E822}"/>
            </c:ext>
          </c:extLst>
        </c:ser>
        <c:ser>
          <c:idx val="11"/>
          <c:order val="11"/>
          <c:tx>
            <c:strRef>
              <c:f>'2016 E Maize VWC Graphs'!$Z$149</c:f>
              <c:strCache>
                <c:ptCount val="1"/>
                <c:pt idx="0">
                  <c:v>236</c:v>
                </c:pt>
              </c:strCache>
            </c:strRef>
          </c:tx>
          <c:xVal>
            <c:numRef>
              <c:f>'2016 E Maize VWC Graphs'!$AL$149:$AL$160</c:f>
              <c:numCache>
                <c:formatCode>General</c:formatCode>
                <c:ptCount val="12"/>
                <c:pt idx="0">
                  <c:v>0.28288708378568167</c:v>
                </c:pt>
                <c:pt idx="1">
                  <c:v>0.33993381394830413</c:v>
                </c:pt>
                <c:pt idx="2">
                  <c:v>0.35376438862200027</c:v>
                </c:pt>
                <c:pt idx="3">
                  <c:v>0.33425503494321035</c:v>
                </c:pt>
                <c:pt idx="4">
                  <c:v>0.32713366288440321</c:v>
                </c:pt>
                <c:pt idx="5">
                  <c:v>0.32518730717701216</c:v>
                </c:pt>
                <c:pt idx="6">
                  <c:v>0.31171548549327333</c:v>
                </c:pt>
                <c:pt idx="7">
                  <c:v>0.33143302911376893</c:v>
                </c:pt>
                <c:pt idx="8">
                  <c:v>0.29694192615669274</c:v>
                </c:pt>
                <c:pt idx="9">
                  <c:v>0.2850685780732749</c:v>
                </c:pt>
                <c:pt idx="10">
                  <c:v>0.25694236826911293</c:v>
                </c:pt>
                <c:pt idx="11">
                  <c:v>0.26254814572489055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31D9-447A-A4A8-FD1FAB68E822}"/>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Graphs'!$AL$162:$AL$173</c:f>
              <c:numCache>
                <c:formatCode>General</c:formatCode>
                <c:ptCount val="12"/>
                <c:pt idx="0">
                  <c:v>0.30745847626425316</c:v>
                </c:pt>
                <c:pt idx="1">
                  <c:v>0.33507937383104652</c:v>
                </c:pt>
                <c:pt idx="2">
                  <c:v>0.35275686331464495</c:v>
                </c:pt>
                <c:pt idx="3">
                  <c:v>0.33521676364568587</c:v>
                </c:pt>
                <c:pt idx="4">
                  <c:v>0.32172966350858812</c:v>
                </c:pt>
                <c:pt idx="5">
                  <c:v>0.32317225656230147</c:v>
                </c:pt>
                <c:pt idx="6">
                  <c:v>0.30663524967397487</c:v>
                </c:pt>
                <c:pt idx="7">
                  <c:v>0.32337472402108858</c:v>
                </c:pt>
                <c:pt idx="8">
                  <c:v>0.29717550021735017</c:v>
                </c:pt>
                <c:pt idx="9">
                  <c:v>0.27956012314277118</c:v>
                </c:pt>
                <c:pt idx="10">
                  <c:v>0.25351661537947107</c:v>
                </c:pt>
                <c:pt idx="11">
                  <c:v>0.25861631570382432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31D9-447A-A4A8-FD1FAB68E822}"/>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Graphs'!$AL$175:$AL$186</c:f>
              <c:numCache>
                <c:formatCode>General</c:formatCode>
                <c:ptCount val="12"/>
                <c:pt idx="0">
                  <c:v>0.26251642116878632</c:v>
                </c:pt>
                <c:pt idx="1">
                  <c:v>0.32319515486474137</c:v>
                </c:pt>
                <c:pt idx="2">
                  <c:v>0.34387232196796591</c:v>
                </c:pt>
                <c:pt idx="3">
                  <c:v>0.32841596782103727</c:v>
                </c:pt>
                <c:pt idx="4">
                  <c:v>0.31245585102043094</c:v>
                </c:pt>
                <c:pt idx="5">
                  <c:v>0.32342413788914032</c:v>
                </c:pt>
                <c:pt idx="6">
                  <c:v>0.30060125310699204</c:v>
                </c:pt>
                <c:pt idx="7">
                  <c:v>0.32643065131468957</c:v>
                </c:pt>
                <c:pt idx="8">
                  <c:v>0.29398332138836569</c:v>
                </c:pt>
                <c:pt idx="9">
                  <c:v>0.27835332382937461</c:v>
                </c:pt>
                <c:pt idx="10">
                  <c:v>0.24868941812588474</c:v>
                </c:pt>
                <c:pt idx="11">
                  <c:v>0.25240713859134839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31D9-447A-A4A8-FD1FAB68E822}"/>
            </c:ext>
          </c:extLst>
        </c:ser>
        <c:ser>
          <c:idx val="14"/>
          <c:order val="14"/>
          <c:tx>
            <c:strRef>
              <c:f>'2016 E Maize VWC Graphs'!$Z$188</c:f>
              <c:strCache>
                <c:ptCount val="1"/>
                <c:pt idx="0">
                  <c:v>270</c:v>
                </c:pt>
              </c:strCache>
            </c:strRef>
          </c:tx>
          <c:xVal>
            <c:numRef>
              <c:f>'2016 E Maize VWC Graphs'!$AL$188:$AL$199</c:f>
              <c:numCache>
                <c:formatCode>General</c:formatCode>
                <c:ptCount val="12"/>
                <c:pt idx="0">
                  <c:v>0.24291301514763092</c:v>
                </c:pt>
                <c:pt idx="1">
                  <c:v>0.31444800333270173</c:v>
                </c:pt>
                <c:pt idx="2">
                  <c:v>0.33670515330427903</c:v>
                </c:pt>
                <c:pt idx="3">
                  <c:v>0.32269139221106369</c:v>
                </c:pt>
                <c:pt idx="4">
                  <c:v>0.30634200426897912</c:v>
                </c:pt>
                <c:pt idx="5">
                  <c:v>0.31859259607432261</c:v>
                </c:pt>
                <c:pt idx="6">
                  <c:v>0.29918034423799283</c:v>
                </c:pt>
                <c:pt idx="7">
                  <c:v>0.31989057761628237</c:v>
                </c:pt>
                <c:pt idx="8">
                  <c:v>0.2960854879342823</c:v>
                </c:pt>
                <c:pt idx="9">
                  <c:v>0.28148710914319475</c:v>
                </c:pt>
                <c:pt idx="10">
                  <c:v>0.25197891948014317</c:v>
                </c:pt>
                <c:pt idx="11">
                  <c:v>0.25230981606607444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31D9-447A-A4A8-FD1FAB68E822}"/>
            </c:ext>
          </c:extLst>
        </c:ser>
        <c:ser>
          <c:idx val="16"/>
          <c:order val="15"/>
          <c:tx>
            <c:strRef>
              <c:f>'2016 E Maize VWC Graphs'!$Z$201</c:f>
              <c:strCache>
                <c:ptCount val="1"/>
                <c:pt idx="0">
                  <c:v>286</c:v>
                </c:pt>
              </c:strCache>
            </c:strRef>
          </c:tx>
          <c:xVal>
            <c:numRef>
              <c:f>'2016 E Maize VWC Graphs'!$AL$201:$AL$212</c:f>
              <c:numCache>
                <c:formatCode>General</c:formatCode>
                <c:ptCount val="12"/>
                <c:pt idx="0">
                  <c:v>0.19710779638195663</c:v>
                </c:pt>
                <c:pt idx="1">
                  <c:v>0.30709764824949565</c:v>
                </c:pt>
                <c:pt idx="2">
                  <c:v>0.32981276426987083</c:v>
                </c:pt>
                <c:pt idx="3">
                  <c:v>0.3153410371278576</c:v>
                </c:pt>
                <c:pt idx="4">
                  <c:v>0.30588403822018129</c:v>
                </c:pt>
                <c:pt idx="5">
                  <c:v>0.31147122401551547</c:v>
                </c:pt>
                <c:pt idx="6">
                  <c:v>0.29805140294481541</c:v>
                </c:pt>
                <c:pt idx="7">
                  <c:v>0.32530171002151209</c:v>
                </c:pt>
                <c:pt idx="8">
                  <c:v>0.29328259920639344</c:v>
                </c:pt>
                <c:pt idx="9">
                  <c:v>0.27592026069752673</c:v>
                </c:pt>
                <c:pt idx="10">
                  <c:v>0.24674296762040643</c:v>
                </c:pt>
                <c:pt idx="11">
                  <c:v>0.25081104917685615</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31D9-447A-A4A8-FD1FAB68E822}"/>
            </c:ext>
          </c:extLst>
        </c:ser>
        <c:ser>
          <c:idx val="17"/>
          <c:order val="16"/>
          <c:tx>
            <c:strRef>
              <c:f>'2016 E Maize VWC Graphs'!$Z$214</c:f>
              <c:strCache>
                <c:ptCount val="1"/>
                <c:pt idx="0">
                  <c:v>302</c:v>
                </c:pt>
              </c:strCache>
            </c:strRef>
          </c:tx>
          <c:xVal>
            <c:numRef>
              <c:f>'2016 E Maize VWC Graphs'!$AL$214:$AL$225</c:f>
              <c:numCache>
                <c:formatCode>General</c:formatCode>
                <c:ptCount val="12"/>
                <c:pt idx="0">
                  <c:v>0.20299649075426063</c:v>
                </c:pt>
                <c:pt idx="1">
                  <c:v>0.29404561585875588</c:v>
                </c:pt>
                <c:pt idx="2">
                  <c:v>0.33011044220158947</c:v>
                </c:pt>
                <c:pt idx="3">
                  <c:v>0.31563871505957625</c:v>
                </c:pt>
                <c:pt idx="4">
                  <c:v>0.30451014007378757</c:v>
                </c:pt>
                <c:pt idx="5">
                  <c:v>0.31605088450349433</c:v>
                </c:pt>
                <c:pt idx="6">
                  <c:v>0.29873266062173282</c:v>
                </c:pt>
                <c:pt idx="7">
                  <c:v>0.32080540935385715</c:v>
                </c:pt>
                <c:pt idx="8">
                  <c:v>0.29413903742880393</c:v>
                </c:pt>
                <c:pt idx="9">
                  <c:v>0.27514168049533538</c:v>
                </c:pt>
                <c:pt idx="10">
                  <c:v>0.24316149869032627</c:v>
                </c:pt>
                <c:pt idx="11">
                  <c:v>0.2493512112977474</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31D9-447A-A4A8-FD1FAB68E822}"/>
            </c:ext>
          </c:extLst>
        </c:ser>
        <c:ser>
          <c:idx val="18"/>
          <c:order val="17"/>
          <c:tx>
            <c:strRef>
              <c:f>'2016 E Maize VWC Graphs'!$Z$227</c:f>
              <c:strCache>
                <c:ptCount val="1"/>
                <c:pt idx="0">
                  <c:v>0</c:v>
                </c:pt>
              </c:strCache>
            </c:strRef>
          </c:tx>
          <c:xVal>
            <c:numRef>
              <c:f>'2016 E Maize VWC Graphs'!$AL$227:$AL$238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31D9-447A-A4A8-FD1FAB68E822}"/>
            </c:ext>
          </c:extLst>
        </c:ser>
        <c:ser>
          <c:idx val="19"/>
          <c:order val="18"/>
          <c:tx>
            <c:strRef>
              <c:f>'2016 E Maize VWC Graphs'!$Z$240</c:f>
              <c:strCache>
                <c:ptCount val="1"/>
                <c:pt idx="0">
                  <c:v>0</c:v>
                </c:pt>
              </c:strCache>
            </c:strRef>
          </c:tx>
          <c:xVal>
            <c:numRef>
              <c:f>'2016 E Maize VWC Graphs'!$AL$240:$AL$251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31D9-447A-A4A8-FD1FAB68E822}"/>
            </c:ext>
          </c:extLst>
        </c:ser>
        <c:ser>
          <c:idx val="20"/>
          <c:order val="19"/>
          <c:tx>
            <c:strRef>
              <c:f>'2016 E Maize VWC Graphs'!$Z$253</c:f>
              <c:strCache>
                <c:ptCount val="1"/>
                <c:pt idx="0">
                  <c:v>0</c:v>
                </c:pt>
              </c:strCache>
            </c:strRef>
          </c:tx>
          <c:xVal>
            <c:numRef>
              <c:f>'2016 E Maize VWC Graphs'!$AL$253:$AL$264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31D9-447A-A4A8-FD1FAB68E822}"/>
            </c:ext>
          </c:extLst>
        </c:ser>
        <c:ser>
          <c:idx val="21"/>
          <c:order val="20"/>
          <c:tx>
            <c:strRef>
              <c:f>'2016 E Maize VWC Graphs'!$Z$266</c:f>
              <c:strCache>
                <c:ptCount val="1"/>
                <c:pt idx="0">
                  <c:v>0</c:v>
                </c:pt>
              </c:strCache>
            </c:strRef>
          </c:tx>
          <c:xVal>
            <c:numRef>
              <c:f>'2016 E Maize VWC Graphs'!$AL$266:$AL$277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31D9-447A-A4A8-FD1FAB68E822}"/>
            </c:ext>
          </c:extLst>
        </c:ser>
        <c:ser>
          <c:idx val="15"/>
          <c:order val="21"/>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5-31D9-447A-A4A8-FD1FAB68E822}"/>
            </c:ext>
          </c:extLst>
        </c:ser>
        <c:ser>
          <c:idx val="22"/>
          <c:order val="22"/>
          <c:tx>
            <c:strRef>
              <c:f>'2016 E Maize VWC Graphs'!$Z$279</c:f>
              <c:strCache>
                <c:ptCount val="1"/>
                <c:pt idx="0">
                  <c:v>0</c:v>
                </c:pt>
              </c:strCache>
            </c:strRef>
          </c:tx>
          <c:xVal>
            <c:numRef>
              <c:f>'2016 E Maize VWC Graphs'!$AL$279:$AL$290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31D9-447A-A4A8-FD1FAB68E822}"/>
            </c:ext>
          </c:extLst>
        </c:ser>
        <c:ser>
          <c:idx val="23"/>
          <c:order val="23"/>
          <c:tx>
            <c:strRef>
              <c:f>'2016 E Maize VWC Graphs'!$Z$292</c:f>
              <c:strCache>
                <c:ptCount val="1"/>
                <c:pt idx="0">
                  <c:v>0</c:v>
                </c:pt>
              </c:strCache>
            </c:strRef>
          </c:tx>
          <c:xVal>
            <c:numRef>
              <c:f>'2016 E Maize VWC Graphs'!$AL$292:$AL$303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7-31D9-447A-A4A8-FD1FAB68E822}"/>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3048006553176534"/>
          <c:y val="0.13623410710024883"/>
          <c:w val="0.11900647948164149"/>
          <c:h val="0.7403892695231277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Graphs'!$AM$6:$AM$17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67F-4E11-AFB4-3E47F955452F}"/>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Graphs'!$AM$19:$AM$30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67F-4E11-AFB4-3E47F955452F}"/>
            </c:ext>
          </c:extLst>
        </c:ser>
        <c:ser>
          <c:idx val="0"/>
          <c:order val="2"/>
          <c:tx>
            <c:strRef>
              <c:f>'2016 E Maize VWC Graphs'!$Z$32</c:f>
              <c:strCache>
                <c:ptCount val="1"/>
                <c:pt idx="0">
                  <c:v>161</c:v>
                </c:pt>
              </c:strCache>
            </c:strRef>
          </c:tx>
          <c:xVal>
            <c:numRef>
              <c:f>'2016 E Maize VWC Graphs'!$AM$32:$AM$43</c:f>
              <c:numCache>
                <c:formatCode>General</c:formatCode>
                <c:ptCount val="12"/>
                <c:pt idx="0">
                  <c:v>0.21264474244569037</c:v>
                </c:pt>
                <c:pt idx="1">
                  <c:v>0.30570085180066209</c:v>
                </c:pt>
                <c:pt idx="2">
                  <c:v>0.35397047334395937</c:v>
                </c:pt>
                <c:pt idx="3">
                  <c:v>0.34192596626057498</c:v>
                </c:pt>
                <c:pt idx="4">
                  <c:v>0.33565183139204385</c:v>
                </c:pt>
                <c:pt idx="5">
                  <c:v>0.32820988309907823</c:v>
                </c:pt>
                <c:pt idx="6">
                  <c:v>0.30618756605771486</c:v>
                </c:pt>
                <c:pt idx="7">
                  <c:v>0.33701934206449174</c:v>
                </c:pt>
                <c:pt idx="8">
                  <c:v>0.3172823339389414</c:v>
                </c:pt>
                <c:pt idx="9">
                  <c:v>0.30149662033951202</c:v>
                </c:pt>
                <c:pt idx="10">
                  <c:v>0.30034821454127986</c:v>
                </c:pt>
                <c:pt idx="11">
                  <c:v>0.28454303643679574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67F-4E11-AFB4-3E47F955452F}"/>
            </c:ext>
          </c:extLst>
        </c:ser>
        <c:ser>
          <c:idx val="1"/>
          <c:order val="3"/>
          <c:tx>
            <c:strRef>
              <c:f>'2016 E Maize VWC Graphs'!$Z$45</c:f>
              <c:strCache>
                <c:ptCount val="1"/>
                <c:pt idx="0">
                  <c:v>167</c:v>
                </c:pt>
              </c:strCache>
            </c:strRef>
          </c:tx>
          <c:marker>
            <c:symbol val="square"/>
            <c:size val="5"/>
          </c:marker>
          <c:xVal>
            <c:numRef>
              <c:f>'2016 E Maize VWC Graphs'!$AM$45:$AM$56</c:f>
              <c:numCache>
                <c:formatCode>General</c:formatCode>
                <c:ptCount val="12"/>
                <c:pt idx="0">
                  <c:v>0.22854613539240054</c:v>
                </c:pt>
                <c:pt idx="1">
                  <c:v>0.31330308821070701</c:v>
                </c:pt>
                <c:pt idx="2">
                  <c:v>0.35106238893409281</c:v>
                </c:pt>
                <c:pt idx="3">
                  <c:v>0.34593316918755646</c:v>
                </c:pt>
                <c:pt idx="4">
                  <c:v>0.33707152614331731</c:v>
                </c:pt>
                <c:pt idx="5">
                  <c:v>0.3322857809333794</c:v>
                </c:pt>
                <c:pt idx="6">
                  <c:v>0.30603185001727656</c:v>
                </c:pt>
                <c:pt idx="7">
                  <c:v>0.34371513180333718</c:v>
                </c:pt>
                <c:pt idx="8">
                  <c:v>0.32209006668747286</c:v>
                </c:pt>
                <c:pt idx="9">
                  <c:v>0.30825080359352192</c:v>
                </c:pt>
                <c:pt idx="10">
                  <c:v>0.3055257728858522</c:v>
                </c:pt>
                <c:pt idx="11">
                  <c:v>0.29439207599451617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67F-4E11-AFB4-3E47F955452F}"/>
            </c:ext>
          </c:extLst>
        </c:ser>
        <c:ser>
          <c:idx val="2"/>
          <c:order val="4"/>
          <c:tx>
            <c:strRef>
              <c:f>'2016 E Maize VWC Graphs'!$Z$58</c:f>
              <c:strCache>
                <c:ptCount val="1"/>
                <c:pt idx="0">
                  <c:v>173</c:v>
                </c:pt>
              </c:strCache>
            </c:strRef>
          </c:tx>
          <c:marker>
            <c:spPr>
              <a:solidFill>
                <a:srgbClr val="00B050"/>
              </a:solidFill>
            </c:spPr>
          </c:marker>
          <c:xVal>
            <c:numRef>
              <c:f>'2016 E Maize VWC Graphs'!$AM$58:$AM$69</c:f>
              <c:numCache>
                <c:formatCode>General</c:formatCode>
                <c:ptCount val="12"/>
                <c:pt idx="0">
                  <c:v>0.15500459069072753</c:v>
                </c:pt>
                <c:pt idx="1">
                  <c:v>0.25571385757437276</c:v>
                </c:pt>
                <c:pt idx="2">
                  <c:v>0.35321482936344284</c:v>
                </c:pt>
                <c:pt idx="3">
                  <c:v>0.34568128786071761</c:v>
                </c:pt>
                <c:pt idx="4">
                  <c:v>0.33986511904098443</c:v>
                </c:pt>
                <c:pt idx="5">
                  <c:v>0.33324750963585498</c:v>
                </c:pt>
                <c:pt idx="6">
                  <c:v>0.31226049163480729</c:v>
                </c:pt>
                <c:pt idx="7">
                  <c:v>0.33970544376205181</c:v>
                </c:pt>
                <c:pt idx="8">
                  <c:v>0.32477616838503298</c:v>
                </c:pt>
                <c:pt idx="9">
                  <c:v>0.31292228480666989</c:v>
                </c:pt>
                <c:pt idx="10">
                  <c:v>0.306985610764961</c:v>
                </c:pt>
                <c:pt idx="11">
                  <c:v>0.29672781660109016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67F-4E11-AFB4-3E47F955452F}"/>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Graphs'!$AM$71:$AM$82</c:f>
              <c:numCache>
                <c:formatCode>General</c:formatCode>
                <c:ptCount val="12"/>
                <c:pt idx="0">
                  <c:v>0.14997905998863093</c:v>
                </c:pt>
                <c:pt idx="1">
                  <c:v>0.22493853909515477</c:v>
                </c:pt>
                <c:pt idx="2">
                  <c:v>0.32312645995742167</c:v>
                </c:pt>
                <c:pt idx="3">
                  <c:v>0.34032308508978232</c:v>
                </c:pt>
                <c:pt idx="4">
                  <c:v>0.3359266110213226</c:v>
                </c:pt>
                <c:pt idx="5">
                  <c:v>0.327385544211242</c:v>
                </c:pt>
                <c:pt idx="6">
                  <c:v>0.3091656353310967</c:v>
                </c:pt>
                <c:pt idx="7">
                  <c:v>0.34180761030796841</c:v>
                </c:pt>
                <c:pt idx="8">
                  <c:v>0.32458152333448514</c:v>
                </c:pt>
                <c:pt idx="9">
                  <c:v>0.31080065375569849</c:v>
                </c:pt>
                <c:pt idx="10">
                  <c:v>0.30682989472452271</c:v>
                </c:pt>
                <c:pt idx="11">
                  <c:v>0.29661102957076146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67F-4E11-AFB4-3E47F955452F}"/>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Graphs'!$AM$84:$AM$95</c:f>
              <c:numCache>
                <c:formatCode>General</c:formatCode>
                <c:ptCount val="12"/>
                <c:pt idx="0">
                  <c:v>0.14320802053122594</c:v>
                </c:pt>
                <c:pt idx="1">
                  <c:v>0.23288425004179814</c:v>
                </c:pt>
                <c:pt idx="2">
                  <c:v>0.30125858112732257</c:v>
                </c:pt>
                <c:pt idx="3">
                  <c:v>0.3190047655182407</c:v>
                </c:pt>
                <c:pt idx="4">
                  <c:v>0.33446111966516939</c:v>
                </c:pt>
                <c:pt idx="5">
                  <c:v>0.32830147630883777</c:v>
                </c:pt>
                <c:pt idx="6">
                  <c:v>0.30974957048274021</c:v>
                </c:pt>
                <c:pt idx="7">
                  <c:v>0.33779792226668309</c:v>
                </c:pt>
                <c:pt idx="8">
                  <c:v>0.32475670387997818</c:v>
                </c:pt>
                <c:pt idx="9">
                  <c:v>0.31231888514997164</c:v>
                </c:pt>
                <c:pt idx="10">
                  <c:v>0.30906831280582281</c:v>
                </c:pt>
                <c:pt idx="11">
                  <c:v>0.29725335823756927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67F-4E11-AFB4-3E47F955452F}"/>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Graphs'!$AM$97:$AM$108</c:f>
              <c:numCache>
                <c:formatCode>General</c:formatCode>
                <c:ptCount val="12"/>
                <c:pt idx="0">
                  <c:v>0.13281169365894982</c:v>
                </c:pt>
                <c:pt idx="1">
                  <c:v>0.23913548660788925</c:v>
                </c:pt>
                <c:pt idx="2">
                  <c:v>0.31408163049366344</c:v>
                </c:pt>
                <c:pt idx="3">
                  <c:v>0.31426481691318259</c:v>
                </c:pt>
                <c:pt idx="4">
                  <c:v>0.32154647708906897</c:v>
                </c:pt>
                <c:pt idx="5">
                  <c:v>0.32539339189897121</c:v>
                </c:pt>
                <c:pt idx="6">
                  <c:v>0.31029457662427418</c:v>
                </c:pt>
                <c:pt idx="7">
                  <c:v>0.33812881885261437</c:v>
                </c:pt>
                <c:pt idx="8">
                  <c:v>0.32308275644526679</c:v>
                </c:pt>
                <c:pt idx="9">
                  <c:v>0.31093690529108198</c:v>
                </c:pt>
                <c:pt idx="10">
                  <c:v>0.3062459595728792</c:v>
                </c:pt>
                <c:pt idx="11">
                  <c:v>0.29997838894523898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67F-4E11-AFB4-3E47F955452F}"/>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Graphs'!$AM$110:$AM$121</c:f>
              <c:numCache>
                <c:formatCode>General</c:formatCode>
                <c:ptCount val="12"/>
                <c:pt idx="0">
                  <c:v>0.13941010038231327</c:v>
                </c:pt>
                <c:pt idx="1">
                  <c:v>0.21987801425593817</c:v>
                </c:pt>
                <c:pt idx="2">
                  <c:v>0.30515129254210466</c:v>
                </c:pt>
                <c:pt idx="3">
                  <c:v>0.30505969933234506</c:v>
                </c:pt>
                <c:pt idx="4">
                  <c:v>0.31099035966427768</c:v>
                </c:pt>
                <c:pt idx="5">
                  <c:v>0.31884447740116145</c:v>
                </c:pt>
                <c:pt idx="6">
                  <c:v>0.30708293329023489</c:v>
                </c:pt>
                <c:pt idx="7">
                  <c:v>0.33254250590189155</c:v>
                </c:pt>
                <c:pt idx="8">
                  <c:v>0.32279078886944507</c:v>
                </c:pt>
                <c:pt idx="9">
                  <c:v>0.3092045643412063</c:v>
                </c:pt>
                <c:pt idx="10">
                  <c:v>0.30184698143049821</c:v>
                </c:pt>
                <c:pt idx="11">
                  <c:v>0.29497601114615962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67F-4E11-AFB4-3E47F955452F}"/>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Graphs'!$AM$123:$AM$134</c:f>
              <c:numCache>
                <c:formatCode>General</c:formatCode>
                <c:ptCount val="12"/>
                <c:pt idx="0">
                  <c:v>0.16672443519065505</c:v>
                </c:pt>
                <c:pt idx="1">
                  <c:v>0.2642778226868932</c:v>
                </c:pt>
                <c:pt idx="2">
                  <c:v>0.33581211950912315</c:v>
                </c:pt>
                <c:pt idx="3">
                  <c:v>0.32823278140151813</c:v>
                </c:pt>
                <c:pt idx="4">
                  <c:v>0.31776825718648644</c:v>
                </c:pt>
                <c:pt idx="5">
                  <c:v>0.32770612044540054</c:v>
                </c:pt>
                <c:pt idx="6">
                  <c:v>0.30634328209815309</c:v>
                </c:pt>
                <c:pt idx="7">
                  <c:v>0.3369414840442726</c:v>
                </c:pt>
                <c:pt idx="8">
                  <c:v>0.3209027318791311</c:v>
                </c:pt>
                <c:pt idx="9">
                  <c:v>0.30784204898737144</c:v>
                </c:pt>
                <c:pt idx="10">
                  <c:v>0.30731650735089228</c:v>
                </c:pt>
                <c:pt idx="11">
                  <c:v>0.2880077183365472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67F-4E11-AFB4-3E47F955452F}"/>
            </c:ext>
          </c:extLst>
        </c:ser>
        <c:ser>
          <c:idx val="10"/>
          <c:order val="10"/>
          <c:tx>
            <c:strRef>
              <c:f>'2016 E Maize VWC Graphs'!$Z$136</c:f>
              <c:strCache>
                <c:ptCount val="1"/>
                <c:pt idx="0">
                  <c:v>224</c:v>
                </c:pt>
              </c:strCache>
            </c:strRef>
          </c:tx>
          <c:xVal>
            <c:numRef>
              <c:f>'2016 E Maize VWC Graphs'!$AM$136:$AM$147</c:f>
              <c:numCache>
                <c:formatCode>General</c:formatCode>
                <c:ptCount val="12"/>
                <c:pt idx="0">
                  <c:v>0.19658989817983213</c:v>
                </c:pt>
                <c:pt idx="1">
                  <c:v>0.27210904212133707</c:v>
                </c:pt>
                <c:pt idx="2">
                  <c:v>0.32626352739168718</c:v>
                </c:pt>
                <c:pt idx="3">
                  <c:v>0.33253766226021825</c:v>
                </c:pt>
                <c:pt idx="4">
                  <c:v>0.32424847677697649</c:v>
                </c:pt>
                <c:pt idx="5">
                  <c:v>0.3207450365036727</c:v>
                </c:pt>
                <c:pt idx="6">
                  <c:v>0.31344782644314906</c:v>
                </c:pt>
                <c:pt idx="7">
                  <c:v>0.34099010109566757</c:v>
                </c:pt>
                <c:pt idx="8">
                  <c:v>0.3288637144465375</c:v>
                </c:pt>
                <c:pt idx="9">
                  <c:v>0.31588088957499699</c:v>
                </c:pt>
                <c:pt idx="10">
                  <c:v>0.31455730323127168</c:v>
                </c:pt>
                <c:pt idx="11">
                  <c:v>0.29172543880201079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67F-4E11-AFB4-3E47F955452F}"/>
            </c:ext>
          </c:extLst>
        </c:ser>
        <c:ser>
          <c:idx val="11"/>
          <c:order val="11"/>
          <c:tx>
            <c:strRef>
              <c:f>'2016 E Maize VWC Graphs'!$Z$149</c:f>
              <c:strCache>
                <c:ptCount val="1"/>
                <c:pt idx="0">
                  <c:v>236</c:v>
                </c:pt>
              </c:strCache>
            </c:strRef>
          </c:tx>
          <c:xVal>
            <c:numRef>
              <c:f>'2016 E Maize VWC Graphs'!$AM$149:$AM$160</c:f>
              <c:numCache>
                <c:formatCode>General</c:formatCode>
                <c:ptCount val="12"/>
                <c:pt idx="0">
                  <c:v>0.26052155401986249</c:v>
                </c:pt>
                <c:pt idx="1">
                  <c:v>0.31245585102043094</c:v>
                </c:pt>
                <c:pt idx="2">
                  <c:v>0.33736920407503596</c:v>
                </c:pt>
                <c:pt idx="3">
                  <c:v>0.31939403665971894</c:v>
                </c:pt>
                <c:pt idx="4">
                  <c:v>0.29386242943923674</c:v>
                </c:pt>
                <c:pt idx="5">
                  <c:v>0.30178524208344015</c:v>
                </c:pt>
                <c:pt idx="6">
                  <c:v>0.2983239060155824</c:v>
                </c:pt>
                <c:pt idx="7">
                  <c:v>0.32775423765841483</c:v>
                </c:pt>
                <c:pt idx="8">
                  <c:v>0.31891735236354318</c:v>
                </c:pt>
                <c:pt idx="9">
                  <c:v>0.30414379302696259</c:v>
                </c:pt>
                <c:pt idx="10">
                  <c:v>0.29921927324810244</c:v>
                </c:pt>
                <c:pt idx="11">
                  <c:v>0.28853325997302631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67F-4E11-AFB4-3E47F955452F}"/>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Graphs'!$AM$162:$AM$173</c:f>
              <c:numCache>
                <c:formatCode>General</c:formatCode>
                <c:ptCount val="12"/>
                <c:pt idx="0">
                  <c:v>0.24362272749869029</c:v>
                </c:pt>
                <c:pt idx="1">
                  <c:v>0.31712710471816935</c:v>
                </c:pt>
                <c:pt idx="2">
                  <c:v>0.33672805160671893</c:v>
                </c:pt>
                <c:pt idx="3">
                  <c:v>0.32246240918666474</c:v>
                </c:pt>
                <c:pt idx="4">
                  <c:v>0.28909958253173873</c:v>
                </c:pt>
                <c:pt idx="5">
                  <c:v>0.28964914179029616</c:v>
                </c:pt>
                <c:pt idx="6">
                  <c:v>0.29390546336814655</c:v>
                </c:pt>
                <c:pt idx="7">
                  <c:v>0.32318007897054074</c:v>
                </c:pt>
                <c:pt idx="8">
                  <c:v>0.31317532337238208</c:v>
                </c:pt>
                <c:pt idx="9">
                  <c:v>0.30213894900631988</c:v>
                </c:pt>
                <c:pt idx="10">
                  <c:v>0.29655263605559712</c:v>
                </c:pt>
                <c:pt idx="11">
                  <c:v>0.28859165348819066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67F-4E11-AFB4-3E47F955452F}"/>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Graphs'!$AM$175:$AM$186</c:f>
              <c:numCache>
                <c:formatCode>General</c:formatCode>
                <c:ptCount val="12"/>
                <c:pt idx="0">
                  <c:v>0.20462691102020797</c:v>
                </c:pt>
                <c:pt idx="1">
                  <c:v>0.29331287018067925</c:v>
                </c:pt>
                <c:pt idx="2">
                  <c:v>0.32864495084543621</c:v>
                </c:pt>
                <c:pt idx="3">
                  <c:v>0.31788274869868588</c:v>
                </c:pt>
                <c:pt idx="4">
                  <c:v>0.28761119287314557</c:v>
                </c:pt>
                <c:pt idx="5">
                  <c:v>0.29154970089280735</c:v>
                </c:pt>
                <c:pt idx="6">
                  <c:v>0.2916281162767369</c:v>
                </c:pt>
                <c:pt idx="7">
                  <c:v>0.3229854339199929</c:v>
                </c:pt>
                <c:pt idx="8">
                  <c:v>0.31665946977718834</c:v>
                </c:pt>
                <c:pt idx="9">
                  <c:v>0.29947231181381456</c:v>
                </c:pt>
                <c:pt idx="10">
                  <c:v>0.29540423025736484</c:v>
                </c:pt>
                <c:pt idx="11">
                  <c:v>0.28549679718448012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67F-4E11-AFB4-3E47F955452F}"/>
            </c:ext>
          </c:extLst>
        </c:ser>
        <c:ser>
          <c:idx val="14"/>
          <c:order val="14"/>
          <c:tx>
            <c:strRef>
              <c:f>'2016 E Maize VWC Graphs'!$Z$188</c:f>
              <c:strCache>
                <c:ptCount val="1"/>
                <c:pt idx="0">
                  <c:v>270</c:v>
                </c:pt>
              </c:strCache>
            </c:strRef>
          </c:tx>
          <c:xVal>
            <c:numRef>
              <c:f>'2016 E Maize VWC Graphs'!$AM$188:$AM$199</c:f>
              <c:numCache>
                <c:formatCode>General</c:formatCode>
                <c:ptCount val="12"/>
                <c:pt idx="0">
                  <c:v>0.1809570450416309</c:v>
                </c:pt>
                <c:pt idx="1">
                  <c:v>0.27714666865811388</c:v>
                </c:pt>
                <c:pt idx="2">
                  <c:v>0.31685232508889066</c:v>
                </c:pt>
                <c:pt idx="3">
                  <c:v>0.30542607217138334</c:v>
                </c:pt>
                <c:pt idx="4">
                  <c:v>0.2814057529119342</c:v>
                </c:pt>
                <c:pt idx="5">
                  <c:v>0.28174922744853265</c:v>
                </c:pt>
                <c:pt idx="6">
                  <c:v>0.29209526439805167</c:v>
                </c:pt>
                <c:pt idx="7">
                  <c:v>0.32051344177803542</c:v>
                </c:pt>
                <c:pt idx="8">
                  <c:v>0.31512177387786044</c:v>
                </c:pt>
                <c:pt idx="9">
                  <c:v>0.29612441694439184</c:v>
                </c:pt>
                <c:pt idx="10">
                  <c:v>0.29429475346924222</c:v>
                </c:pt>
                <c:pt idx="11">
                  <c:v>0.28841647294269762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67F-4E11-AFB4-3E47F955452F}"/>
            </c:ext>
          </c:extLst>
        </c:ser>
        <c:ser>
          <c:idx val="16"/>
          <c:order val="15"/>
          <c:tx>
            <c:strRef>
              <c:f>'2016 E Maize VWC Graphs'!$Z$201</c:f>
              <c:strCache>
                <c:ptCount val="1"/>
                <c:pt idx="0">
                  <c:v>286</c:v>
                </c:pt>
              </c:strCache>
            </c:strRef>
          </c:tx>
          <c:xVal>
            <c:numRef>
              <c:f>'2016 E Maize VWC Graphs'!$AM$201:$AM$212</c:f>
              <c:numCache>
                <c:formatCode>General</c:formatCode>
                <c:ptCount val="12"/>
                <c:pt idx="0">
                  <c:v>0.15007496706309842</c:v>
                </c:pt>
                <c:pt idx="1">
                  <c:v>0.24907334986680341</c:v>
                </c:pt>
                <c:pt idx="2">
                  <c:v>0.31089876645451808</c:v>
                </c:pt>
                <c:pt idx="3">
                  <c:v>0.30512839423966476</c:v>
                </c:pt>
                <c:pt idx="4">
                  <c:v>0.28179502405341239</c:v>
                </c:pt>
                <c:pt idx="5">
                  <c:v>0.28188661726317199</c:v>
                </c:pt>
                <c:pt idx="6">
                  <c:v>0.28639216441700016</c:v>
                </c:pt>
                <c:pt idx="7">
                  <c:v>0.31952075202024144</c:v>
                </c:pt>
                <c:pt idx="8">
                  <c:v>0.30682989472452271</c:v>
                </c:pt>
                <c:pt idx="9">
                  <c:v>0.2931074186609004</c:v>
                </c:pt>
                <c:pt idx="10">
                  <c:v>0.29334099272155784</c:v>
                </c:pt>
                <c:pt idx="11">
                  <c:v>0.28197372176956437</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F67F-4E11-AFB4-3E47F955452F}"/>
            </c:ext>
          </c:extLst>
        </c:ser>
        <c:ser>
          <c:idx val="17"/>
          <c:order val="16"/>
          <c:tx>
            <c:strRef>
              <c:f>'2016 E Maize VWC Graphs'!$Z$214</c:f>
              <c:strCache>
                <c:ptCount val="1"/>
                <c:pt idx="0">
                  <c:v>302</c:v>
                </c:pt>
              </c:strCache>
            </c:strRef>
          </c:tx>
          <c:xVal>
            <c:numRef>
              <c:f>'2016 E Maize VWC Graphs'!$AM$214:$AM$225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F67F-4E11-AFB4-3E47F955452F}"/>
            </c:ext>
          </c:extLst>
        </c:ser>
        <c:ser>
          <c:idx val="18"/>
          <c:order val="17"/>
          <c:tx>
            <c:strRef>
              <c:f>'2016 E Maize VWC Graphs'!$Z$227</c:f>
              <c:strCache>
                <c:ptCount val="1"/>
                <c:pt idx="0">
                  <c:v>0</c:v>
                </c:pt>
              </c:strCache>
            </c:strRef>
          </c:tx>
          <c:xVal>
            <c:numRef>
              <c:f>'2016 E Maize VWC Graphs'!$AM$227:$AM$238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F67F-4E11-AFB4-3E47F955452F}"/>
            </c:ext>
          </c:extLst>
        </c:ser>
        <c:ser>
          <c:idx val="19"/>
          <c:order val="18"/>
          <c:tx>
            <c:strRef>
              <c:f>'2016 E Maize VWC Graphs'!$Z$240</c:f>
              <c:strCache>
                <c:ptCount val="1"/>
                <c:pt idx="0">
                  <c:v>0</c:v>
                </c:pt>
              </c:strCache>
            </c:strRef>
          </c:tx>
          <c:xVal>
            <c:numRef>
              <c:f>'2016 E Maize VWC Graphs'!$AM$240:$AM$251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F67F-4E11-AFB4-3E47F955452F}"/>
            </c:ext>
          </c:extLst>
        </c:ser>
        <c:ser>
          <c:idx val="20"/>
          <c:order val="19"/>
          <c:tx>
            <c:strRef>
              <c:f>'2016 E Maize VWC Graphs'!$Z$253</c:f>
              <c:strCache>
                <c:ptCount val="1"/>
                <c:pt idx="0">
                  <c:v>0</c:v>
                </c:pt>
              </c:strCache>
            </c:strRef>
          </c:tx>
          <c:xVal>
            <c:numRef>
              <c:f>'2016 E Maize VWC Graphs'!$AM$253:$AM$264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F67F-4E11-AFB4-3E47F955452F}"/>
            </c:ext>
          </c:extLst>
        </c:ser>
        <c:ser>
          <c:idx val="21"/>
          <c:order val="20"/>
          <c:tx>
            <c:strRef>
              <c:f>'2016 E Maize VWC Graphs'!$Z$266</c:f>
              <c:strCache>
                <c:ptCount val="1"/>
                <c:pt idx="0">
                  <c:v>0</c:v>
                </c:pt>
              </c:strCache>
            </c:strRef>
          </c:tx>
          <c:xVal>
            <c:numRef>
              <c:f>'2016 E Maize VWC Graphs'!$AM$266:$AM$277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F67F-4E11-AFB4-3E47F955452F}"/>
            </c:ext>
          </c:extLst>
        </c:ser>
        <c:ser>
          <c:idx val="22"/>
          <c:order val="21"/>
          <c:tx>
            <c:strRef>
              <c:f>'2016 E Maize VWC Graphs'!$Z$279</c:f>
              <c:strCache>
                <c:ptCount val="1"/>
                <c:pt idx="0">
                  <c:v>0</c:v>
                </c:pt>
              </c:strCache>
            </c:strRef>
          </c:tx>
          <c:xVal>
            <c:numRef>
              <c:f>'2016 E Maize VWC Graphs'!$AM$279:$AM$290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F67F-4E11-AFB4-3E47F955452F}"/>
            </c:ext>
          </c:extLst>
        </c:ser>
        <c:ser>
          <c:idx val="23"/>
          <c:order val="22"/>
          <c:tx>
            <c:strRef>
              <c:f>'2016 E Maize VWC Graphs'!$Z$292</c:f>
              <c:strCache>
                <c:ptCount val="1"/>
                <c:pt idx="0">
                  <c:v>0</c:v>
                </c:pt>
              </c:strCache>
            </c:strRef>
          </c:tx>
          <c:xVal>
            <c:numRef>
              <c:f>'2016 E Maize VWC Graphs'!$AM$292:$AM$303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F67F-4E11-AFB4-3E47F955452F}"/>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F67F-4E11-AFB4-3E47F955452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879469170025452"/>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2541159627773801"/>
          <c:w val="0.11900647948164149"/>
          <c:h val="0.75770528683914506"/>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Graphs'!$AN$6:$AN$17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5ACE-48D8-8D2D-582BDA470BDF}"/>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Graphs'!$AN$19:$AN$30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5ACE-48D8-8D2D-582BDA470BDF}"/>
            </c:ext>
          </c:extLst>
        </c:ser>
        <c:ser>
          <c:idx val="0"/>
          <c:order val="2"/>
          <c:tx>
            <c:strRef>
              <c:f>'2016 E Maize VWC Graphs'!$Z$32</c:f>
              <c:strCache>
                <c:ptCount val="1"/>
                <c:pt idx="0">
                  <c:v>161</c:v>
                </c:pt>
              </c:strCache>
            </c:strRef>
          </c:tx>
          <c:xVal>
            <c:numRef>
              <c:f>'2016 E Maize VWC Graphs'!$AN$32:$AN$43</c:f>
              <c:numCache>
                <c:formatCode>General</c:formatCode>
                <c:ptCount val="12"/>
                <c:pt idx="0">
                  <c:v>0.19820113703088599</c:v>
                </c:pt>
                <c:pt idx="1">
                  <c:v>0.27957388871674266</c:v>
                </c:pt>
                <c:pt idx="2">
                  <c:v>0.34506303369484048</c:v>
                </c:pt>
                <c:pt idx="3">
                  <c:v>0.33620139065060134</c:v>
                </c:pt>
                <c:pt idx="4">
                  <c:v>0.33631588216280084</c:v>
                </c:pt>
                <c:pt idx="5">
                  <c:v>0.34144510190933713</c:v>
                </c:pt>
                <c:pt idx="6">
                  <c:v>0.29768157734877454</c:v>
                </c:pt>
                <c:pt idx="7">
                  <c:v>0.3333210861040829</c:v>
                </c:pt>
                <c:pt idx="8">
                  <c:v>0.32915568202235923</c:v>
                </c:pt>
                <c:pt idx="9">
                  <c:v>0.30657685615881053</c:v>
                </c:pt>
                <c:pt idx="10">
                  <c:v>0.30128251078390944</c:v>
                </c:pt>
                <c:pt idx="11">
                  <c:v>0.28611966134623318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5ACE-48D8-8D2D-582BDA470BDF}"/>
            </c:ext>
          </c:extLst>
        </c:ser>
        <c:ser>
          <c:idx val="1"/>
          <c:order val="3"/>
          <c:tx>
            <c:strRef>
              <c:f>'2016 E Maize VWC Graphs'!$Z$45</c:f>
              <c:strCache>
                <c:ptCount val="1"/>
                <c:pt idx="0">
                  <c:v>167</c:v>
                </c:pt>
              </c:strCache>
            </c:strRef>
          </c:tx>
          <c:marker>
            <c:symbol val="square"/>
            <c:size val="5"/>
          </c:marker>
          <c:xVal>
            <c:numRef>
              <c:f>'2016 E Maize VWC Graphs'!$AN$45:$AN$56</c:f>
              <c:numCache>
                <c:formatCode>General</c:formatCode>
                <c:ptCount val="12"/>
                <c:pt idx="0">
                  <c:v>0.18151330607354238</c:v>
                </c:pt>
                <c:pt idx="1">
                  <c:v>0.27171977097985889</c:v>
                </c:pt>
                <c:pt idx="2">
                  <c:v>0.35245918538292631</c:v>
                </c:pt>
                <c:pt idx="3">
                  <c:v>0.33949874620194609</c:v>
                </c:pt>
                <c:pt idx="4">
                  <c:v>0.34025439018246267</c:v>
                </c:pt>
                <c:pt idx="5">
                  <c:v>0.33725471256283646</c:v>
                </c:pt>
                <c:pt idx="6">
                  <c:v>0.30089322068281377</c:v>
                </c:pt>
                <c:pt idx="7">
                  <c:v>0.33326269258891855</c:v>
                </c:pt>
                <c:pt idx="8">
                  <c:v>0.33793417380206658</c:v>
                </c:pt>
                <c:pt idx="9">
                  <c:v>0.31362300698864209</c:v>
                </c:pt>
                <c:pt idx="10">
                  <c:v>0.30751115240144011</c:v>
                </c:pt>
                <c:pt idx="11">
                  <c:v>0.2945672565400092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5ACE-48D8-8D2D-582BDA470BDF}"/>
            </c:ext>
          </c:extLst>
        </c:ser>
        <c:ser>
          <c:idx val="2"/>
          <c:order val="4"/>
          <c:tx>
            <c:strRef>
              <c:f>'2016 E Maize VWC Graphs'!$Z$58</c:f>
              <c:strCache>
                <c:ptCount val="1"/>
                <c:pt idx="0">
                  <c:v>173</c:v>
                </c:pt>
              </c:strCache>
            </c:strRef>
          </c:tx>
          <c:marker>
            <c:spPr>
              <a:solidFill>
                <a:srgbClr val="00B050"/>
              </a:solidFill>
            </c:spPr>
          </c:marker>
          <c:xVal>
            <c:numRef>
              <c:f>'2016 E Maize VWC Graphs'!$AN$58:$AN$69</c:f>
              <c:numCache>
                <c:formatCode>General</c:formatCode>
                <c:ptCount val="12"/>
                <c:pt idx="0">
                  <c:v>0.15136012186096282</c:v>
                </c:pt>
                <c:pt idx="1">
                  <c:v>0.22074814974865409</c:v>
                </c:pt>
                <c:pt idx="2">
                  <c:v>0.34588737258267666</c:v>
                </c:pt>
                <c:pt idx="3">
                  <c:v>0.33530835685544552</c:v>
                </c:pt>
                <c:pt idx="4">
                  <c:v>0.34013989867026317</c:v>
                </c:pt>
                <c:pt idx="5">
                  <c:v>0.34247552551913241</c:v>
                </c:pt>
                <c:pt idx="6">
                  <c:v>0.30311217425905912</c:v>
                </c:pt>
                <c:pt idx="7">
                  <c:v>0.33954972772161357</c:v>
                </c:pt>
                <c:pt idx="8">
                  <c:v>0.34235261644950238</c:v>
                </c:pt>
                <c:pt idx="9">
                  <c:v>0.32111684143473368</c:v>
                </c:pt>
                <c:pt idx="10">
                  <c:v>0.31473248377676472</c:v>
                </c:pt>
                <c:pt idx="11">
                  <c:v>0.30219734252148428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5ACE-48D8-8D2D-582BDA470BDF}"/>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Graphs'!$AN$71:$AN$82</c:f>
              <c:numCache>
                <c:formatCode>General</c:formatCode>
                <c:ptCount val="12"/>
                <c:pt idx="0">
                  <c:v>0.12747926031855725</c:v>
                </c:pt>
                <c:pt idx="1">
                  <c:v>0.18104249331787731</c:v>
                </c:pt>
                <c:pt idx="2">
                  <c:v>0.31073847833743884</c:v>
                </c:pt>
                <c:pt idx="3">
                  <c:v>0.33638457707012048</c:v>
                </c:pt>
                <c:pt idx="4">
                  <c:v>0.34013989867026317</c:v>
                </c:pt>
                <c:pt idx="5">
                  <c:v>0.33649906858231998</c:v>
                </c:pt>
                <c:pt idx="6">
                  <c:v>0.2990440927026094</c:v>
                </c:pt>
                <c:pt idx="7">
                  <c:v>0.33705827107460129</c:v>
                </c:pt>
                <c:pt idx="8">
                  <c:v>0.33818721236777871</c:v>
                </c:pt>
                <c:pt idx="9">
                  <c:v>0.31969593256573448</c:v>
                </c:pt>
                <c:pt idx="10">
                  <c:v>0.31623125066598307</c:v>
                </c:pt>
                <c:pt idx="11">
                  <c:v>0.30636274660320795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5ACE-48D8-8D2D-582BDA470BDF}"/>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Graphs'!$AN$84:$AN$95</c:f>
              <c:numCache>
                <c:formatCode>General</c:formatCode>
                <c:ptCount val="12"/>
                <c:pt idx="0">
                  <c:v>0.12517749053133742</c:v>
                </c:pt>
                <c:pt idx="1">
                  <c:v>0.19892606752343478</c:v>
                </c:pt>
                <c:pt idx="2">
                  <c:v>0.30050293714680609</c:v>
                </c:pt>
                <c:pt idx="3">
                  <c:v>0.32168386690370832</c:v>
                </c:pt>
                <c:pt idx="4">
                  <c:v>0.34050627150930146</c:v>
                </c:pt>
                <c:pt idx="5">
                  <c:v>0.33888049203606896</c:v>
                </c:pt>
                <c:pt idx="6">
                  <c:v>0.30067911112721113</c:v>
                </c:pt>
                <c:pt idx="7">
                  <c:v>0.33900472158007966</c:v>
                </c:pt>
                <c:pt idx="8">
                  <c:v>0.33826507038799786</c:v>
                </c:pt>
                <c:pt idx="9">
                  <c:v>0.31638696670642136</c:v>
                </c:pt>
                <c:pt idx="10">
                  <c:v>0.31050868617987676</c:v>
                </c:pt>
                <c:pt idx="11">
                  <c:v>0.30435790258256523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5ACE-48D8-8D2D-582BDA470BDF}"/>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Graphs'!$AN$97:$AN$108</c:f>
              <c:numCache>
                <c:formatCode>General</c:formatCode>
                <c:ptCount val="12"/>
                <c:pt idx="0">
                  <c:v>0.13597662711637704</c:v>
                </c:pt>
                <c:pt idx="1">
                  <c:v>0.201925745143061</c:v>
                </c:pt>
                <c:pt idx="2">
                  <c:v>0.31117354608379688</c:v>
                </c:pt>
                <c:pt idx="3">
                  <c:v>0.31263903743995008</c:v>
                </c:pt>
                <c:pt idx="4">
                  <c:v>0.33272084867973739</c:v>
                </c:pt>
                <c:pt idx="5">
                  <c:v>0.33968193262146529</c:v>
                </c:pt>
                <c:pt idx="6">
                  <c:v>0.30256716811752515</c:v>
                </c:pt>
                <c:pt idx="7">
                  <c:v>0.33285393798276808</c:v>
                </c:pt>
                <c:pt idx="8">
                  <c:v>0.34180761030796841</c:v>
                </c:pt>
                <c:pt idx="9">
                  <c:v>0.31767162404003702</c:v>
                </c:pt>
                <c:pt idx="10">
                  <c:v>0.312104775594369</c:v>
                </c:pt>
                <c:pt idx="11">
                  <c:v>0.3003871435513894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5ACE-48D8-8D2D-582BDA470BDF}"/>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Graphs'!$AN$110:$AN$121</c:f>
              <c:numCache>
                <c:formatCode>General</c:formatCode>
                <c:ptCount val="12"/>
                <c:pt idx="0">
                  <c:v>8.6277581127322589E-2</c:v>
                </c:pt>
                <c:pt idx="1">
                  <c:v>0.20238371119185883</c:v>
                </c:pt>
                <c:pt idx="2">
                  <c:v>0.30874632602516805</c:v>
                </c:pt>
                <c:pt idx="3">
                  <c:v>0.3052657840543041</c:v>
                </c:pt>
                <c:pt idx="4">
                  <c:v>0.32104271443539134</c:v>
                </c:pt>
                <c:pt idx="5">
                  <c:v>0.33615559404572154</c:v>
                </c:pt>
                <c:pt idx="6">
                  <c:v>0.29943338280370502</c:v>
                </c:pt>
                <c:pt idx="7">
                  <c:v>0.32738441206237395</c:v>
                </c:pt>
                <c:pt idx="8">
                  <c:v>0.33801203182228567</c:v>
                </c:pt>
                <c:pt idx="9">
                  <c:v>0.31720447591872225</c:v>
                </c:pt>
                <c:pt idx="10">
                  <c:v>0.30967171246252106</c:v>
                </c:pt>
                <c:pt idx="11">
                  <c:v>0.29762318383361014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5ACE-48D8-8D2D-582BDA470BDF}"/>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Graphs'!$AN$123:$AN$134</c:f>
              <c:numCache>
                <c:formatCode>General</c:formatCode>
                <c:ptCount val="12"/>
                <c:pt idx="0">
                  <c:v>0.1415776002652786</c:v>
                </c:pt>
                <c:pt idx="1">
                  <c:v>0.24914204477412311</c:v>
                </c:pt>
                <c:pt idx="2">
                  <c:v>0.3238821039379382</c:v>
                </c:pt>
                <c:pt idx="3">
                  <c:v>0.32335544298182062</c:v>
                </c:pt>
                <c:pt idx="4">
                  <c:v>0.3307057980650267</c:v>
                </c:pt>
                <c:pt idx="5">
                  <c:v>0.33622428895304129</c:v>
                </c:pt>
                <c:pt idx="6">
                  <c:v>0.30046500157160855</c:v>
                </c:pt>
                <c:pt idx="7">
                  <c:v>0.33452788541747946</c:v>
                </c:pt>
                <c:pt idx="8">
                  <c:v>0.33452788541747946</c:v>
                </c:pt>
                <c:pt idx="9">
                  <c:v>0.3128054977763412</c:v>
                </c:pt>
                <c:pt idx="10">
                  <c:v>0.30791990700759059</c:v>
                </c:pt>
                <c:pt idx="11">
                  <c:v>0.30011464048062242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5ACE-48D8-8D2D-582BDA470BDF}"/>
            </c:ext>
          </c:extLst>
        </c:ser>
        <c:ser>
          <c:idx val="10"/>
          <c:order val="10"/>
          <c:tx>
            <c:strRef>
              <c:f>'2016 E Maize VWC Graphs'!$Z$136</c:f>
              <c:strCache>
                <c:ptCount val="1"/>
                <c:pt idx="0">
                  <c:v>224</c:v>
                </c:pt>
              </c:strCache>
            </c:strRef>
          </c:tx>
          <c:xVal>
            <c:numRef>
              <c:f>'2016 E Maize VWC Graphs'!$AN$136:$AN$147</c:f>
              <c:numCache>
                <c:formatCode>General</c:formatCode>
                <c:ptCount val="12"/>
                <c:pt idx="0">
                  <c:v>0.21872525096692935</c:v>
                </c:pt>
                <c:pt idx="1">
                  <c:v>0.25081362085223541</c:v>
                </c:pt>
                <c:pt idx="2">
                  <c:v>0.3190963587280003</c:v>
                </c:pt>
                <c:pt idx="3">
                  <c:v>0.31257034253263039</c:v>
                </c:pt>
                <c:pt idx="4">
                  <c:v>0.31973751119631733</c:v>
                </c:pt>
                <c:pt idx="5">
                  <c:v>0.34066655962638076</c:v>
                </c:pt>
                <c:pt idx="6">
                  <c:v>0.30173019440016946</c:v>
                </c:pt>
                <c:pt idx="7">
                  <c:v>0.33380769873045246</c:v>
                </c:pt>
                <c:pt idx="8">
                  <c:v>0.34250833248994067</c:v>
                </c:pt>
                <c:pt idx="9">
                  <c:v>0.31175441450338287</c:v>
                </c:pt>
                <c:pt idx="10">
                  <c:v>0.31545267046379172</c:v>
                </c:pt>
                <c:pt idx="11">
                  <c:v>0.29809033195492496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5ACE-48D8-8D2D-582BDA470BDF}"/>
            </c:ext>
          </c:extLst>
        </c:ser>
        <c:ser>
          <c:idx val="11"/>
          <c:order val="11"/>
          <c:tx>
            <c:strRef>
              <c:f>'2016 E Maize VWC Graphs'!$Z$149</c:f>
              <c:strCache>
                <c:ptCount val="1"/>
                <c:pt idx="0">
                  <c:v>236</c:v>
                </c:pt>
              </c:strCache>
            </c:strRef>
          </c:tx>
          <c:xVal>
            <c:numRef>
              <c:f>'2016 E Maize VWC Graphs'!$AN$149:$AN$160</c:f>
              <c:numCache>
                <c:formatCode>General</c:formatCode>
                <c:ptCount val="12"/>
                <c:pt idx="0">
                  <c:v>0.24208821430721045</c:v>
                </c:pt>
                <c:pt idx="1">
                  <c:v>0.29237403978064358</c:v>
                </c:pt>
                <c:pt idx="2">
                  <c:v>0.32777481535272024</c:v>
                </c:pt>
                <c:pt idx="3">
                  <c:v>0.29986178467848906</c:v>
                </c:pt>
                <c:pt idx="4">
                  <c:v>0.30096090319560398</c:v>
                </c:pt>
                <c:pt idx="5">
                  <c:v>0.32172966350858812</c:v>
                </c:pt>
                <c:pt idx="6">
                  <c:v>0.28604180332601409</c:v>
                </c:pt>
                <c:pt idx="7">
                  <c:v>0.32181756361670588</c:v>
                </c:pt>
                <c:pt idx="8">
                  <c:v>0.33090748747728971</c:v>
                </c:pt>
                <c:pt idx="9">
                  <c:v>0.30862062918956279</c:v>
                </c:pt>
                <c:pt idx="10">
                  <c:v>0.30464987015838696</c:v>
                </c:pt>
                <c:pt idx="11">
                  <c:v>0.29127775518575083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5ACE-48D8-8D2D-582BDA470BDF}"/>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Graphs'!$AN$162:$AN$173</c:f>
              <c:numCache>
                <c:formatCode>General</c:formatCode>
                <c:ptCount val="12"/>
                <c:pt idx="0">
                  <c:v>0.23362921033917766</c:v>
                </c:pt>
                <c:pt idx="1">
                  <c:v>0.28767988778046522</c:v>
                </c:pt>
                <c:pt idx="2">
                  <c:v>0.34062076302150096</c:v>
                </c:pt>
                <c:pt idx="3">
                  <c:v>0.30897530904956699</c:v>
                </c:pt>
                <c:pt idx="4">
                  <c:v>0.28582512528283383</c:v>
                </c:pt>
                <c:pt idx="5">
                  <c:v>0.30918139377152604</c:v>
                </c:pt>
                <c:pt idx="6">
                  <c:v>0.2770881310008137</c:v>
                </c:pt>
                <c:pt idx="7">
                  <c:v>0.317223940423777</c:v>
                </c:pt>
                <c:pt idx="8">
                  <c:v>0.32822138577972965</c:v>
                </c:pt>
                <c:pt idx="9">
                  <c:v>0.30535059234035916</c:v>
                </c:pt>
                <c:pt idx="10">
                  <c:v>0.30173019440016946</c:v>
                </c:pt>
                <c:pt idx="11">
                  <c:v>0.29347724425694133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5ACE-48D8-8D2D-582BDA470BDF}"/>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Graphs'!$AN$175:$AN$186</c:f>
              <c:numCache>
                <c:formatCode>General</c:formatCode>
                <c:ptCount val="12"/>
                <c:pt idx="0">
                  <c:v>0.19033675692455165</c:v>
                </c:pt>
                <c:pt idx="1">
                  <c:v>0.26024772145747183</c:v>
                </c:pt>
                <c:pt idx="2">
                  <c:v>0.32846176442591707</c:v>
                </c:pt>
                <c:pt idx="3">
                  <c:v>0.29164129410256701</c:v>
                </c:pt>
                <c:pt idx="4">
                  <c:v>0.2781541939654692</c:v>
                </c:pt>
                <c:pt idx="5">
                  <c:v>0.30457883498110727</c:v>
                </c:pt>
                <c:pt idx="6">
                  <c:v>0.28448464292163139</c:v>
                </c:pt>
                <c:pt idx="7">
                  <c:v>0.31076172474558894</c:v>
                </c:pt>
                <c:pt idx="8">
                  <c:v>0.32820192127467485</c:v>
                </c:pt>
                <c:pt idx="9">
                  <c:v>0.30926295785637059</c:v>
                </c:pt>
                <c:pt idx="10">
                  <c:v>0.30564255991618094</c:v>
                </c:pt>
                <c:pt idx="11">
                  <c:v>0.287306996154575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5ACE-48D8-8D2D-582BDA470BDF}"/>
            </c:ext>
          </c:extLst>
        </c:ser>
        <c:ser>
          <c:idx val="14"/>
          <c:order val="14"/>
          <c:tx>
            <c:strRef>
              <c:f>'2016 E Maize VWC Graphs'!$Z$188</c:f>
              <c:strCache>
                <c:ptCount val="1"/>
                <c:pt idx="0">
                  <c:v>270</c:v>
                </c:pt>
              </c:strCache>
            </c:strRef>
          </c:tx>
          <c:xVal>
            <c:numRef>
              <c:f>'2016 E Maize VWC Graphs'!$AN$188:$AN$199</c:f>
              <c:numCache>
                <c:formatCode>General</c:formatCode>
                <c:ptCount val="12"/>
                <c:pt idx="0">
                  <c:v>0.17581642585017332</c:v>
                </c:pt>
                <c:pt idx="1">
                  <c:v>0.26065989090138997</c:v>
                </c:pt>
                <c:pt idx="2">
                  <c:v>0.32601164606484839</c:v>
                </c:pt>
                <c:pt idx="3">
                  <c:v>0.29633544610274531</c:v>
                </c:pt>
                <c:pt idx="4">
                  <c:v>0.28181792235585229</c:v>
                </c:pt>
                <c:pt idx="5">
                  <c:v>0.3069373601324164</c:v>
                </c:pt>
                <c:pt idx="6">
                  <c:v>0.27547257708126671</c:v>
                </c:pt>
                <c:pt idx="7">
                  <c:v>0.31327264589765602</c:v>
                </c:pt>
                <c:pt idx="8">
                  <c:v>0.32699512196127828</c:v>
                </c:pt>
                <c:pt idx="9">
                  <c:v>0.30406593500674345</c:v>
                </c:pt>
                <c:pt idx="10">
                  <c:v>0.30087375617775897</c:v>
                </c:pt>
                <c:pt idx="11">
                  <c:v>0.28411481732559052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5ACE-48D8-8D2D-582BDA470BDF}"/>
            </c:ext>
          </c:extLst>
        </c:ser>
        <c:ser>
          <c:idx val="16"/>
          <c:order val="15"/>
          <c:tx>
            <c:strRef>
              <c:f>'2016 E Maize VWC Graphs'!$Z$201</c:f>
              <c:strCache>
                <c:ptCount val="1"/>
                <c:pt idx="0">
                  <c:v>286</c:v>
                </c:pt>
              </c:strCache>
            </c:strRef>
          </c:tx>
          <c:xVal>
            <c:numRef>
              <c:f>'2016 E Maize VWC Graphs'!$AN$201:$AN$212</c:f>
              <c:numCache>
                <c:formatCode>General</c:formatCode>
                <c:ptCount val="12"/>
                <c:pt idx="0">
                  <c:v>0.15972321875452811</c:v>
                </c:pt>
                <c:pt idx="1">
                  <c:v>0.2543399594279791</c:v>
                </c:pt>
                <c:pt idx="2">
                  <c:v>0.3207450365036727</c:v>
                </c:pt>
                <c:pt idx="3">
                  <c:v>0.2898781248146951</c:v>
                </c:pt>
                <c:pt idx="4">
                  <c:v>0.27538349937024198</c:v>
                </c:pt>
                <c:pt idx="5">
                  <c:v>0.30570085180066209</c:v>
                </c:pt>
                <c:pt idx="6">
                  <c:v>0.27926815556694945</c:v>
                </c:pt>
                <c:pt idx="7">
                  <c:v>0.31451837422116213</c:v>
                </c:pt>
                <c:pt idx="8">
                  <c:v>0.32534063903162169</c:v>
                </c:pt>
                <c:pt idx="9">
                  <c:v>0.30202216197599124</c:v>
                </c:pt>
                <c:pt idx="10">
                  <c:v>0.29824604799536319</c:v>
                </c:pt>
                <c:pt idx="11">
                  <c:v>0.28242140538582439</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5ACE-48D8-8D2D-582BDA470BDF}"/>
            </c:ext>
          </c:extLst>
        </c:ser>
        <c:ser>
          <c:idx val="17"/>
          <c:order val="16"/>
          <c:tx>
            <c:strRef>
              <c:f>'2016 E Maize VWC Graphs'!$Z$214</c:f>
              <c:strCache>
                <c:ptCount val="1"/>
                <c:pt idx="0">
                  <c:v>302</c:v>
                </c:pt>
              </c:strCache>
            </c:strRef>
          </c:tx>
          <c:xVal>
            <c:numRef>
              <c:f>'2016 E Maize VWC Graphs'!$AN$214:$AN$225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5ACE-48D8-8D2D-582BDA470BDF}"/>
            </c:ext>
          </c:extLst>
        </c:ser>
        <c:ser>
          <c:idx val="18"/>
          <c:order val="17"/>
          <c:tx>
            <c:strRef>
              <c:f>'2016 E Maize VWC Graphs'!$Z$227</c:f>
              <c:strCache>
                <c:ptCount val="1"/>
                <c:pt idx="0">
                  <c:v>0</c:v>
                </c:pt>
              </c:strCache>
            </c:strRef>
          </c:tx>
          <c:xVal>
            <c:numRef>
              <c:f>'2016 E Maize VWC Graphs'!$AN$227:$AN$238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5ACE-48D8-8D2D-582BDA470BDF}"/>
            </c:ext>
          </c:extLst>
        </c:ser>
        <c:ser>
          <c:idx val="19"/>
          <c:order val="18"/>
          <c:tx>
            <c:strRef>
              <c:f>'2016 E Maize VWC Graphs'!$Z$240</c:f>
              <c:strCache>
                <c:ptCount val="1"/>
                <c:pt idx="0">
                  <c:v>0</c:v>
                </c:pt>
              </c:strCache>
            </c:strRef>
          </c:tx>
          <c:xVal>
            <c:numRef>
              <c:f>'2016 E Maize VWC Graphs'!$AN$240:$AN$251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5ACE-48D8-8D2D-582BDA470BDF}"/>
            </c:ext>
          </c:extLst>
        </c:ser>
        <c:ser>
          <c:idx val="20"/>
          <c:order val="19"/>
          <c:tx>
            <c:strRef>
              <c:f>'2016 E Maize VWC Graphs'!$Z$253</c:f>
              <c:strCache>
                <c:ptCount val="1"/>
                <c:pt idx="0">
                  <c:v>0</c:v>
                </c:pt>
              </c:strCache>
            </c:strRef>
          </c:tx>
          <c:xVal>
            <c:numRef>
              <c:f>'2016 E Maize VWC Graphs'!$AN$253:$AN$264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5ACE-48D8-8D2D-582BDA470BDF}"/>
            </c:ext>
          </c:extLst>
        </c:ser>
        <c:ser>
          <c:idx val="21"/>
          <c:order val="20"/>
          <c:tx>
            <c:strRef>
              <c:f>'2016 E Maize VWC Graphs'!$Z$266</c:f>
              <c:strCache>
                <c:ptCount val="1"/>
                <c:pt idx="0">
                  <c:v>0</c:v>
                </c:pt>
              </c:strCache>
            </c:strRef>
          </c:tx>
          <c:xVal>
            <c:numRef>
              <c:f>'2016 E Maize VWC Graphs'!$AN$266:$AN$277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5ACE-48D8-8D2D-582BDA470BDF}"/>
            </c:ext>
          </c:extLst>
        </c:ser>
        <c:ser>
          <c:idx val="22"/>
          <c:order val="21"/>
          <c:tx>
            <c:strRef>
              <c:f>'2016 E Maize VWC Graphs'!$Z$279</c:f>
              <c:strCache>
                <c:ptCount val="1"/>
                <c:pt idx="0">
                  <c:v>0</c:v>
                </c:pt>
              </c:strCache>
            </c:strRef>
          </c:tx>
          <c:xVal>
            <c:numRef>
              <c:f>'2016 E Maize VWC Graphs'!$AN$279:$AN$290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5ACE-48D8-8D2D-582BDA470BDF}"/>
            </c:ext>
          </c:extLst>
        </c:ser>
        <c:ser>
          <c:idx val="23"/>
          <c:order val="22"/>
          <c:tx>
            <c:strRef>
              <c:f>'2016 E Maize VWC Graphs'!$Z$292</c:f>
              <c:strCache>
                <c:ptCount val="1"/>
                <c:pt idx="0">
                  <c:v>0</c:v>
                </c:pt>
              </c:strCache>
            </c:strRef>
          </c:tx>
          <c:xVal>
            <c:numRef>
              <c:f>'2016 E Maize VWC Graphs'!$AN$292:$AN$303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5ACE-48D8-8D2D-582BDA470BDF}"/>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5ACE-48D8-8D2D-582BDA470BD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159526765417821"/>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868020952024624"/>
          <c:y val="0.13190510277124451"/>
          <c:w val="0.11900647948164149"/>
          <c:h val="0.7468827760166343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Graphs'!$AO$6:$AO$17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31D-4A1E-8EFA-C2875ED6E059}"/>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Graphs'!$AO$19:$AO$30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31D-4A1E-8EFA-C2875ED6E059}"/>
            </c:ext>
          </c:extLst>
        </c:ser>
        <c:ser>
          <c:idx val="0"/>
          <c:order val="2"/>
          <c:tx>
            <c:strRef>
              <c:f>'2016 E Maize VWC Graphs'!$Z$32</c:f>
              <c:strCache>
                <c:ptCount val="1"/>
                <c:pt idx="0">
                  <c:v>161</c:v>
                </c:pt>
              </c:strCache>
            </c:strRef>
          </c:tx>
          <c:xVal>
            <c:numRef>
              <c:f>'2016 E Maize VWC Graphs'!$AO$32:$AO$43</c:f>
              <c:numCache>
                <c:formatCode>General</c:formatCode>
                <c:ptCount val="12"/>
                <c:pt idx="0">
                  <c:v>0.20846319399890767</c:v>
                </c:pt>
                <c:pt idx="1">
                  <c:v>0.20886393078234894</c:v>
                </c:pt>
                <c:pt idx="2">
                  <c:v>0.31355496953754586</c:v>
                </c:pt>
                <c:pt idx="3">
                  <c:v>0.33143854374310333</c:v>
                </c:pt>
                <c:pt idx="4">
                  <c:v>0.33118666241626449</c:v>
                </c:pt>
                <c:pt idx="5">
                  <c:v>0.33393445870905181</c:v>
                </c:pt>
                <c:pt idx="6">
                  <c:v>0.31311692985721773</c:v>
                </c:pt>
                <c:pt idx="7">
                  <c:v>0.29908302171271894</c:v>
                </c:pt>
                <c:pt idx="8">
                  <c:v>0.29842122854085629</c:v>
                </c:pt>
                <c:pt idx="9">
                  <c:v>0.28195425726450957</c:v>
                </c:pt>
                <c:pt idx="10">
                  <c:v>0.28479607500250792</c:v>
                </c:pt>
                <c:pt idx="11">
                  <c:v>0.27422684875776054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31D-4A1E-8EFA-C2875ED6E059}"/>
            </c:ext>
          </c:extLst>
        </c:ser>
        <c:ser>
          <c:idx val="1"/>
          <c:order val="3"/>
          <c:tx>
            <c:strRef>
              <c:f>'2016 E Maize VWC Graphs'!$Z$45</c:f>
              <c:strCache>
                <c:ptCount val="1"/>
                <c:pt idx="0">
                  <c:v>167</c:v>
                </c:pt>
              </c:strCache>
            </c:strRef>
          </c:tx>
          <c:marker>
            <c:symbol val="square"/>
            <c:size val="5"/>
          </c:marker>
          <c:xVal>
            <c:numRef>
              <c:f>'2016 E Maize VWC Graphs'!$AO$45:$AO$56</c:f>
              <c:numCache>
                <c:formatCode>General</c:formatCode>
                <c:ptCount val="12"/>
                <c:pt idx="0">
                  <c:v>0.20476118092446249</c:v>
                </c:pt>
                <c:pt idx="1">
                  <c:v>0.21440531997280338</c:v>
                </c:pt>
                <c:pt idx="2">
                  <c:v>0.31428771521562249</c:v>
                </c:pt>
                <c:pt idx="3">
                  <c:v>0.33272084867973739</c:v>
                </c:pt>
                <c:pt idx="4">
                  <c:v>0.33120956071870439</c:v>
                </c:pt>
                <c:pt idx="5">
                  <c:v>0.33434662815296989</c:v>
                </c:pt>
                <c:pt idx="6">
                  <c:v>0.31405122609984731</c:v>
                </c:pt>
                <c:pt idx="7">
                  <c:v>0.30250877460236081</c:v>
                </c:pt>
                <c:pt idx="8">
                  <c:v>0.30381289644103127</c:v>
                </c:pt>
                <c:pt idx="9">
                  <c:v>0.28894201457917679</c:v>
                </c:pt>
                <c:pt idx="10">
                  <c:v>0.29579352035846057</c:v>
                </c:pt>
                <c:pt idx="11">
                  <c:v>0.28253819241615302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31D-4A1E-8EFA-C2875ED6E059}"/>
            </c:ext>
          </c:extLst>
        </c:ser>
        <c:ser>
          <c:idx val="2"/>
          <c:order val="4"/>
          <c:tx>
            <c:strRef>
              <c:f>'2016 E Maize VWC Graphs'!$Z$58</c:f>
              <c:strCache>
                <c:ptCount val="1"/>
                <c:pt idx="0">
                  <c:v>173</c:v>
                </c:pt>
              </c:strCache>
            </c:strRef>
          </c:tx>
          <c:marker>
            <c:spPr>
              <a:solidFill>
                <a:srgbClr val="00B050"/>
              </a:solidFill>
            </c:spPr>
          </c:marker>
          <c:xVal>
            <c:numRef>
              <c:f>'2016 E Maize VWC Graphs'!$AO$58:$AO$69</c:f>
              <c:numCache>
                <c:formatCode>General</c:formatCode>
                <c:ptCount val="12"/>
                <c:pt idx="0">
                  <c:v>0.18916669061604824</c:v>
                </c:pt>
                <c:pt idx="1">
                  <c:v>0.19883447431367524</c:v>
                </c:pt>
                <c:pt idx="2">
                  <c:v>0.31598218959617463</c:v>
                </c:pt>
                <c:pt idx="3">
                  <c:v>0.33581211950912315</c:v>
                </c:pt>
                <c:pt idx="4">
                  <c:v>0.33727761086527636</c:v>
                </c:pt>
                <c:pt idx="5">
                  <c:v>0.34025439018246267</c:v>
                </c:pt>
                <c:pt idx="6">
                  <c:v>0.31673732779740743</c:v>
                </c:pt>
                <c:pt idx="7">
                  <c:v>0.31251353020051942</c:v>
                </c:pt>
                <c:pt idx="8">
                  <c:v>0.31000260904845239</c:v>
                </c:pt>
                <c:pt idx="9">
                  <c:v>0.29886891215711631</c:v>
                </c:pt>
                <c:pt idx="10">
                  <c:v>0.29976427938963635</c:v>
                </c:pt>
                <c:pt idx="11">
                  <c:v>0.29137507771102472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31D-4A1E-8EFA-C2875ED6E059}"/>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Graphs'!$AO$71:$AO$82</c:f>
              <c:numCache>
                <c:formatCode>General</c:formatCode>
                <c:ptCount val="12"/>
                <c:pt idx="0">
                  <c:v>0.17570133736081234</c:v>
                </c:pt>
                <c:pt idx="1">
                  <c:v>0.16702873222466202</c:v>
                </c:pt>
                <c:pt idx="2">
                  <c:v>0.28193241386805179</c:v>
                </c:pt>
                <c:pt idx="3">
                  <c:v>0.32891973047471496</c:v>
                </c:pt>
                <c:pt idx="4">
                  <c:v>0.33086608618210595</c:v>
                </c:pt>
                <c:pt idx="5">
                  <c:v>0.33473589929444808</c:v>
                </c:pt>
                <c:pt idx="6">
                  <c:v>0.31449890971610733</c:v>
                </c:pt>
                <c:pt idx="7">
                  <c:v>0.30797830052275493</c:v>
                </c:pt>
                <c:pt idx="8">
                  <c:v>0.30655739165375573</c:v>
                </c:pt>
                <c:pt idx="9">
                  <c:v>0.29849908656107543</c:v>
                </c:pt>
                <c:pt idx="10">
                  <c:v>0.30089322068281377</c:v>
                </c:pt>
                <c:pt idx="11">
                  <c:v>0.29349670876199607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31D-4A1E-8EFA-C2875ED6E059}"/>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Graphs'!$AO$84:$AO$95</c:f>
              <c:numCache>
                <c:formatCode>General</c:formatCode>
                <c:ptCount val="12"/>
                <c:pt idx="0">
                  <c:v>0.16599554142470213</c:v>
                </c:pt>
                <c:pt idx="1">
                  <c:v>0.15894563146337931</c:v>
                </c:pt>
                <c:pt idx="2">
                  <c:v>0.25674428118416798</c:v>
                </c:pt>
                <c:pt idx="3">
                  <c:v>0.31440220672782193</c:v>
                </c:pt>
                <c:pt idx="4">
                  <c:v>0.32555368001605045</c:v>
                </c:pt>
                <c:pt idx="5">
                  <c:v>0.33572052629936355</c:v>
                </c:pt>
                <c:pt idx="6">
                  <c:v>0.31551106397895606</c:v>
                </c:pt>
                <c:pt idx="7">
                  <c:v>0.30618756605771486</c:v>
                </c:pt>
                <c:pt idx="8">
                  <c:v>0.30208055549115553</c:v>
                </c:pt>
                <c:pt idx="9">
                  <c:v>0.29797354492459627</c:v>
                </c:pt>
                <c:pt idx="10">
                  <c:v>0.30194430395577204</c:v>
                </c:pt>
                <c:pt idx="11">
                  <c:v>0.28975952379147768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31D-4A1E-8EFA-C2875ED6E059}"/>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Graphs'!$AO$97:$AO$108</c:f>
              <c:numCache>
                <c:formatCode>General</c:formatCode>
                <c:ptCount val="12"/>
                <c:pt idx="0">
                  <c:v>0.1550429535205145</c:v>
                </c:pt>
                <c:pt idx="1">
                  <c:v>0.17394401956151012</c:v>
                </c:pt>
                <c:pt idx="2">
                  <c:v>0.27400960122384838</c:v>
                </c:pt>
                <c:pt idx="3">
                  <c:v>0.29951831014189062</c:v>
                </c:pt>
                <c:pt idx="4">
                  <c:v>0.3205618500841535</c:v>
                </c:pt>
                <c:pt idx="5">
                  <c:v>0.33402605191881141</c:v>
                </c:pt>
                <c:pt idx="6">
                  <c:v>0.31677625680751703</c:v>
                </c:pt>
                <c:pt idx="7">
                  <c:v>0.30823133908846712</c:v>
                </c:pt>
                <c:pt idx="8">
                  <c:v>0.30638221110826269</c:v>
                </c:pt>
                <c:pt idx="9">
                  <c:v>0.29396385688331089</c:v>
                </c:pt>
                <c:pt idx="10">
                  <c:v>0.29966695686436245</c:v>
                </c:pt>
                <c:pt idx="11">
                  <c:v>0.29474243708550224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31D-4A1E-8EFA-C2875ED6E059}"/>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Graphs'!$AO$110:$AO$121</c:f>
              <c:numCache>
                <c:formatCode>General</c:formatCode>
                <c:ptCount val="12"/>
                <c:pt idx="0">
                  <c:v>0.1636554088076953</c:v>
                </c:pt>
                <c:pt idx="1">
                  <c:v>0.17302808746391435</c:v>
                </c:pt>
                <c:pt idx="2">
                  <c:v>0.27492553332144415</c:v>
                </c:pt>
                <c:pt idx="3">
                  <c:v>0.29180158221964625</c:v>
                </c:pt>
                <c:pt idx="4">
                  <c:v>0.31282222385946923</c:v>
                </c:pt>
                <c:pt idx="5">
                  <c:v>0.32878234066007561</c:v>
                </c:pt>
                <c:pt idx="6">
                  <c:v>0.31307800084710818</c:v>
                </c:pt>
                <c:pt idx="7">
                  <c:v>0.30607077902738616</c:v>
                </c:pt>
                <c:pt idx="8">
                  <c:v>0.30651846264364618</c:v>
                </c:pt>
                <c:pt idx="9">
                  <c:v>0.29468404357033789</c:v>
                </c:pt>
                <c:pt idx="10">
                  <c:v>0.29657210056065186</c:v>
                </c:pt>
                <c:pt idx="11">
                  <c:v>0.29028506542795685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31D-4A1E-8EFA-C2875ED6E059}"/>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Graphs'!$AO$123:$AO$134</c:f>
              <c:numCache>
                <c:formatCode>General</c:formatCode>
                <c:ptCount val="12"/>
                <c:pt idx="0">
                  <c:v>0.18793908006286436</c:v>
                </c:pt>
                <c:pt idx="1">
                  <c:v>0.20971116797262501</c:v>
                </c:pt>
                <c:pt idx="2">
                  <c:v>0.30446434346890783</c:v>
                </c:pt>
                <c:pt idx="3">
                  <c:v>0.3189818672158008</c:v>
                </c:pt>
                <c:pt idx="4">
                  <c:v>0.32358442600621962</c:v>
                </c:pt>
                <c:pt idx="5">
                  <c:v>0.33024783201622882</c:v>
                </c:pt>
                <c:pt idx="6">
                  <c:v>0.31545267046379172</c:v>
                </c:pt>
                <c:pt idx="7">
                  <c:v>0.30749168789638537</c:v>
                </c:pt>
                <c:pt idx="8">
                  <c:v>0.30803669403791928</c:v>
                </c:pt>
                <c:pt idx="9">
                  <c:v>0.29289330910529782</c:v>
                </c:pt>
                <c:pt idx="10">
                  <c:v>0.30106840122830686</c:v>
                </c:pt>
                <c:pt idx="11">
                  <c:v>0.28903933710445068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31D-4A1E-8EFA-C2875ED6E059}"/>
            </c:ext>
          </c:extLst>
        </c:ser>
        <c:ser>
          <c:idx val="10"/>
          <c:order val="10"/>
          <c:tx>
            <c:strRef>
              <c:f>'2016 E Maize VWC Graphs'!$Z$136</c:f>
              <c:strCache>
                <c:ptCount val="1"/>
                <c:pt idx="0">
                  <c:v>224</c:v>
                </c:pt>
              </c:strCache>
            </c:strRef>
          </c:tx>
          <c:xVal>
            <c:numRef>
              <c:f>'2016 E Maize VWC Graphs'!$AO$136:$AO$147</c:f>
              <c:numCache>
                <c:formatCode>General</c:formatCode>
                <c:ptCount val="12"/>
                <c:pt idx="0">
                  <c:v>0.22643617975411573</c:v>
                </c:pt>
                <c:pt idx="1">
                  <c:v>0.20263559251869767</c:v>
                </c:pt>
                <c:pt idx="2">
                  <c:v>0.29029029425861325</c:v>
                </c:pt>
                <c:pt idx="3">
                  <c:v>0.3136694610497453</c:v>
                </c:pt>
                <c:pt idx="4">
                  <c:v>0.31799724021088538</c:v>
                </c:pt>
                <c:pt idx="5">
                  <c:v>0.34206335607521432</c:v>
                </c:pt>
                <c:pt idx="6">
                  <c:v>0.31952075202024144</c:v>
                </c:pt>
                <c:pt idx="7">
                  <c:v>0.31048922167482196</c:v>
                </c:pt>
                <c:pt idx="8">
                  <c:v>0.30823133908846712</c:v>
                </c:pt>
                <c:pt idx="9">
                  <c:v>0.29591030738878921</c:v>
                </c:pt>
                <c:pt idx="10">
                  <c:v>0.30568148892629049</c:v>
                </c:pt>
                <c:pt idx="11">
                  <c:v>0.29104418112509339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31D-4A1E-8EFA-C2875ED6E059}"/>
            </c:ext>
          </c:extLst>
        </c:ser>
        <c:ser>
          <c:idx val="11"/>
          <c:order val="11"/>
          <c:tx>
            <c:strRef>
              <c:f>'2016 E Maize VWC Graphs'!$Z$149</c:f>
              <c:strCache>
                <c:ptCount val="1"/>
                <c:pt idx="0">
                  <c:v>236</c:v>
                </c:pt>
              </c:strCache>
            </c:strRef>
          </c:tx>
          <c:xVal>
            <c:numRef>
              <c:f>'2016 E Maize VWC Graphs'!$AO$149:$AO$160</c:f>
              <c:numCache>
                <c:formatCode>General</c:formatCode>
                <c:ptCount val="12"/>
                <c:pt idx="0">
                  <c:v>0.27118642070064758</c:v>
                </c:pt>
                <c:pt idx="1">
                  <c:v>0.2341894532808721</c:v>
                </c:pt>
                <c:pt idx="2">
                  <c:v>0.30643359747873872</c:v>
                </c:pt>
                <c:pt idx="3">
                  <c:v>0.29390822604411648</c:v>
                </c:pt>
                <c:pt idx="4">
                  <c:v>0.28296283747784701</c:v>
                </c:pt>
                <c:pt idx="5">
                  <c:v>0.31712710471816935</c:v>
                </c:pt>
                <c:pt idx="6">
                  <c:v>0.31245513668535513</c:v>
                </c:pt>
                <c:pt idx="7">
                  <c:v>0.30015356949073202</c:v>
                </c:pt>
                <c:pt idx="8">
                  <c:v>0.29575459134835097</c:v>
                </c:pt>
                <c:pt idx="9">
                  <c:v>0.28691770605347933</c:v>
                </c:pt>
                <c:pt idx="10">
                  <c:v>0.28711235110402716</c:v>
                </c:pt>
                <c:pt idx="11">
                  <c:v>0.28384231425482354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31D-4A1E-8EFA-C2875ED6E059}"/>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Graphs'!$AO$162:$AO$173</c:f>
              <c:numCache>
                <c:formatCode>General</c:formatCode>
                <c:ptCount val="12"/>
                <c:pt idx="0">
                  <c:v>0.26345631049856771</c:v>
                </c:pt>
                <c:pt idx="1">
                  <c:v>0.22935791146605433</c:v>
                </c:pt>
                <c:pt idx="2">
                  <c:v>0.30865473281540845</c:v>
                </c:pt>
                <c:pt idx="3">
                  <c:v>0.3019455302005194</c:v>
                </c:pt>
                <c:pt idx="4">
                  <c:v>0.28186371896073209</c:v>
                </c:pt>
                <c:pt idx="5">
                  <c:v>0.31002863096180211</c:v>
                </c:pt>
                <c:pt idx="6">
                  <c:v>0.30862062918956279</c:v>
                </c:pt>
                <c:pt idx="7">
                  <c:v>0.29631906199493968</c:v>
                </c:pt>
                <c:pt idx="8">
                  <c:v>0.28898094358928633</c:v>
                </c:pt>
                <c:pt idx="9">
                  <c:v>0.28117567706231822</c:v>
                </c:pt>
                <c:pt idx="10">
                  <c:v>0.28781307328599931</c:v>
                </c:pt>
                <c:pt idx="11">
                  <c:v>0.27885940096079898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31D-4A1E-8EFA-C2875ED6E059}"/>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Graphs'!$AO$175:$AO$186</c:f>
              <c:numCache>
                <c:formatCode>General</c:formatCode>
                <c:ptCount val="12"/>
                <c:pt idx="0">
                  <c:v>0.22424949845625691</c:v>
                </c:pt>
                <c:pt idx="1">
                  <c:v>0.20996304929946386</c:v>
                </c:pt>
                <c:pt idx="2">
                  <c:v>0.30304464871763437</c:v>
                </c:pt>
                <c:pt idx="3">
                  <c:v>0.29216795505868454</c:v>
                </c:pt>
                <c:pt idx="4">
                  <c:v>0.28083329535093687</c:v>
                </c:pt>
                <c:pt idx="5">
                  <c:v>0.30728083466901479</c:v>
                </c:pt>
                <c:pt idx="6">
                  <c:v>0.3105670796950411</c:v>
                </c:pt>
                <c:pt idx="7">
                  <c:v>0.29448939851979006</c:v>
                </c:pt>
                <c:pt idx="8">
                  <c:v>0.29096632310487425</c:v>
                </c:pt>
                <c:pt idx="9">
                  <c:v>0.28158443166846864</c:v>
                </c:pt>
                <c:pt idx="10">
                  <c:v>0.28666466748776714</c:v>
                </c:pt>
                <c:pt idx="11">
                  <c:v>0.28057227740561996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31D-4A1E-8EFA-C2875ED6E059}"/>
            </c:ext>
          </c:extLst>
        </c:ser>
        <c:ser>
          <c:idx val="14"/>
          <c:order val="14"/>
          <c:tx>
            <c:strRef>
              <c:f>'2016 E Maize VWC Graphs'!$Z$188</c:f>
              <c:strCache>
                <c:ptCount val="1"/>
                <c:pt idx="0">
                  <c:v>270</c:v>
                </c:pt>
              </c:strCache>
            </c:strRef>
          </c:tx>
          <c:xVal>
            <c:numRef>
              <c:f>'2016 E Maize VWC Graphs'!$AO$188:$AO$199</c:f>
              <c:numCache>
                <c:formatCode>General</c:formatCode>
                <c:ptCount val="12"/>
                <c:pt idx="0">
                  <c:v>0.1997164688074724</c:v>
                </c:pt>
                <c:pt idx="1">
                  <c:v>0.19743767786484168</c:v>
                </c:pt>
                <c:pt idx="2">
                  <c:v>0.28857292157562114</c:v>
                </c:pt>
                <c:pt idx="3">
                  <c:v>0.29132071786840846</c:v>
                </c:pt>
                <c:pt idx="4">
                  <c:v>0.27600175353611911</c:v>
                </c:pt>
                <c:pt idx="5">
                  <c:v>0.30020525921508745</c:v>
                </c:pt>
                <c:pt idx="6">
                  <c:v>0.3091656353310967</c:v>
                </c:pt>
                <c:pt idx="7">
                  <c:v>0.29406117940858478</c:v>
                </c:pt>
                <c:pt idx="8">
                  <c:v>0.28409535282053572</c:v>
                </c:pt>
                <c:pt idx="9">
                  <c:v>0.27763313714234766</c:v>
                </c:pt>
                <c:pt idx="10">
                  <c:v>0.28409535282053572</c:v>
                </c:pt>
                <c:pt idx="11">
                  <c:v>0.27866475591025114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31D-4A1E-8EFA-C2875ED6E059}"/>
            </c:ext>
          </c:extLst>
        </c:ser>
        <c:ser>
          <c:idx val="16"/>
          <c:order val="15"/>
          <c:tx>
            <c:strRef>
              <c:f>'2016 E Maize VWC Graphs'!$Z$201</c:f>
              <c:strCache>
                <c:ptCount val="1"/>
                <c:pt idx="0">
                  <c:v>286</c:v>
                </c:pt>
              </c:strCache>
            </c:strRef>
          </c:tx>
          <c:xVal>
            <c:numRef>
              <c:f>'2016 E Maize VWC Graphs'!$AO$201:$AO$212</c:f>
              <c:numCache>
                <c:formatCode>General</c:formatCode>
                <c:ptCount val="12"/>
                <c:pt idx="0">
                  <c:v>0.18116804060545938</c:v>
                </c:pt>
                <c:pt idx="1">
                  <c:v>0.17714978190309527</c:v>
                </c:pt>
                <c:pt idx="2">
                  <c:v>0.28163473593633315</c:v>
                </c:pt>
                <c:pt idx="3">
                  <c:v>0.28637468454139126</c:v>
                </c:pt>
                <c:pt idx="4">
                  <c:v>0.2765971093995564</c:v>
                </c:pt>
                <c:pt idx="5">
                  <c:v>0.29931222541993158</c:v>
                </c:pt>
                <c:pt idx="6">
                  <c:v>0.3040075414915791</c:v>
                </c:pt>
                <c:pt idx="7">
                  <c:v>0.2866257384776576</c:v>
                </c:pt>
                <c:pt idx="8">
                  <c:v>0.28413428183064532</c:v>
                </c:pt>
                <c:pt idx="9">
                  <c:v>0.2764068733238963</c:v>
                </c:pt>
                <c:pt idx="10">
                  <c:v>0.28037763235507213</c:v>
                </c:pt>
                <c:pt idx="11">
                  <c:v>0.27453828083863707</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231D-4A1E-8EFA-C2875ED6E059}"/>
            </c:ext>
          </c:extLst>
        </c:ser>
        <c:ser>
          <c:idx val="17"/>
          <c:order val="16"/>
          <c:tx>
            <c:strRef>
              <c:f>'2016 E Maize VWC Graphs'!$Z$214</c:f>
              <c:strCache>
                <c:ptCount val="1"/>
                <c:pt idx="0">
                  <c:v>302</c:v>
                </c:pt>
              </c:strCache>
            </c:strRef>
          </c:tx>
          <c:xVal>
            <c:numRef>
              <c:f>'2016 E Maize VWC Graphs'!$AO$214:$AO$225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231D-4A1E-8EFA-C2875ED6E059}"/>
            </c:ext>
          </c:extLst>
        </c:ser>
        <c:ser>
          <c:idx val="18"/>
          <c:order val="17"/>
          <c:tx>
            <c:strRef>
              <c:f>'2016 E Maize VWC Graphs'!$Z$227</c:f>
              <c:strCache>
                <c:ptCount val="1"/>
                <c:pt idx="0">
                  <c:v>0</c:v>
                </c:pt>
              </c:strCache>
            </c:strRef>
          </c:tx>
          <c:xVal>
            <c:numRef>
              <c:f>'2016 E Maize VWC Graphs'!$AO$227:$AO$238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231D-4A1E-8EFA-C2875ED6E059}"/>
            </c:ext>
          </c:extLst>
        </c:ser>
        <c:ser>
          <c:idx val="19"/>
          <c:order val="18"/>
          <c:tx>
            <c:strRef>
              <c:f>'2016 E Maize VWC Graphs'!$Z$240</c:f>
              <c:strCache>
                <c:ptCount val="1"/>
                <c:pt idx="0">
                  <c:v>0</c:v>
                </c:pt>
              </c:strCache>
            </c:strRef>
          </c:tx>
          <c:xVal>
            <c:numRef>
              <c:f>'2016 E Maize VWC Graphs'!$AO$240:$AO$251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231D-4A1E-8EFA-C2875ED6E059}"/>
            </c:ext>
          </c:extLst>
        </c:ser>
        <c:ser>
          <c:idx val="20"/>
          <c:order val="19"/>
          <c:tx>
            <c:strRef>
              <c:f>'2016 E Maize VWC Graphs'!$Z$253</c:f>
              <c:strCache>
                <c:ptCount val="1"/>
                <c:pt idx="0">
                  <c:v>0</c:v>
                </c:pt>
              </c:strCache>
            </c:strRef>
          </c:tx>
          <c:xVal>
            <c:numRef>
              <c:f>'2016 E Maize VWC Graphs'!$AO$253:$AO$264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231D-4A1E-8EFA-C2875ED6E059}"/>
            </c:ext>
          </c:extLst>
        </c:ser>
        <c:ser>
          <c:idx val="21"/>
          <c:order val="20"/>
          <c:tx>
            <c:strRef>
              <c:f>'2016 E Maize VWC Graphs'!$Z$266</c:f>
              <c:strCache>
                <c:ptCount val="1"/>
                <c:pt idx="0">
                  <c:v>0</c:v>
                </c:pt>
              </c:strCache>
            </c:strRef>
          </c:tx>
          <c:xVal>
            <c:numRef>
              <c:f>'2016 E Maize VWC Graphs'!$AO$266:$AO$277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231D-4A1E-8EFA-C2875ED6E059}"/>
            </c:ext>
          </c:extLst>
        </c:ser>
        <c:ser>
          <c:idx val="22"/>
          <c:order val="21"/>
          <c:tx>
            <c:strRef>
              <c:f>'2016 E Maize VWC Graphs'!$Z$279</c:f>
              <c:strCache>
                <c:ptCount val="1"/>
                <c:pt idx="0">
                  <c:v>0</c:v>
                </c:pt>
              </c:strCache>
            </c:strRef>
          </c:tx>
          <c:xVal>
            <c:numRef>
              <c:f>'2016 E Maize VWC Graphs'!$AO$279:$AO$290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231D-4A1E-8EFA-C2875ED6E059}"/>
            </c:ext>
          </c:extLst>
        </c:ser>
        <c:ser>
          <c:idx val="23"/>
          <c:order val="22"/>
          <c:tx>
            <c:strRef>
              <c:f>'2016 E Maize VWC Graphs'!$Z$292</c:f>
              <c:strCache>
                <c:ptCount val="1"/>
                <c:pt idx="0">
                  <c:v>0</c:v>
                </c:pt>
              </c:strCache>
            </c:strRef>
          </c:tx>
          <c:xVal>
            <c:numRef>
              <c:f>'2016 E Maize VWC Graphs'!$AO$292:$AO$303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231D-4A1E-8EFA-C2875ED6E059}"/>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231D-4A1E-8EFA-C2875ED6E05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328064148568891"/>
          <c:y val="0.11891808978423153"/>
          <c:w val="0.11900647948164149"/>
          <c:h val="0.7382247673586256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Graphs'!$AP$6:$AP$17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EC6-4C19-8968-E9E23237EFD0}"/>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Graphs'!$AP$19:$AP$30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EC6-4C19-8968-E9E23237EFD0}"/>
            </c:ext>
          </c:extLst>
        </c:ser>
        <c:ser>
          <c:idx val="0"/>
          <c:order val="2"/>
          <c:tx>
            <c:strRef>
              <c:f>'2016 E Maize VWC Graphs'!$Z$32</c:f>
              <c:strCache>
                <c:ptCount val="1"/>
                <c:pt idx="0">
                  <c:v>161</c:v>
                </c:pt>
              </c:strCache>
            </c:strRef>
          </c:tx>
          <c:xVal>
            <c:numRef>
              <c:f>'2016 E Maize VWC Graphs'!$AP$32:$AP$43</c:f>
              <c:numCache>
                <c:formatCode>General</c:formatCode>
                <c:ptCount val="12"/>
                <c:pt idx="0">
                  <c:v>0.18556058461607056</c:v>
                </c:pt>
                <c:pt idx="1">
                  <c:v>0.17666891755185749</c:v>
                </c:pt>
                <c:pt idx="2">
                  <c:v>0.29926642881505183</c:v>
                </c:pt>
                <c:pt idx="3">
                  <c:v>0.3407581528361403</c:v>
                </c:pt>
                <c:pt idx="4">
                  <c:v>0.32530179868921166</c:v>
                </c:pt>
                <c:pt idx="5">
                  <c:v>0.3222334261622658</c:v>
                </c:pt>
                <c:pt idx="6">
                  <c:v>0.3143237291706143</c:v>
                </c:pt>
                <c:pt idx="7">
                  <c:v>0.29929713126832153</c:v>
                </c:pt>
                <c:pt idx="8">
                  <c:v>0.32362776258680076</c:v>
                </c:pt>
                <c:pt idx="9">
                  <c:v>0.29314634767101</c:v>
                </c:pt>
                <c:pt idx="10">
                  <c:v>0.26223671364401402</c:v>
                </c:pt>
                <c:pt idx="11">
                  <c:v>0.26842642625143509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EC6-4C19-8968-E9E23237EFD0}"/>
            </c:ext>
          </c:extLst>
        </c:ser>
        <c:ser>
          <c:idx val="1"/>
          <c:order val="3"/>
          <c:tx>
            <c:strRef>
              <c:f>'2016 E Maize VWC Graphs'!$Z$45</c:f>
              <c:strCache>
                <c:ptCount val="1"/>
                <c:pt idx="0">
                  <c:v>167</c:v>
                </c:pt>
              </c:strCache>
            </c:strRef>
          </c:tx>
          <c:marker>
            <c:symbol val="square"/>
            <c:size val="5"/>
          </c:marker>
          <c:xVal>
            <c:numRef>
              <c:f>'2016 E Maize VWC Graphs'!$AP$45:$AP$56</c:f>
              <c:numCache>
                <c:formatCode>General</c:formatCode>
                <c:ptCount val="12"/>
                <c:pt idx="0">
                  <c:v>0.18784317298839687</c:v>
                </c:pt>
                <c:pt idx="1">
                  <c:v>0.18756850951324722</c:v>
                </c:pt>
                <c:pt idx="2">
                  <c:v>0.30650229238605842</c:v>
                </c:pt>
                <c:pt idx="3">
                  <c:v>0.35206991424144812</c:v>
                </c:pt>
                <c:pt idx="4">
                  <c:v>0.33393445870905181</c:v>
                </c:pt>
                <c:pt idx="5">
                  <c:v>0.33260635716753795</c:v>
                </c:pt>
                <c:pt idx="6">
                  <c:v>0.31615339264576398</c:v>
                </c:pt>
                <c:pt idx="7">
                  <c:v>0.30429950906740083</c:v>
                </c:pt>
                <c:pt idx="8">
                  <c:v>0.32084433836396675</c:v>
                </c:pt>
                <c:pt idx="9">
                  <c:v>0.30147715583445728</c:v>
                </c:pt>
                <c:pt idx="10">
                  <c:v>0.27397381019204836</c:v>
                </c:pt>
                <c:pt idx="11">
                  <c:v>0.27854796887992245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EC6-4C19-8968-E9E23237EFD0}"/>
            </c:ext>
          </c:extLst>
        </c:ser>
        <c:ser>
          <c:idx val="2"/>
          <c:order val="4"/>
          <c:tx>
            <c:strRef>
              <c:f>'2016 E Maize VWC Graphs'!$Z$58</c:f>
              <c:strCache>
                <c:ptCount val="1"/>
                <c:pt idx="0">
                  <c:v>173</c:v>
                </c:pt>
              </c:strCache>
            </c:strRef>
          </c:tx>
          <c:marker>
            <c:spPr>
              <a:solidFill>
                <a:srgbClr val="00B050"/>
              </a:solidFill>
            </c:spPr>
          </c:marker>
          <c:xVal>
            <c:numRef>
              <c:f>'2016 E Maize VWC Graphs'!$AP$58:$AP$69</c:f>
              <c:numCache>
                <c:formatCode>General</c:formatCode>
                <c:ptCount val="12"/>
                <c:pt idx="0">
                  <c:v>0.18157085031822284</c:v>
                </c:pt>
                <c:pt idx="1">
                  <c:v>0.18875922124012173</c:v>
                </c:pt>
                <c:pt idx="2">
                  <c:v>0.3155471218498167</c:v>
                </c:pt>
                <c:pt idx="3">
                  <c:v>0.34242972891425266</c:v>
                </c:pt>
                <c:pt idx="4">
                  <c:v>0.33361388247489326</c:v>
                </c:pt>
                <c:pt idx="5">
                  <c:v>0.33246896735289855</c:v>
                </c:pt>
                <c:pt idx="6">
                  <c:v>0.31928717795958406</c:v>
                </c:pt>
                <c:pt idx="7">
                  <c:v>0.31220209811964289</c:v>
                </c:pt>
                <c:pt idx="8">
                  <c:v>0.32226524723296596</c:v>
                </c:pt>
                <c:pt idx="9">
                  <c:v>0.30241145207708686</c:v>
                </c:pt>
                <c:pt idx="10">
                  <c:v>0.27969637467815467</c:v>
                </c:pt>
                <c:pt idx="11">
                  <c:v>0.2836282046992209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EC6-4C19-8968-E9E23237EFD0}"/>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Graphs'!$AP$71:$AP$82</c:f>
              <c:numCache>
                <c:formatCode>General</c:formatCode>
                <c:ptCount val="12"/>
                <c:pt idx="0">
                  <c:v>0.16693543075448353</c:v>
                </c:pt>
                <c:pt idx="1">
                  <c:v>0.1662272916392657</c:v>
                </c:pt>
                <c:pt idx="2">
                  <c:v>0.27050616095054447</c:v>
                </c:pt>
                <c:pt idx="3">
                  <c:v>0.34025439018246267</c:v>
                </c:pt>
                <c:pt idx="4">
                  <c:v>0.3306828997625868</c:v>
                </c:pt>
                <c:pt idx="5">
                  <c:v>0.32864495084543621</c:v>
                </c:pt>
                <c:pt idx="6">
                  <c:v>0.31268871074601251</c:v>
                </c:pt>
                <c:pt idx="7">
                  <c:v>0.30836759062385055</c:v>
                </c:pt>
                <c:pt idx="8">
                  <c:v>0.32142827351561021</c:v>
                </c:pt>
                <c:pt idx="9">
                  <c:v>0.30443576060278432</c:v>
                </c:pt>
                <c:pt idx="10">
                  <c:v>0.27885940096079898</c:v>
                </c:pt>
                <c:pt idx="11">
                  <c:v>0.28720967362930105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EC6-4C19-8968-E9E23237EFD0}"/>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Graphs'!$AP$84:$AP$95</c:f>
              <c:numCache>
                <c:formatCode>General</c:formatCode>
                <c:ptCount val="12"/>
                <c:pt idx="0">
                  <c:v>0.15170538732904576</c:v>
                </c:pt>
                <c:pt idx="1">
                  <c:v>0.15578566572667385</c:v>
                </c:pt>
                <c:pt idx="2">
                  <c:v>0.25491241698897643</c:v>
                </c:pt>
                <c:pt idx="3">
                  <c:v>0.30989124114716277</c:v>
                </c:pt>
                <c:pt idx="4">
                  <c:v>0.32266849390862379</c:v>
                </c:pt>
                <c:pt idx="5">
                  <c:v>0.32667569683560527</c:v>
                </c:pt>
                <c:pt idx="6">
                  <c:v>0.31562785100928481</c:v>
                </c:pt>
                <c:pt idx="7">
                  <c:v>0.30937974488669934</c:v>
                </c:pt>
                <c:pt idx="8">
                  <c:v>0.3216229185661581</c:v>
                </c:pt>
                <c:pt idx="9">
                  <c:v>0.30472772817860611</c:v>
                </c:pt>
                <c:pt idx="10">
                  <c:v>0.27673776990982762</c:v>
                </c:pt>
                <c:pt idx="11">
                  <c:v>0.29349670876199607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EC6-4C19-8968-E9E23237EFD0}"/>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Graphs'!$AP$97:$AP$108</c:f>
              <c:numCache>
                <c:formatCode>General</c:formatCode>
                <c:ptCount val="12"/>
                <c:pt idx="0">
                  <c:v>0.1417118701695331</c:v>
                </c:pt>
                <c:pt idx="1">
                  <c:v>0.16347949534647838</c:v>
                </c:pt>
                <c:pt idx="2">
                  <c:v>0.27547509258000158</c:v>
                </c:pt>
                <c:pt idx="3">
                  <c:v>0.30318203853227371</c:v>
                </c:pt>
                <c:pt idx="4">
                  <c:v>0.32051605347927375</c:v>
                </c:pt>
                <c:pt idx="5">
                  <c:v>0.32564527322581005</c:v>
                </c:pt>
                <c:pt idx="6">
                  <c:v>0.31630910868620221</c:v>
                </c:pt>
                <c:pt idx="7">
                  <c:v>0.30535059234035916</c:v>
                </c:pt>
                <c:pt idx="8">
                  <c:v>0.31944289400002235</c:v>
                </c:pt>
                <c:pt idx="9">
                  <c:v>0.30429950906740083</c:v>
                </c:pt>
                <c:pt idx="10">
                  <c:v>0.2748497129195136</c:v>
                </c:pt>
                <c:pt idx="11">
                  <c:v>0.28682038352820538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EC6-4C19-8968-E9E23237EFD0}"/>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Graphs'!$AP$110:$AP$121</c:f>
              <c:numCache>
                <c:formatCode>General</c:formatCode>
                <c:ptCount val="12"/>
                <c:pt idx="0">
                  <c:v>0.14504943636100182</c:v>
                </c:pt>
                <c:pt idx="1">
                  <c:v>0.16583802049778751</c:v>
                </c:pt>
                <c:pt idx="2">
                  <c:v>0.28133705800461456</c:v>
                </c:pt>
                <c:pt idx="3">
                  <c:v>0.30563215689334239</c:v>
                </c:pt>
                <c:pt idx="4">
                  <c:v>0.31284512216190913</c:v>
                </c:pt>
                <c:pt idx="5">
                  <c:v>0.32466064622089458</c:v>
                </c:pt>
                <c:pt idx="6">
                  <c:v>0.3120853110893142</c:v>
                </c:pt>
                <c:pt idx="7">
                  <c:v>0.30455254763311307</c:v>
                </c:pt>
                <c:pt idx="8">
                  <c:v>0.31901467488881707</c:v>
                </c:pt>
                <c:pt idx="9">
                  <c:v>0.30114625924852595</c:v>
                </c:pt>
                <c:pt idx="10">
                  <c:v>0.27455774534369187</c:v>
                </c:pt>
                <c:pt idx="11">
                  <c:v>0.28491286203283661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EC6-4C19-8968-E9E23237EFD0}"/>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Graphs'!$AP$123:$AP$134</c:f>
              <c:numCache>
                <c:formatCode>General</c:formatCode>
                <c:ptCount val="12"/>
                <c:pt idx="0">
                  <c:v>0.14435890542483587</c:v>
                </c:pt>
                <c:pt idx="1">
                  <c:v>0.20794799868475317</c:v>
                </c:pt>
                <c:pt idx="2">
                  <c:v>0.31197498666919316</c:v>
                </c:pt>
                <c:pt idx="3">
                  <c:v>0.33157593355774267</c:v>
                </c:pt>
                <c:pt idx="4">
                  <c:v>0.32134039236710993</c:v>
                </c:pt>
                <c:pt idx="5">
                  <c:v>0.3221189346500663</c:v>
                </c:pt>
                <c:pt idx="6">
                  <c:v>0.31358407797853255</c:v>
                </c:pt>
                <c:pt idx="7">
                  <c:v>0.30167180088500511</c:v>
                </c:pt>
                <c:pt idx="8">
                  <c:v>0.31695143735301007</c:v>
                </c:pt>
                <c:pt idx="9">
                  <c:v>0.30239198757203212</c:v>
                </c:pt>
                <c:pt idx="10">
                  <c:v>0.27664044738455368</c:v>
                </c:pt>
                <c:pt idx="11">
                  <c:v>0.28485446851767227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EC6-4C19-8968-E9E23237EFD0}"/>
            </c:ext>
          </c:extLst>
        </c:ser>
        <c:ser>
          <c:idx val="10"/>
          <c:order val="10"/>
          <c:tx>
            <c:strRef>
              <c:f>'2016 E Maize VWC Graphs'!$Z$136</c:f>
              <c:strCache>
                <c:ptCount val="1"/>
                <c:pt idx="0">
                  <c:v>224</c:v>
                </c:pt>
              </c:strCache>
            </c:strRef>
          </c:tx>
          <c:xVal>
            <c:numRef>
              <c:f>'2016 E Maize VWC Graphs'!$AP$136:$AP$147</c:f>
              <c:numCache>
                <c:formatCode>General</c:formatCode>
                <c:ptCount val="12"/>
                <c:pt idx="0">
                  <c:v>0.20740821617976524</c:v>
                </c:pt>
                <c:pt idx="1">
                  <c:v>0.19910925394295398</c:v>
                </c:pt>
                <c:pt idx="2">
                  <c:v>0.28078749874605707</c:v>
                </c:pt>
                <c:pt idx="3">
                  <c:v>0.3223479176744653</c:v>
                </c:pt>
                <c:pt idx="4">
                  <c:v>0.30496810612258551</c:v>
                </c:pt>
                <c:pt idx="5">
                  <c:v>0.31520364731321826</c:v>
                </c:pt>
                <c:pt idx="6">
                  <c:v>0.31691250834290047</c:v>
                </c:pt>
                <c:pt idx="7">
                  <c:v>0.31253299470557422</c:v>
                </c:pt>
                <c:pt idx="8">
                  <c:v>0.32789048919379832</c:v>
                </c:pt>
                <c:pt idx="9">
                  <c:v>0.30089322068281377</c:v>
                </c:pt>
                <c:pt idx="10">
                  <c:v>0.27463560336391102</c:v>
                </c:pt>
                <c:pt idx="11">
                  <c:v>0.28004673576914074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EC6-4C19-8968-E9E23237EFD0}"/>
            </c:ext>
          </c:extLst>
        </c:ser>
        <c:ser>
          <c:idx val="11"/>
          <c:order val="11"/>
          <c:tx>
            <c:strRef>
              <c:f>'2016 E Maize VWC Graphs'!$Z$149</c:f>
              <c:strCache>
                <c:ptCount val="1"/>
                <c:pt idx="0">
                  <c:v>236</c:v>
                </c:pt>
              </c:strCache>
            </c:strRef>
          </c:tx>
          <c:xVal>
            <c:numRef>
              <c:f>'2016 E Maize VWC Graphs'!$AP$149:$AP$160</c:f>
              <c:numCache>
                <c:formatCode>General</c:formatCode>
                <c:ptCount val="12"/>
                <c:pt idx="0">
                  <c:v>0.26899973940278876</c:v>
                </c:pt>
                <c:pt idx="1">
                  <c:v>0.21852701441198435</c:v>
                </c:pt>
                <c:pt idx="2">
                  <c:v>0.31163151213259471</c:v>
                </c:pt>
                <c:pt idx="3">
                  <c:v>0.31671493527425126</c:v>
                </c:pt>
                <c:pt idx="4">
                  <c:v>0.29285490413188142</c:v>
                </c:pt>
                <c:pt idx="5">
                  <c:v>0.30899820735200689</c:v>
                </c:pt>
                <c:pt idx="6">
                  <c:v>0.30867902270472708</c:v>
                </c:pt>
                <c:pt idx="7">
                  <c:v>0.29668888759098055</c:v>
                </c:pt>
                <c:pt idx="8">
                  <c:v>0.31716554690861265</c:v>
                </c:pt>
                <c:pt idx="9">
                  <c:v>0.29565726882307708</c:v>
                </c:pt>
                <c:pt idx="10">
                  <c:v>0.27066484433273519</c:v>
                </c:pt>
                <c:pt idx="11">
                  <c:v>0.28049441938540076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EC6-4C19-8968-E9E23237EFD0}"/>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Graphs'!$AP$162:$AP$173</c:f>
              <c:numCache>
                <c:formatCode>General</c:formatCode>
                <c:ptCount val="12"/>
                <c:pt idx="0">
                  <c:v>0.25960084610497458</c:v>
                </c:pt>
                <c:pt idx="1">
                  <c:v>0.23222019927104115</c:v>
                </c:pt>
                <c:pt idx="2">
                  <c:v>0.30389188590791044</c:v>
                </c:pt>
                <c:pt idx="3">
                  <c:v>0.32008098573291571</c:v>
                </c:pt>
                <c:pt idx="4">
                  <c:v>0.28268805784856832</c:v>
                </c:pt>
                <c:pt idx="5">
                  <c:v>0.29999917449312841</c:v>
                </c:pt>
                <c:pt idx="6">
                  <c:v>0.30819241007835751</c:v>
                </c:pt>
                <c:pt idx="7">
                  <c:v>0.29511226268154311</c:v>
                </c:pt>
                <c:pt idx="8">
                  <c:v>0.31286389129150555</c:v>
                </c:pt>
                <c:pt idx="9">
                  <c:v>0.29121936167058643</c:v>
                </c:pt>
                <c:pt idx="10">
                  <c:v>0.26328779691697229</c:v>
                </c:pt>
                <c:pt idx="11">
                  <c:v>0.27327308801007616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EC6-4C19-8968-E9E23237EFD0}"/>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Graphs'!$AP$175:$AP$186</c:f>
              <c:numCache>
                <c:formatCode>General</c:formatCode>
                <c:ptCount val="12"/>
                <c:pt idx="0">
                  <c:v>0.2255538346690148</c:v>
                </c:pt>
                <c:pt idx="1">
                  <c:v>0.21399315052888523</c:v>
                </c:pt>
                <c:pt idx="2">
                  <c:v>0.29480125983927241</c:v>
                </c:pt>
                <c:pt idx="3">
                  <c:v>0.3190963587280003</c:v>
                </c:pt>
                <c:pt idx="4">
                  <c:v>0.28122256649241506</c:v>
                </c:pt>
                <c:pt idx="5">
                  <c:v>0.30187683529319975</c:v>
                </c:pt>
                <c:pt idx="6">
                  <c:v>0.3040075414915791</c:v>
                </c:pt>
                <c:pt idx="7">
                  <c:v>0.29026560092290205</c:v>
                </c:pt>
                <c:pt idx="8">
                  <c:v>0.31045029266471241</c:v>
                </c:pt>
                <c:pt idx="9">
                  <c:v>0.29199794187277778</c:v>
                </c:pt>
                <c:pt idx="10">
                  <c:v>0.26258707473500009</c:v>
                </c:pt>
                <c:pt idx="11">
                  <c:v>0.2733120170201857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EC6-4C19-8968-E9E23237EFD0}"/>
            </c:ext>
          </c:extLst>
        </c:ser>
        <c:ser>
          <c:idx val="14"/>
          <c:order val="14"/>
          <c:tx>
            <c:strRef>
              <c:f>'2016 E Maize VWC Graphs'!$Z$188</c:f>
              <c:strCache>
                <c:ptCount val="1"/>
                <c:pt idx="0">
                  <c:v>270</c:v>
                </c:pt>
              </c:strCache>
            </c:strRef>
          </c:tx>
          <c:xVal>
            <c:numRef>
              <c:f>'2016 E Maize VWC Graphs'!$AP$188:$AP$199</c:f>
              <c:numCache>
                <c:formatCode>General</c:formatCode>
                <c:ptCount val="12"/>
                <c:pt idx="0">
                  <c:v>0.1749148993501789</c:v>
                </c:pt>
                <c:pt idx="1">
                  <c:v>0.20080372832350613</c:v>
                </c:pt>
                <c:pt idx="2">
                  <c:v>0.28784017589754451</c:v>
                </c:pt>
                <c:pt idx="3">
                  <c:v>0.31717290132304915</c:v>
                </c:pt>
                <c:pt idx="4">
                  <c:v>0.28028373609237939</c:v>
                </c:pt>
                <c:pt idx="5">
                  <c:v>0.2900155146293345</c:v>
                </c:pt>
                <c:pt idx="6">
                  <c:v>0.30538952135046871</c:v>
                </c:pt>
                <c:pt idx="7">
                  <c:v>0.2917449033070656</c:v>
                </c:pt>
                <c:pt idx="8">
                  <c:v>0.30891259676538452</c:v>
                </c:pt>
                <c:pt idx="9">
                  <c:v>0.29092739409476465</c:v>
                </c:pt>
                <c:pt idx="10">
                  <c:v>0.25980365051216608</c:v>
                </c:pt>
                <c:pt idx="11">
                  <c:v>0.27120985047426915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EC6-4C19-8968-E9E23237EFD0}"/>
            </c:ext>
          </c:extLst>
        </c:ser>
        <c:ser>
          <c:idx val="16"/>
          <c:order val="15"/>
          <c:tx>
            <c:strRef>
              <c:f>'2016 E Maize VWC Graphs'!$Z$201</c:f>
              <c:strCache>
                <c:ptCount val="1"/>
                <c:pt idx="0">
                  <c:v>286</c:v>
                </c:pt>
              </c:strCache>
            </c:strRef>
          </c:tx>
          <c:xVal>
            <c:numRef>
              <c:f>'2016 E Maize VWC Graphs'!$AP$201:$AP$212</c:f>
              <c:numCache>
                <c:formatCode>General</c:formatCode>
                <c:ptCount val="12"/>
                <c:pt idx="0">
                  <c:v>0.14808009991417459</c:v>
                </c:pt>
                <c:pt idx="1">
                  <c:v>0.18454593359118121</c:v>
                </c:pt>
                <c:pt idx="2">
                  <c:v>0.2866036675657902</c:v>
                </c:pt>
                <c:pt idx="3">
                  <c:v>0.31479147786930012</c:v>
                </c:pt>
                <c:pt idx="4">
                  <c:v>0.27623073656051811</c:v>
                </c:pt>
                <c:pt idx="5">
                  <c:v>0.29333576848311915</c:v>
                </c:pt>
                <c:pt idx="6">
                  <c:v>0.30210001999621033</c:v>
                </c:pt>
                <c:pt idx="7">
                  <c:v>0.28896147908423159</c:v>
                </c:pt>
                <c:pt idx="8">
                  <c:v>0.30679096571441311</c:v>
                </c:pt>
                <c:pt idx="9">
                  <c:v>0.28865004700335506</c:v>
                </c:pt>
                <c:pt idx="10">
                  <c:v>0.2602318696233713</c:v>
                </c:pt>
                <c:pt idx="11">
                  <c:v>0.27222200473711788</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DEC6-4C19-8968-E9E23237EFD0}"/>
            </c:ext>
          </c:extLst>
        </c:ser>
        <c:ser>
          <c:idx val="17"/>
          <c:order val="16"/>
          <c:tx>
            <c:strRef>
              <c:f>'2016 E Maize VWC Graphs'!$Z$214</c:f>
              <c:strCache>
                <c:ptCount val="1"/>
                <c:pt idx="0">
                  <c:v>302</c:v>
                </c:pt>
              </c:strCache>
            </c:strRef>
          </c:tx>
          <c:xVal>
            <c:numRef>
              <c:f>'2016 E Maize VWC Graphs'!$AP$214:$AP$225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DEC6-4C19-8968-E9E23237EFD0}"/>
            </c:ext>
          </c:extLst>
        </c:ser>
        <c:ser>
          <c:idx val="18"/>
          <c:order val="17"/>
          <c:tx>
            <c:strRef>
              <c:f>'2016 E Maize VWC Graphs'!$Z$227</c:f>
              <c:strCache>
                <c:ptCount val="1"/>
                <c:pt idx="0">
                  <c:v>0</c:v>
                </c:pt>
              </c:strCache>
            </c:strRef>
          </c:tx>
          <c:xVal>
            <c:numRef>
              <c:f>'2016 E Maize VWC Graphs'!$AP$227:$AP$238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DEC6-4C19-8968-E9E23237EFD0}"/>
            </c:ext>
          </c:extLst>
        </c:ser>
        <c:ser>
          <c:idx val="19"/>
          <c:order val="18"/>
          <c:tx>
            <c:strRef>
              <c:f>'2016 E Maize VWC Graphs'!$Z$240</c:f>
              <c:strCache>
                <c:ptCount val="1"/>
                <c:pt idx="0">
                  <c:v>0</c:v>
                </c:pt>
              </c:strCache>
            </c:strRef>
          </c:tx>
          <c:xVal>
            <c:numRef>
              <c:f>'2016 E Maize VWC Graphs'!$AP$240:$AP$251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DEC6-4C19-8968-E9E23237EFD0}"/>
            </c:ext>
          </c:extLst>
        </c:ser>
        <c:ser>
          <c:idx val="20"/>
          <c:order val="19"/>
          <c:tx>
            <c:strRef>
              <c:f>'2016 E Maize VWC Graphs'!$Z$253</c:f>
              <c:strCache>
                <c:ptCount val="1"/>
                <c:pt idx="0">
                  <c:v>0</c:v>
                </c:pt>
              </c:strCache>
            </c:strRef>
          </c:tx>
          <c:xVal>
            <c:numRef>
              <c:f>'2016 E Maize VWC Graphs'!$AP$253:$AP$264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DEC6-4C19-8968-E9E23237EFD0}"/>
            </c:ext>
          </c:extLst>
        </c:ser>
        <c:ser>
          <c:idx val="21"/>
          <c:order val="20"/>
          <c:tx>
            <c:strRef>
              <c:f>'2016 E Maize VWC Graphs'!$Z$266</c:f>
              <c:strCache>
                <c:ptCount val="1"/>
                <c:pt idx="0">
                  <c:v>0</c:v>
                </c:pt>
              </c:strCache>
            </c:strRef>
          </c:tx>
          <c:xVal>
            <c:numRef>
              <c:f>'2016 E Maize VWC Graphs'!$AP$266:$AP$277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DEC6-4C19-8968-E9E23237EFD0}"/>
            </c:ext>
          </c:extLst>
        </c:ser>
        <c:ser>
          <c:idx val="22"/>
          <c:order val="21"/>
          <c:tx>
            <c:strRef>
              <c:f>'2016 E Maize VWC Graphs'!$Z$279</c:f>
              <c:strCache>
                <c:ptCount val="1"/>
                <c:pt idx="0">
                  <c:v>0</c:v>
                </c:pt>
              </c:strCache>
            </c:strRef>
          </c:tx>
          <c:xVal>
            <c:numRef>
              <c:f>'2016 E Maize VWC Graphs'!$AP$279:$AP$290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DEC6-4C19-8968-E9E23237EFD0}"/>
            </c:ext>
          </c:extLst>
        </c:ser>
        <c:ser>
          <c:idx val="23"/>
          <c:order val="22"/>
          <c:tx>
            <c:strRef>
              <c:f>'2016 E Maize VWC Graphs'!$Z$292</c:f>
              <c:strCache>
                <c:ptCount val="1"/>
                <c:pt idx="0">
                  <c:v>0</c:v>
                </c:pt>
              </c:strCache>
            </c:strRef>
          </c:tx>
          <c:xVal>
            <c:numRef>
              <c:f>'2016 E Maize VWC Graphs'!$AP$292:$AP$303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DEC6-4C19-8968-E9E23237EFD0}"/>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DEC6-4C19-8968-E9E23237EFD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11458908545522721"/>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Graphs'!$AQ$6:$AQ$17</c:f>
              <c:numCache>
                <c:formatCode>General</c:formatCode>
                <c:ptCount val="12"/>
                <c:pt idx="0">
                  <c:v>0.27043834551980117</c:v>
                </c:pt>
                <c:pt idx="1">
                  <c:v>0.34978008399745869</c:v>
                </c:pt>
                <c:pt idx="2">
                  <c:v>0.34039177999710202</c:v>
                </c:pt>
                <c:pt idx="3">
                  <c:v>0.3239050022403781</c:v>
                </c:pt>
                <c:pt idx="4">
                  <c:v>0.3206076466890333</c:v>
                </c:pt>
                <c:pt idx="5">
                  <c:v>0.31994359591827637</c:v>
                </c:pt>
                <c:pt idx="6">
                  <c:v>0.2967667456111997</c:v>
                </c:pt>
                <c:pt idx="7">
                  <c:v>0.33647433592295778</c:v>
                </c:pt>
                <c:pt idx="8">
                  <c:v>0.32479563289008778</c:v>
                </c:pt>
                <c:pt idx="9">
                  <c:v>0.33020676529531756</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6978-49A6-91C7-A68021D839F1}"/>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Graphs'!$AQ$19:$AQ$30</c:f>
              <c:numCache>
                <c:formatCode>General</c:formatCode>
                <c:ptCount val="12"/>
                <c:pt idx="0">
                  <c:v>0.23056018395621791</c:v>
                </c:pt>
                <c:pt idx="1">
                  <c:v>0.35060442288529486</c:v>
                </c:pt>
                <c:pt idx="2">
                  <c:v>0.33839962768483117</c:v>
                </c:pt>
                <c:pt idx="3">
                  <c:v>0.31879868079628165</c:v>
                </c:pt>
                <c:pt idx="4">
                  <c:v>0.33320171303097518</c:v>
                </c:pt>
                <c:pt idx="5">
                  <c:v>0.32365312091353926</c:v>
                </c:pt>
                <c:pt idx="6">
                  <c:v>0.30034821454127986</c:v>
                </c:pt>
                <c:pt idx="7">
                  <c:v>0.33374930521528812</c:v>
                </c:pt>
                <c:pt idx="8">
                  <c:v>0.33633808438757429</c:v>
                </c:pt>
                <c:pt idx="9">
                  <c:v>0.32843549533533228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6978-49A6-91C7-A68021D839F1}"/>
            </c:ext>
          </c:extLst>
        </c:ser>
        <c:ser>
          <c:idx val="0"/>
          <c:order val="2"/>
          <c:tx>
            <c:strRef>
              <c:f>'2016 E Maize VWC Graphs'!$Z$32</c:f>
              <c:strCache>
                <c:ptCount val="1"/>
                <c:pt idx="0">
                  <c:v>161</c:v>
                </c:pt>
              </c:strCache>
            </c:strRef>
          </c:tx>
          <c:xVal>
            <c:numRef>
              <c:f>'2016 E Maize VWC Graphs'!$AQ$32:$AQ$43</c:f>
              <c:numCache>
                <c:formatCode>General</c:formatCode>
                <c:ptCount val="12"/>
                <c:pt idx="0">
                  <c:v>0.22373160025413247</c:v>
                </c:pt>
                <c:pt idx="1">
                  <c:v>0.336064000835962</c:v>
                </c:pt>
                <c:pt idx="2">
                  <c:v>0.33672805160671893</c:v>
                </c:pt>
                <c:pt idx="3">
                  <c:v>0.32875944235763571</c:v>
                </c:pt>
                <c:pt idx="4">
                  <c:v>0.32365312091353926</c:v>
                </c:pt>
                <c:pt idx="5">
                  <c:v>0.33132405223090389</c:v>
                </c:pt>
                <c:pt idx="6">
                  <c:v>0.29980320839974589</c:v>
                </c:pt>
                <c:pt idx="7">
                  <c:v>0.33939401168117528</c:v>
                </c:pt>
                <c:pt idx="8">
                  <c:v>0.32646958032479911</c:v>
                </c:pt>
                <c:pt idx="9">
                  <c:v>0.32827977929489399</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6978-49A6-91C7-A68021D839F1}"/>
            </c:ext>
          </c:extLst>
        </c:ser>
        <c:ser>
          <c:idx val="1"/>
          <c:order val="3"/>
          <c:tx>
            <c:strRef>
              <c:f>'2016 E Maize VWC Graphs'!$Z$45</c:f>
              <c:strCache>
                <c:ptCount val="1"/>
                <c:pt idx="0">
                  <c:v>167</c:v>
                </c:pt>
              </c:strCache>
            </c:strRef>
          </c:tx>
          <c:marker>
            <c:symbol val="square"/>
            <c:size val="5"/>
          </c:marker>
          <c:xVal>
            <c:numRef>
              <c:f>'2016 E Maize VWC Graphs'!$AQ$45:$AQ$56</c:f>
              <c:numCache>
                <c:formatCode>General</c:formatCode>
                <c:ptCount val="12"/>
                <c:pt idx="0">
                  <c:v>0.22670471956262472</c:v>
                </c:pt>
                <c:pt idx="1">
                  <c:v>0.31863839267920235</c:v>
                </c:pt>
                <c:pt idx="2">
                  <c:v>0.33572052629936355</c:v>
                </c:pt>
                <c:pt idx="3">
                  <c:v>0.33368257738221296</c:v>
                </c:pt>
                <c:pt idx="4">
                  <c:v>0.33102637429918524</c:v>
                </c:pt>
                <c:pt idx="5">
                  <c:v>0.33182781488458157</c:v>
                </c:pt>
                <c:pt idx="6">
                  <c:v>0.30182751692544335</c:v>
                </c:pt>
                <c:pt idx="7">
                  <c:v>0.34021152089347617</c:v>
                </c:pt>
                <c:pt idx="8">
                  <c:v>0.33030408782059145</c:v>
                </c:pt>
                <c:pt idx="9">
                  <c:v>0.33713612909482038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6978-49A6-91C7-A68021D839F1}"/>
            </c:ext>
          </c:extLst>
        </c:ser>
        <c:ser>
          <c:idx val="2"/>
          <c:order val="4"/>
          <c:tx>
            <c:strRef>
              <c:f>'2016 E Maize VWC Graphs'!$Z$58</c:f>
              <c:strCache>
                <c:ptCount val="1"/>
                <c:pt idx="0">
                  <c:v>173</c:v>
                </c:pt>
              </c:strCache>
            </c:strRef>
          </c:tx>
          <c:marker>
            <c:spPr>
              <a:solidFill>
                <a:srgbClr val="00B050"/>
              </a:solidFill>
            </c:spPr>
          </c:marker>
          <c:xVal>
            <c:numRef>
              <c:f>'2016 E Maize VWC Graphs'!$AQ$58:$AQ$69</c:f>
              <c:numCache>
                <c:formatCode>General</c:formatCode>
                <c:ptCount val="12"/>
                <c:pt idx="0">
                  <c:v>0.19219735416922101</c:v>
                </c:pt>
                <c:pt idx="1">
                  <c:v>0.28946595537077702</c:v>
                </c:pt>
                <c:pt idx="2">
                  <c:v>0.31996649422071627</c:v>
                </c:pt>
                <c:pt idx="3">
                  <c:v>0.33304142491389593</c:v>
                </c:pt>
                <c:pt idx="4">
                  <c:v>0.33297273000657623</c:v>
                </c:pt>
                <c:pt idx="5">
                  <c:v>0.33402605191881141</c:v>
                </c:pt>
                <c:pt idx="6">
                  <c:v>0.30461094114827736</c:v>
                </c:pt>
                <c:pt idx="7">
                  <c:v>0.34118474614621536</c:v>
                </c:pt>
                <c:pt idx="8">
                  <c:v>0.3310437390126732</c:v>
                </c:pt>
                <c:pt idx="9">
                  <c:v>0.34392924135893982</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6978-49A6-91C7-A68021D839F1}"/>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Graphs'!$AQ$71:$AQ$82</c:f>
              <c:numCache>
                <c:formatCode>General</c:formatCode>
                <c:ptCount val="12"/>
                <c:pt idx="0">
                  <c:v>0.18692246507350896</c:v>
                </c:pt>
                <c:pt idx="1">
                  <c:v>0.2696589237602684</c:v>
                </c:pt>
                <c:pt idx="2">
                  <c:v>0.2898323282098153</c:v>
                </c:pt>
                <c:pt idx="3">
                  <c:v>0.31584479978153529</c:v>
                </c:pt>
                <c:pt idx="4">
                  <c:v>0.32120300255247053</c:v>
                </c:pt>
                <c:pt idx="5">
                  <c:v>0.32788930686491968</c:v>
                </c:pt>
                <c:pt idx="6">
                  <c:v>0.30595399199705747</c:v>
                </c:pt>
                <c:pt idx="7">
                  <c:v>0.34102903010577712</c:v>
                </c:pt>
                <c:pt idx="8">
                  <c:v>0.33215321580079588</c:v>
                </c:pt>
                <c:pt idx="9">
                  <c:v>0.34200225535851625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6978-49A6-91C7-A68021D839F1}"/>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Graphs'!$AQ$84:$AQ$95</c:f>
              <c:numCache>
                <c:formatCode>General</c:formatCode>
                <c:ptCount val="12"/>
                <c:pt idx="0">
                  <c:v>0.1870950978075504</c:v>
                </c:pt>
                <c:pt idx="1">
                  <c:v>0.2728188894969738</c:v>
                </c:pt>
                <c:pt idx="2">
                  <c:v>0.28023793948749964</c:v>
                </c:pt>
                <c:pt idx="3">
                  <c:v>0.29193897203428565</c:v>
                </c:pt>
                <c:pt idx="4">
                  <c:v>0.30613591954702007</c:v>
                </c:pt>
                <c:pt idx="5">
                  <c:v>0.31861549437676251</c:v>
                </c:pt>
                <c:pt idx="6">
                  <c:v>0.30165233637995031</c:v>
                </c:pt>
                <c:pt idx="7">
                  <c:v>0.34595354988463733</c:v>
                </c:pt>
                <c:pt idx="8">
                  <c:v>0.33822614137788826</c:v>
                </c:pt>
                <c:pt idx="9">
                  <c:v>0.35560794439180987</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6978-49A6-91C7-A68021D839F1}"/>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Graphs'!$AQ$97:$AQ$108</c:f>
              <c:numCache>
                <c:formatCode>General</c:formatCode>
                <c:ptCount val="12"/>
                <c:pt idx="0">
                  <c:v>0.16553518746725815</c:v>
                </c:pt>
                <c:pt idx="1">
                  <c:v>0.27206324551645733</c:v>
                </c:pt>
                <c:pt idx="2">
                  <c:v>0.2884584300634217</c:v>
                </c:pt>
                <c:pt idx="3">
                  <c:v>0.28548165074623538</c:v>
                </c:pt>
                <c:pt idx="4">
                  <c:v>0.29111463314644942</c:v>
                </c:pt>
                <c:pt idx="5">
                  <c:v>0.31666913866937152</c:v>
                </c:pt>
                <c:pt idx="6">
                  <c:v>0.30500023124937309</c:v>
                </c:pt>
                <c:pt idx="7">
                  <c:v>0.34910679970351222</c:v>
                </c:pt>
                <c:pt idx="8">
                  <c:v>0.33845971543854569</c:v>
                </c:pt>
                <c:pt idx="9">
                  <c:v>0.35062503109778531</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6978-49A6-91C7-A68021D839F1}"/>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Graphs'!$AQ$110:$AQ$121</c:f>
              <c:numCache>
                <c:formatCode>General</c:formatCode>
                <c:ptCount val="12"/>
                <c:pt idx="0">
                  <c:v>0.18256828389268476</c:v>
                </c:pt>
                <c:pt idx="1">
                  <c:v>0.27272729628721426</c:v>
                </c:pt>
                <c:pt idx="2">
                  <c:v>0.27904722776062507</c:v>
                </c:pt>
                <c:pt idx="3">
                  <c:v>0.26533114459912838</c:v>
                </c:pt>
                <c:pt idx="4">
                  <c:v>0.27208614381889723</c:v>
                </c:pt>
                <c:pt idx="5">
                  <c:v>0.31080717324475854</c:v>
                </c:pt>
                <c:pt idx="6">
                  <c:v>0.30141876231929293</c:v>
                </c:pt>
                <c:pt idx="7">
                  <c:v>0.34848393554175916</c:v>
                </c:pt>
                <c:pt idx="8">
                  <c:v>0.33546218166010905</c:v>
                </c:pt>
                <c:pt idx="9">
                  <c:v>0.35237683655271579</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6978-49A6-91C7-A68021D839F1}"/>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Graphs'!$AQ$123:$AQ$134</c:f>
              <c:numCache>
                <c:formatCode>General</c:formatCode>
                <c:ptCount val="12"/>
                <c:pt idx="0">
                  <c:v>0.20334175622234357</c:v>
                </c:pt>
                <c:pt idx="1">
                  <c:v>0.30512839423966476</c:v>
                </c:pt>
                <c:pt idx="2">
                  <c:v>0.32353862940133976</c:v>
                </c:pt>
                <c:pt idx="3">
                  <c:v>0.30350261476643225</c:v>
                </c:pt>
                <c:pt idx="4">
                  <c:v>0.30840285148856966</c:v>
                </c:pt>
                <c:pt idx="5">
                  <c:v>0.31609668110837413</c:v>
                </c:pt>
                <c:pt idx="6">
                  <c:v>0.30301485173378517</c:v>
                </c:pt>
                <c:pt idx="7">
                  <c:v>0.34698516865254081</c:v>
                </c:pt>
                <c:pt idx="8">
                  <c:v>0.33590986527636907</c:v>
                </c:pt>
                <c:pt idx="9">
                  <c:v>0.35368095839138625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6978-49A6-91C7-A68021D839F1}"/>
            </c:ext>
          </c:extLst>
        </c:ser>
        <c:ser>
          <c:idx val="10"/>
          <c:order val="10"/>
          <c:tx>
            <c:strRef>
              <c:f>'2016 E Maize VWC Graphs'!$Z$136</c:f>
              <c:strCache>
                <c:ptCount val="1"/>
                <c:pt idx="0">
                  <c:v>224</c:v>
                </c:pt>
              </c:strCache>
            </c:strRef>
          </c:tx>
          <c:xVal>
            <c:numRef>
              <c:f>'2016 E Maize VWC Graphs'!$AQ$136:$AQ$147</c:f>
              <c:numCache>
                <c:formatCode>General</c:formatCode>
                <c:ptCount val="12"/>
                <c:pt idx="0">
                  <c:v>0.27887816807294047</c:v>
                </c:pt>
                <c:pt idx="1">
                  <c:v>0.33494198401640718</c:v>
                </c:pt>
                <c:pt idx="2">
                  <c:v>0.32985856087475063</c:v>
                </c:pt>
                <c:pt idx="3">
                  <c:v>0.31142542741063567</c:v>
                </c:pt>
                <c:pt idx="4">
                  <c:v>0.31078427494231864</c:v>
                </c:pt>
                <c:pt idx="5">
                  <c:v>0.32124879915735038</c:v>
                </c:pt>
                <c:pt idx="6">
                  <c:v>0.31590035408005174</c:v>
                </c:pt>
                <c:pt idx="7">
                  <c:v>0.35916994881683517</c:v>
                </c:pt>
                <c:pt idx="8">
                  <c:v>0.34887322564285478</c:v>
                </c:pt>
                <c:pt idx="9">
                  <c:v>0.35208486897689401</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6978-49A6-91C7-A68021D839F1}"/>
            </c:ext>
          </c:extLst>
        </c:ser>
        <c:ser>
          <c:idx val="11"/>
          <c:order val="11"/>
          <c:tx>
            <c:strRef>
              <c:f>'2016 E Maize VWC Graphs'!$Z$149</c:f>
              <c:strCache>
                <c:ptCount val="1"/>
                <c:pt idx="0">
                  <c:v>236</c:v>
                </c:pt>
              </c:strCache>
            </c:strRef>
          </c:tx>
          <c:xVal>
            <c:numRef>
              <c:f>'2016 E Maize VWC Graphs'!$AQ$149:$AQ$160</c:f>
              <c:numCache>
                <c:formatCode>General</c:formatCode>
                <c:ptCount val="12"/>
                <c:pt idx="0">
                  <c:v>0.30410172865789092</c:v>
                </c:pt>
                <c:pt idx="1">
                  <c:v>0.34847488075838473</c:v>
                </c:pt>
                <c:pt idx="2">
                  <c:v>0.33938425468974665</c:v>
                </c:pt>
                <c:pt idx="3">
                  <c:v>0.31250164762531074</c:v>
                </c:pt>
                <c:pt idx="4">
                  <c:v>0.29292359903920107</c:v>
                </c:pt>
                <c:pt idx="5">
                  <c:v>0.3068686652250967</c:v>
                </c:pt>
                <c:pt idx="6">
                  <c:v>0.30500023124937309</c:v>
                </c:pt>
                <c:pt idx="7">
                  <c:v>0.3419633263484067</c:v>
                </c:pt>
                <c:pt idx="8">
                  <c:v>0.33408020180121945</c:v>
                </c:pt>
                <c:pt idx="9">
                  <c:v>0.34941823178438874</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6978-49A6-91C7-A68021D839F1}"/>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Graphs'!$AQ$162:$AQ$173</c:f>
              <c:numCache>
                <c:formatCode>General</c:formatCode>
                <c:ptCount val="12"/>
                <c:pt idx="0">
                  <c:v>0.303372834891938</c:v>
                </c:pt>
                <c:pt idx="1">
                  <c:v>0.34975718569501885</c:v>
                </c:pt>
                <c:pt idx="2">
                  <c:v>0.33084318787966605</c:v>
                </c:pt>
                <c:pt idx="3">
                  <c:v>0.32736264590880215</c:v>
                </c:pt>
                <c:pt idx="4">
                  <c:v>0.3122955629033517</c:v>
                </c:pt>
                <c:pt idx="5">
                  <c:v>0.30931878358616544</c:v>
                </c:pt>
                <c:pt idx="6">
                  <c:v>0.31749644349454398</c:v>
                </c:pt>
                <c:pt idx="7">
                  <c:v>0.30963278345241152</c:v>
                </c:pt>
                <c:pt idx="8">
                  <c:v>0.30583720496672873</c:v>
                </c:pt>
                <c:pt idx="9">
                  <c:v>0.311384588907342</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6978-49A6-91C7-A68021D839F1}"/>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Graphs'!$AQ$175:$AQ$186</c:f>
              <c:numCache>
                <c:formatCode>General</c:formatCode>
                <c:ptCount val="12"/>
                <c:pt idx="0">
                  <c:v>0.26006120006241851</c:v>
                </c:pt>
                <c:pt idx="1">
                  <c:v>0.33153013695286293</c:v>
                </c:pt>
                <c:pt idx="2">
                  <c:v>0.33620139065060134</c:v>
                </c:pt>
                <c:pt idx="3">
                  <c:v>0.32493542585017332</c:v>
                </c:pt>
                <c:pt idx="4">
                  <c:v>0.31618827431813368</c:v>
                </c:pt>
                <c:pt idx="5">
                  <c:v>0.32337834128426052</c:v>
                </c:pt>
                <c:pt idx="6">
                  <c:v>0.29853801557118498</c:v>
                </c:pt>
                <c:pt idx="7">
                  <c:v>0.34042563044907881</c:v>
                </c:pt>
                <c:pt idx="8">
                  <c:v>0.33121891955816624</c:v>
                </c:pt>
                <c:pt idx="9">
                  <c:v>0.33781738677173784</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6978-49A6-91C7-A68021D839F1}"/>
            </c:ext>
          </c:extLst>
        </c:ser>
        <c:ser>
          <c:idx val="14"/>
          <c:order val="14"/>
          <c:tx>
            <c:strRef>
              <c:f>'2016 E Maize VWC Graphs'!$Z$188</c:f>
              <c:strCache>
                <c:ptCount val="1"/>
                <c:pt idx="0">
                  <c:v>270</c:v>
                </c:pt>
              </c:strCache>
            </c:strRef>
          </c:tx>
          <c:xVal>
            <c:numRef>
              <c:f>'2016 E Maize VWC Graphs'!$AQ$188:$AQ$199</c:f>
              <c:numCache>
                <c:formatCode>General</c:formatCode>
                <c:ptCount val="12"/>
                <c:pt idx="0">
                  <c:v>0.24945387762631382</c:v>
                </c:pt>
                <c:pt idx="1">
                  <c:v>0.33210259451386026</c:v>
                </c:pt>
                <c:pt idx="2">
                  <c:v>0.32646961211364622</c:v>
                </c:pt>
                <c:pt idx="3">
                  <c:v>0.31790564700112578</c:v>
                </c:pt>
                <c:pt idx="4">
                  <c:v>0.31776825718648644</c:v>
                </c:pt>
                <c:pt idx="5">
                  <c:v>0.32081373141099234</c:v>
                </c:pt>
                <c:pt idx="6">
                  <c:v>0.3012241172687451</c:v>
                </c:pt>
                <c:pt idx="7">
                  <c:v>0.34093170758050312</c:v>
                </c:pt>
                <c:pt idx="8">
                  <c:v>0.32923354004257838</c:v>
                </c:pt>
                <c:pt idx="9">
                  <c:v>0.34036723693391452</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6978-49A6-91C7-A68021D839F1}"/>
            </c:ext>
          </c:extLst>
        </c:ser>
        <c:ser>
          <c:idx val="16"/>
          <c:order val="15"/>
          <c:tx>
            <c:strRef>
              <c:f>'2016 E Maize VWC Graphs'!$Z$201</c:f>
              <c:strCache>
                <c:ptCount val="1"/>
                <c:pt idx="0">
                  <c:v>286</c:v>
                </c:pt>
              </c:strCache>
            </c:strRef>
          </c:tx>
          <c:xVal>
            <c:numRef>
              <c:f>'2016 E Maize VWC Graphs'!$AQ$201:$AQ$212</c:f>
              <c:numCache>
                <c:formatCode>General</c:formatCode>
                <c:ptCount val="12"/>
                <c:pt idx="0">
                  <c:v>0.19639808403089715</c:v>
                </c:pt>
                <c:pt idx="1">
                  <c:v>0.32596584945996859</c:v>
                </c:pt>
                <c:pt idx="2">
                  <c:v>0.32807249328443888</c:v>
                </c:pt>
                <c:pt idx="3">
                  <c:v>0.31843230795724331</c:v>
                </c:pt>
                <c:pt idx="4">
                  <c:v>0.31740188434744809</c:v>
                </c:pt>
                <c:pt idx="5">
                  <c:v>0.32037866366463436</c:v>
                </c:pt>
                <c:pt idx="6">
                  <c:v>0.30005624696545807</c:v>
                </c:pt>
                <c:pt idx="7">
                  <c:v>0.34172975228774932</c:v>
                </c:pt>
                <c:pt idx="8">
                  <c:v>0.33396341477089075</c:v>
                </c:pt>
                <c:pt idx="9">
                  <c:v>0.34100956560072232</c:v>
                </c:pt>
                <c:pt idx="10">
                  <c:v>#N/A</c:v>
                </c:pt>
                <c:pt idx="11">
                  <c:v>#N/A</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6978-49A6-91C7-A68021D839F1}"/>
            </c:ext>
          </c:extLst>
        </c:ser>
        <c:ser>
          <c:idx val="17"/>
          <c:order val="16"/>
          <c:tx>
            <c:strRef>
              <c:f>'2016 E Maize VWC Graphs'!$Z$214</c:f>
              <c:strCache>
                <c:ptCount val="1"/>
                <c:pt idx="0">
                  <c:v>302</c:v>
                </c:pt>
              </c:strCache>
            </c:strRef>
          </c:tx>
          <c:xVal>
            <c:numRef>
              <c:f>'2016 E Maize VWC Graphs'!$AQ$214:$AQ$225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6978-49A6-91C7-A68021D839F1}"/>
            </c:ext>
          </c:extLst>
        </c:ser>
        <c:ser>
          <c:idx val="18"/>
          <c:order val="17"/>
          <c:tx>
            <c:strRef>
              <c:f>'2016 E Maize VWC Graphs'!$Z$227</c:f>
              <c:strCache>
                <c:ptCount val="1"/>
                <c:pt idx="0">
                  <c:v>0</c:v>
                </c:pt>
              </c:strCache>
            </c:strRef>
          </c:tx>
          <c:xVal>
            <c:numRef>
              <c:f>'2016 E Maize VWC Graphs'!$AQ$227:$AQ$238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6978-49A6-91C7-A68021D839F1}"/>
            </c:ext>
          </c:extLst>
        </c:ser>
        <c:ser>
          <c:idx val="19"/>
          <c:order val="18"/>
          <c:tx>
            <c:strRef>
              <c:f>'2016 E Maize VWC Graphs'!$Z$240</c:f>
              <c:strCache>
                <c:ptCount val="1"/>
                <c:pt idx="0">
                  <c:v>0</c:v>
                </c:pt>
              </c:strCache>
            </c:strRef>
          </c:tx>
          <c:xVal>
            <c:numRef>
              <c:f>'2016 E Maize VWC Graphs'!$AQ$240:$AQ$251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6978-49A6-91C7-A68021D839F1}"/>
            </c:ext>
          </c:extLst>
        </c:ser>
        <c:ser>
          <c:idx val="20"/>
          <c:order val="19"/>
          <c:tx>
            <c:strRef>
              <c:f>'2016 E Maize VWC Graphs'!$Z$253</c:f>
              <c:strCache>
                <c:ptCount val="1"/>
                <c:pt idx="0">
                  <c:v>0</c:v>
                </c:pt>
              </c:strCache>
            </c:strRef>
          </c:tx>
          <c:xVal>
            <c:numRef>
              <c:f>'2016 E Maize VWC Graphs'!$AQ$253:$AQ$264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6978-49A6-91C7-A68021D839F1}"/>
            </c:ext>
          </c:extLst>
        </c:ser>
        <c:ser>
          <c:idx val="21"/>
          <c:order val="20"/>
          <c:tx>
            <c:strRef>
              <c:f>'2016 E Maize VWC Graphs'!$Z$266</c:f>
              <c:strCache>
                <c:ptCount val="1"/>
                <c:pt idx="0">
                  <c:v>0</c:v>
                </c:pt>
              </c:strCache>
            </c:strRef>
          </c:tx>
          <c:xVal>
            <c:numRef>
              <c:f>'2016 E Maize VWC Graphs'!$AQ$266:$AQ$277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6978-49A6-91C7-A68021D839F1}"/>
            </c:ext>
          </c:extLst>
        </c:ser>
        <c:ser>
          <c:idx val="22"/>
          <c:order val="21"/>
          <c:tx>
            <c:strRef>
              <c:f>'2016 E Maize VWC Graphs'!$Z$279</c:f>
              <c:strCache>
                <c:ptCount val="1"/>
                <c:pt idx="0">
                  <c:v>0</c:v>
                </c:pt>
              </c:strCache>
            </c:strRef>
          </c:tx>
          <c:xVal>
            <c:numRef>
              <c:f>'2016 E Maize VWC Graphs'!$AQ$279:$AQ$290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6978-49A6-91C7-A68021D839F1}"/>
            </c:ext>
          </c:extLst>
        </c:ser>
        <c:ser>
          <c:idx val="23"/>
          <c:order val="22"/>
          <c:tx>
            <c:strRef>
              <c:f>'2016 E Maize VWC Graphs'!$Z$292</c:f>
              <c:strCache>
                <c:ptCount val="1"/>
                <c:pt idx="0">
                  <c:v>0</c:v>
                </c:pt>
              </c:strCache>
            </c:strRef>
          </c:tx>
          <c:xVal>
            <c:numRef>
              <c:f>'2016 E Maize VWC Graphs'!$AQ$292:$AQ$303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6978-49A6-91C7-A68021D839F1}"/>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6978-49A6-91C7-A68021D839F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0809557896172071"/>
          <c:w val="0.11900647948164149"/>
          <c:h val="0.7447182738521320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Graphs'!$AR$6:$AR$17</c:f>
              <c:numCache>
                <c:formatCode>General</c:formatCode>
                <c:ptCount val="12"/>
                <c:pt idx="0">
                  <c:v>0.25275308098799559</c:v>
                </c:pt>
                <c:pt idx="1">
                  <c:v>0.34201755947033452</c:v>
                </c:pt>
                <c:pt idx="2">
                  <c:v>0.33329330624073478</c:v>
                </c:pt>
                <c:pt idx="3">
                  <c:v>0.31806593511820502</c:v>
                </c:pt>
                <c:pt idx="4">
                  <c:v>0.30805937695197122</c:v>
                </c:pt>
                <c:pt idx="5">
                  <c:v>0.31607378280593423</c:v>
                </c:pt>
                <c:pt idx="6">
                  <c:v>0.29046024597344988</c:v>
                </c:pt>
                <c:pt idx="7">
                  <c:v>0.31685411482773612</c:v>
                </c:pt>
                <c:pt idx="8">
                  <c:v>0.3171266178985031</c:v>
                </c:pt>
                <c:pt idx="9">
                  <c:v>0.31782734008047531</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56F-46B2-9A3B-99350C5DE7C9}"/>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Graphs'!$AR$19:$AR$30</c:f>
              <c:numCache>
                <c:formatCode>General</c:formatCode>
                <c:ptCount val="12"/>
                <c:pt idx="0">
                  <c:v>0.22259989677541603</c:v>
                </c:pt>
                <c:pt idx="1">
                  <c:v>0.35147455837801089</c:v>
                </c:pt>
                <c:pt idx="2">
                  <c:v>0.34549810144119841</c:v>
                </c:pt>
                <c:pt idx="3">
                  <c:v>0.32255400239642434</c:v>
                </c:pt>
                <c:pt idx="4">
                  <c:v>0.3120207832740729</c:v>
                </c:pt>
                <c:pt idx="5">
                  <c:v>0.33033942522598836</c:v>
                </c:pt>
                <c:pt idx="6">
                  <c:v>0.28919505314488897</c:v>
                </c:pt>
                <c:pt idx="7">
                  <c:v>0.32049397727298062</c:v>
                </c:pt>
                <c:pt idx="8">
                  <c:v>0.32329686600086943</c:v>
                </c:pt>
                <c:pt idx="9">
                  <c:v>0.31737965646421529</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56F-46B2-9A3B-99350C5DE7C9}"/>
            </c:ext>
          </c:extLst>
        </c:ser>
        <c:ser>
          <c:idx val="0"/>
          <c:order val="2"/>
          <c:tx>
            <c:strRef>
              <c:f>'2016 E Maize VWC Graphs'!$Z$32</c:f>
              <c:strCache>
                <c:ptCount val="1"/>
                <c:pt idx="0">
                  <c:v>161</c:v>
                </c:pt>
              </c:strCache>
            </c:strRef>
          </c:tx>
          <c:xVal>
            <c:numRef>
              <c:f>'2016 E Maize VWC Graphs'!$AR$32:$AR$43</c:f>
              <c:numCache>
                <c:formatCode>General</c:formatCode>
                <c:ptCount val="12"/>
                <c:pt idx="0">
                  <c:v>0.20915372493507361</c:v>
                </c:pt>
                <c:pt idx="1">
                  <c:v>0.33125535732358413</c:v>
                </c:pt>
                <c:pt idx="2">
                  <c:v>0.34311667798744944</c:v>
                </c:pt>
                <c:pt idx="3">
                  <c:v>0.33178201827970172</c:v>
                </c:pt>
                <c:pt idx="4">
                  <c:v>0.32679018834780477</c:v>
                </c:pt>
                <c:pt idx="5">
                  <c:v>0.32138618897198967</c:v>
                </c:pt>
                <c:pt idx="6">
                  <c:v>0.29178383231717514</c:v>
                </c:pt>
                <c:pt idx="7">
                  <c:v>0.32335525951603378</c:v>
                </c:pt>
                <c:pt idx="8">
                  <c:v>0.31615339264576398</c:v>
                </c:pt>
                <c:pt idx="9">
                  <c:v>0.31710715339344836</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56F-46B2-9A3B-99350C5DE7C9}"/>
            </c:ext>
          </c:extLst>
        </c:ser>
        <c:ser>
          <c:idx val="1"/>
          <c:order val="3"/>
          <c:tx>
            <c:strRef>
              <c:f>'2016 E Maize VWC Graphs'!$Z$45</c:f>
              <c:strCache>
                <c:ptCount val="1"/>
                <c:pt idx="0">
                  <c:v>167</c:v>
                </c:pt>
              </c:strCache>
            </c:strRef>
          </c:tx>
          <c:marker>
            <c:symbol val="square"/>
            <c:size val="5"/>
          </c:marker>
          <c:xVal>
            <c:numRef>
              <c:f>'2016 E Maize VWC Graphs'!$AR$45:$AR$56</c:f>
              <c:numCache>
                <c:formatCode>General</c:formatCode>
                <c:ptCount val="12"/>
                <c:pt idx="0">
                  <c:v>0.20572025166913738</c:v>
                </c:pt>
                <c:pt idx="1">
                  <c:v>0.32248530748910464</c:v>
                </c:pt>
                <c:pt idx="2">
                  <c:v>0.34259001703133185</c:v>
                </c:pt>
                <c:pt idx="3">
                  <c:v>0.33507937383104652</c:v>
                </c:pt>
                <c:pt idx="4">
                  <c:v>0.32951508633815219</c:v>
                </c:pt>
                <c:pt idx="5">
                  <c:v>0.32624062908924734</c:v>
                </c:pt>
                <c:pt idx="6">
                  <c:v>0.30085429167270422</c:v>
                </c:pt>
                <c:pt idx="7">
                  <c:v>0.331063203517728</c:v>
                </c:pt>
                <c:pt idx="8">
                  <c:v>0.32218738921274676</c:v>
                </c:pt>
                <c:pt idx="9">
                  <c:v>0.32611921923381304</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56F-46B2-9A3B-99350C5DE7C9}"/>
            </c:ext>
          </c:extLst>
        </c:ser>
        <c:ser>
          <c:idx val="2"/>
          <c:order val="4"/>
          <c:tx>
            <c:strRef>
              <c:f>'2016 E Maize VWC Graphs'!$Z$58</c:f>
              <c:strCache>
                <c:ptCount val="1"/>
                <c:pt idx="0">
                  <c:v>173</c:v>
                </c:pt>
              </c:strCache>
            </c:strRef>
          </c:tx>
          <c:marker>
            <c:spPr>
              <a:solidFill>
                <a:srgbClr val="00B050"/>
              </a:solidFill>
            </c:spPr>
          </c:marker>
          <c:xVal>
            <c:numRef>
              <c:f>'2016 E Maize VWC Graphs'!$AR$58:$AR$69</c:f>
              <c:numCache>
                <c:formatCode>General</c:formatCode>
                <c:ptCount val="12"/>
                <c:pt idx="0">
                  <c:v>0.18020896986078444</c:v>
                </c:pt>
                <c:pt idx="1">
                  <c:v>0.29145810768304781</c:v>
                </c:pt>
                <c:pt idx="2">
                  <c:v>0.32555368001605045</c:v>
                </c:pt>
                <c:pt idx="3">
                  <c:v>0.33306432321633583</c:v>
                </c:pt>
                <c:pt idx="4">
                  <c:v>0.3292861033137533</c:v>
                </c:pt>
                <c:pt idx="5">
                  <c:v>0.3307057980650267</c:v>
                </c:pt>
                <c:pt idx="6">
                  <c:v>0.29984213740985549</c:v>
                </c:pt>
                <c:pt idx="7">
                  <c:v>0.32837710182016788</c:v>
                </c:pt>
                <c:pt idx="8">
                  <c:v>0.32136988000044586</c:v>
                </c:pt>
                <c:pt idx="9">
                  <c:v>0.33047926836608454</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56F-46B2-9A3B-99350C5DE7C9}"/>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Graphs'!$AR$71:$AR$82</c:f>
              <c:numCache>
                <c:formatCode>General</c:formatCode>
                <c:ptCount val="12"/>
                <c:pt idx="0">
                  <c:v>0.17806065139271265</c:v>
                </c:pt>
                <c:pt idx="1">
                  <c:v>0.26839951712607424</c:v>
                </c:pt>
                <c:pt idx="2">
                  <c:v>0.29702239517594214</c:v>
                </c:pt>
                <c:pt idx="3">
                  <c:v>0.31559291845469645</c:v>
                </c:pt>
                <c:pt idx="4">
                  <c:v>0.32120300255247053</c:v>
                </c:pt>
                <c:pt idx="5">
                  <c:v>0.32626352739168718</c:v>
                </c:pt>
                <c:pt idx="6">
                  <c:v>0.30149662033951202</c:v>
                </c:pt>
                <c:pt idx="7">
                  <c:v>0.32769584414325048</c:v>
                </c:pt>
                <c:pt idx="8">
                  <c:v>0.32319954347559554</c:v>
                </c:pt>
                <c:pt idx="9">
                  <c:v>0.33365198269001417</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56F-46B2-9A3B-99350C5DE7C9}"/>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Graphs'!$AR$84:$AR$95</c:f>
              <c:numCache>
                <c:formatCode>General</c:formatCode>
                <c:ptCount val="12"/>
                <c:pt idx="0">
                  <c:v>0.19288788510538696</c:v>
                </c:pt>
                <c:pt idx="1">
                  <c:v>0.2611865518575075</c:v>
                </c:pt>
                <c:pt idx="2">
                  <c:v>0.28408485429740188</c:v>
                </c:pt>
                <c:pt idx="3">
                  <c:v>0.29388532774167664</c:v>
                </c:pt>
                <c:pt idx="4">
                  <c:v>0.31041790210328035</c:v>
                </c:pt>
                <c:pt idx="5">
                  <c:v>0.31719579962548905</c:v>
                </c:pt>
                <c:pt idx="6">
                  <c:v>0.29955016983403371</c:v>
                </c:pt>
                <c:pt idx="7">
                  <c:v>0.33168606767948106</c:v>
                </c:pt>
                <c:pt idx="8">
                  <c:v>0.33341840862935684</c:v>
                </c:pt>
                <c:pt idx="9">
                  <c:v>0.34063974000468145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56F-46B2-9A3B-99350C5DE7C9}"/>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Graphs'!$AR$97:$AR$108</c:f>
              <c:numCache>
                <c:formatCode>General</c:formatCode>
                <c:ptCount val="12"/>
                <c:pt idx="0">
                  <c:v>0.20875091522231015</c:v>
                </c:pt>
                <c:pt idx="1">
                  <c:v>0.27368902498968983</c:v>
                </c:pt>
                <c:pt idx="2">
                  <c:v>0.28225299010221033</c:v>
                </c:pt>
                <c:pt idx="3">
                  <c:v>0.29267171771236222</c:v>
                </c:pt>
                <c:pt idx="4">
                  <c:v>0.31124224099111653</c:v>
                </c:pt>
                <c:pt idx="5">
                  <c:v>0.32005808743047581</c:v>
                </c:pt>
                <c:pt idx="6">
                  <c:v>0.30067911112721113</c:v>
                </c:pt>
                <c:pt idx="7">
                  <c:v>0.31737965646421529</c:v>
                </c:pt>
                <c:pt idx="8">
                  <c:v>0.32989533321444103</c:v>
                </c:pt>
                <c:pt idx="9">
                  <c:v>0.34447424750047378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56F-46B2-9A3B-99350C5DE7C9}"/>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Graphs'!$AR$110:$AR$121</c:f>
              <c:numCache>
                <c:formatCode>General</c:formatCode>
                <c:ptCount val="12"/>
                <c:pt idx="0">
                  <c:v>0.18978049589264018</c:v>
                </c:pt>
                <c:pt idx="1">
                  <c:v>0.2695902288529487</c:v>
                </c:pt>
                <c:pt idx="2">
                  <c:v>0.28310022729248635</c:v>
                </c:pt>
                <c:pt idx="3">
                  <c:v>0.27952809211186291</c:v>
                </c:pt>
                <c:pt idx="4">
                  <c:v>0.29539661570270964</c:v>
                </c:pt>
                <c:pt idx="5">
                  <c:v>0.31449379993758153</c:v>
                </c:pt>
                <c:pt idx="6">
                  <c:v>0.29754532581339105</c:v>
                </c:pt>
                <c:pt idx="7">
                  <c:v>0.32958390113356445</c:v>
                </c:pt>
                <c:pt idx="8">
                  <c:v>0.32927246905268792</c:v>
                </c:pt>
                <c:pt idx="9">
                  <c:v>0.33842078642843615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56F-46B2-9A3B-99350C5DE7C9}"/>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Graphs'!$AR$123:$AR$134</c:f>
              <c:numCache>
                <c:formatCode>General</c:formatCode>
                <c:ptCount val="12"/>
                <c:pt idx="0">
                  <c:v>0.22233135696690703</c:v>
                </c:pt>
                <c:pt idx="1">
                  <c:v>0.31241005441555114</c:v>
                </c:pt>
                <c:pt idx="2">
                  <c:v>0.30705185164461585</c:v>
                </c:pt>
                <c:pt idx="3">
                  <c:v>0.30597563142994083</c:v>
                </c:pt>
                <c:pt idx="4">
                  <c:v>0.31492886768393952</c:v>
                </c:pt>
                <c:pt idx="5">
                  <c:v>0.31953142647435828</c:v>
                </c:pt>
                <c:pt idx="6">
                  <c:v>0.29980320839974589</c:v>
                </c:pt>
                <c:pt idx="7">
                  <c:v>0.32987586870938623</c:v>
                </c:pt>
                <c:pt idx="8">
                  <c:v>0.33020676529531756</c:v>
                </c:pt>
                <c:pt idx="9">
                  <c:v>0.34324798368202242</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56F-46B2-9A3B-99350C5DE7C9}"/>
            </c:ext>
          </c:extLst>
        </c:ser>
        <c:ser>
          <c:idx val="10"/>
          <c:order val="10"/>
          <c:tx>
            <c:strRef>
              <c:f>'2016 E Maize VWC Graphs'!$Z$136</c:f>
              <c:strCache>
                <c:ptCount val="1"/>
                <c:pt idx="0">
                  <c:v>224</c:v>
                </c:pt>
              </c:strCache>
            </c:strRef>
          </c:tx>
          <c:xVal>
            <c:numRef>
              <c:f>'2016 E Maize VWC Graphs'!$AR$136:$AR$147</c:f>
              <c:numCache>
                <c:formatCode>General</c:formatCode>
                <c:ptCount val="12"/>
                <c:pt idx="0">
                  <c:v>0.27797664157294605</c:v>
                </c:pt>
                <c:pt idx="1">
                  <c:v>0.34146800021177703</c:v>
                </c:pt>
                <c:pt idx="2">
                  <c:v>0.32953798464059209</c:v>
                </c:pt>
                <c:pt idx="3">
                  <c:v>0.3122497662984719</c:v>
                </c:pt>
                <c:pt idx="4">
                  <c:v>0.29759485273693947</c:v>
                </c:pt>
                <c:pt idx="5">
                  <c:v>0.3220960363476264</c:v>
                </c:pt>
                <c:pt idx="6">
                  <c:v>0.30729704284583753</c:v>
                </c:pt>
                <c:pt idx="7">
                  <c:v>0.33542325264999945</c:v>
                </c:pt>
                <c:pt idx="8">
                  <c:v>0.34102903010577712</c:v>
                </c:pt>
                <c:pt idx="9">
                  <c:v>0.35181236590612708</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56F-46B2-9A3B-99350C5DE7C9}"/>
            </c:ext>
          </c:extLst>
        </c:ser>
        <c:ser>
          <c:idx val="11"/>
          <c:order val="11"/>
          <c:tx>
            <c:strRef>
              <c:f>'2016 E Maize VWC Graphs'!$Z$149</c:f>
              <c:strCache>
                <c:ptCount val="1"/>
                <c:pt idx="0">
                  <c:v>236</c:v>
                </c:pt>
              </c:strCache>
            </c:strRef>
          </c:tx>
          <c:xVal>
            <c:numRef>
              <c:f>'2016 E Maize VWC Graphs'!$AR$149:$AR$160</c:f>
              <c:numCache>
                <c:formatCode>General</c:formatCode>
                <c:ptCount val="12"/>
                <c:pt idx="0">
                  <c:v>0.29861584399835039</c:v>
                </c:pt>
                <c:pt idx="1">
                  <c:v>0.3446737625533623</c:v>
                </c:pt>
                <c:pt idx="2">
                  <c:v>0.3476963384754283</c:v>
                </c:pt>
                <c:pt idx="3">
                  <c:v>0.31806593511820502</c:v>
                </c:pt>
                <c:pt idx="4">
                  <c:v>0.2952592258880703</c:v>
                </c:pt>
                <c:pt idx="5">
                  <c:v>0.31014312247400161</c:v>
                </c:pt>
                <c:pt idx="6">
                  <c:v>0.29519012070176226</c:v>
                </c:pt>
                <c:pt idx="7">
                  <c:v>0.32600243220348435</c:v>
                </c:pt>
                <c:pt idx="8">
                  <c:v>0.32796834721401746</c:v>
                </c:pt>
                <c:pt idx="9">
                  <c:v>0.34025044990358572</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56F-46B2-9A3B-99350C5DE7C9}"/>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Graphs'!$AR$162:$AR$173</c:f>
              <c:numCache>
                <c:formatCode>General</c:formatCode>
                <c:ptCount val="12"/>
                <c:pt idx="0">
                  <c:v>0.28747144194522783</c:v>
                </c:pt>
                <c:pt idx="1">
                  <c:v>0.33327040793829488</c:v>
                </c:pt>
                <c:pt idx="2">
                  <c:v>0.34004830546050357</c:v>
                </c:pt>
                <c:pt idx="3">
                  <c:v>0.32649251041608612</c:v>
                </c:pt>
                <c:pt idx="4">
                  <c:v>0.31273063064970963</c:v>
                </c:pt>
                <c:pt idx="5">
                  <c:v>0.3137610542595049</c:v>
                </c:pt>
                <c:pt idx="6">
                  <c:v>0.29275705756991433</c:v>
                </c:pt>
                <c:pt idx="7">
                  <c:v>0.32321900798065029</c:v>
                </c:pt>
                <c:pt idx="8">
                  <c:v>0.32631386428436088</c:v>
                </c:pt>
                <c:pt idx="9">
                  <c:v>0.33326269258891855</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56F-46B2-9A3B-99350C5DE7C9}"/>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Graphs'!$AR$175:$AR$186</c:f>
              <c:numCache>
                <c:formatCode>General</c:formatCode>
                <c:ptCount val="12"/>
                <c:pt idx="0">
                  <c:v>0.24870580244546742</c:v>
                </c:pt>
                <c:pt idx="1">
                  <c:v>0.32873654405519581</c:v>
                </c:pt>
                <c:pt idx="2">
                  <c:v>0.33681964481647853</c:v>
                </c:pt>
                <c:pt idx="3">
                  <c:v>0.31799724021088538</c:v>
                </c:pt>
                <c:pt idx="4">
                  <c:v>0.30934168188860534</c:v>
                </c:pt>
                <c:pt idx="5">
                  <c:v>0.31685232508889066</c:v>
                </c:pt>
                <c:pt idx="6">
                  <c:v>0.29661102957076146</c:v>
                </c:pt>
                <c:pt idx="7">
                  <c:v>0.32123362846506237</c:v>
                </c:pt>
                <c:pt idx="8">
                  <c:v>0.32043558375781628</c:v>
                </c:pt>
                <c:pt idx="9">
                  <c:v>0.33384662774056201</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56F-46B2-9A3B-99350C5DE7C9}"/>
            </c:ext>
          </c:extLst>
        </c:ser>
        <c:ser>
          <c:idx val="14"/>
          <c:order val="14"/>
          <c:tx>
            <c:strRef>
              <c:f>'2016 E Maize VWC Graphs'!$Z$188</c:f>
              <c:strCache>
                <c:ptCount val="1"/>
                <c:pt idx="0">
                  <c:v>270</c:v>
                </c:pt>
              </c:strCache>
            </c:strRef>
          </c:tx>
          <c:xVal>
            <c:numRef>
              <c:f>'2016 E Maize VWC Graphs'!$AR$188:$AR$199</c:f>
              <c:numCache>
                <c:formatCode>General</c:formatCode>
                <c:ptCount val="12"/>
                <c:pt idx="0">
                  <c:v>0.20792611438188974</c:v>
                </c:pt>
                <c:pt idx="1">
                  <c:v>0.31179180024967401</c:v>
                </c:pt>
                <c:pt idx="2">
                  <c:v>0.33040812013330811</c:v>
                </c:pt>
                <c:pt idx="3">
                  <c:v>0.31412742709854324</c:v>
                </c:pt>
                <c:pt idx="4">
                  <c:v>0.30863183451296861</c:v>
                </c:pt>
                <c:pt idx="5">
                  <c:v>0.31103615626915748</c:v>
                </c:pt>
                <c:pt idx="6">
                  <c:v>0.29524851421692661</c:v>
                </c:pt>
                <c:pt idx="7">
                  <c:v>0.32172024109143199</c:v>
                </c:pt>
                <c:pt idx="8">
                  <c:v>0.32489295541536167</c:v>
                </c:pt>
                <c:pt idx="9">
                  <c:v>0.32432848476877296</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56F-46B2-9A3B-99350C5DE7C9}"/>
            </c:ext>
          </c:extLst>
        </c:ser>
        <c:ser>
          <c:idx val="16"/>
          <c:order val="15"/>
          <c:tx>
            <c:strRef>
              <c:f>'2016 E Maize VWC Graphs'!$Z$201</c:f>
              <c:strCache>
                <c:ptCount val="1"/>
                <c:pt idx="0">
                  <c:v>286</c:v>
                </c:pt>
              </c:strCache>
            </c:strRef>
          </c:tx>
          <c:xVal>
            <c:numRef>
              <c:f>'2016 E Maize VWC Graphs'!$AR$201:$AR$212</c:f>
              <c:numCache>
                <c:formatCode>General</c:formatCode>
                <c:ptCount val="12"/>
                <c:pt idx="0">
                  <c:v>0.16862339526511139</c:v>
                </c:pt>
                <c:pt idx="1">
                  <c:v>0.30460173328354717</c:v>
                </c:pt>
                <c:pt idx="2">
                  <c:v>0.32392790054281795</c:v>
                </c:pt>
                <c:pt idx="3">
                  <c:v>0.3153639354302975</c:v>
                </c:pt>
                <c:pt idx="4">
                  <c:v>0.31153991892283517</c:v>
                </c:pt>
                <c:pt idx="5">
                  <c:v>0.3152952405229778</c:v>
                </c:pt>
                <c:pt idx="6">
                  <c:v>0.29339938623672218</c:v>
                </c:pt>
                <c:pt idx="7">
                  <c:v>0.32168131208132239</c:v>
                </c:pt>
                <c:pt idx="8">
                  <c:v>0.32393919466767729</c:v>
                </c:pt>
                <c:pt idx="9">
                  <c:v>0.32683940592083999</c:v>
                </c:pt>
                <c:pt idx="10">
                  <c:v>#N/A</c:v>
                </c:pt>
                <c:pt idx="11">
                  <c:v>#N/A</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456F-46B2-9A3B-99350C5DE7C9}"/>
            </c:ext>
          </c:extLst>
        </c:ser>
        <c:ser>
          <c:idx val="17"/>
          <c:order val="16"/>
          <c:tx>
            <c:strRef>
              <c:f>'2016 E Maize VWC Graphs'!$Z$214</c:f>
              <c:strCache>
                <c:ptCount val="1"/>
                <c:pt idx="0">
                  <c:v>302</c:v>
                </c:pt>
              </c:strCache>
            </c:strRef>
          </c:tx>
          <c:xVal>
            <c:numRef>
              <c:f>'2016 E Maize VWC Graphs'!$AR$214:$AR$225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456F-46B2-9A3B-99350C5DE7C9}"/>
            </c:ext>
          </c:extLst>
        </c:ser>
        <c:ser>
          <c:idx val="18"/>
          <c:order val="17"/>
          <c:tx>
            <c:strRef>
              <c:f>'2016 E Maize VWC Graphs'!$Z$227</c:f>
              <c:strCache>
                <c:ptCount val="1"/>
                <c:pt idx="0">
                  <c:v>0</c:v>
                </c:pt>
              </c:strCache>
            </c:strRef>
          </c:tx>
          <c:xVal>
            <c:numRef>
              <c:f>'2016 E Maize VWC Graphs'!$AR$227:$AR$238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456F-46B2-9A3B-99350C5DE7C9}"/>
            </c:ext>
          </c:extLst>
        </c:ser>
        <c:ser>
          <c:idx val="19"/>
          <c:order val="18"/>
          <c:tx>
            <c:strRef>
              <c:f>'2016 E Maize VWC Graphs'!$Z$240</c:f>
              <c:strCache>
                <c:ptCount val="1"/>
                <c:pt idx="0">
                  <c:v>0</c:v>
                </c:pt>
              </c:strCache>
            </c:strRef>
          </c:tx>
          <c:xVal>
            <c:numRef>
              <c:f>'2016 E Maize VWC Graphs'!$AR$240:$AR$251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456F-46B2-9A3B-99350C5DE7C9}"/>
            </c:ext>
          </c:extLst>
        </c:ser>
        <c:ser>
          <c:idx val="20"/>
          <c:order val="19"/>
          <c:tx>
            <c:strRef>
              <c:f>'2016 E Maize VWC Graphs'!$Z$253</c:f>
              <c:strCache>
                <c:ptCount val="1"/>
                <c:pt idx="0">
                  <c:v>0</c:v>
                </c:pt>
              </c:strCache>
            </c:strRef>
          </c:tx>
          <c:xVal>
            <c:numRef>
              <c:f>'2016 E Maize VWC Graphs'!$AR$253:$AR$264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456F-46B2-9A3B-99350C5DE7C9}"/>
            </c:ext>
          </c:extLst>
        </c:ser>
        <c:ser>
          <c:idx val="21"/>
          <c:order val="20"/>
          <c:tx>
            <c:strRef>
              <c:f>'2016 E Maize VWC Graphs'!$Z$266</c:f>
              <c:strCache>
                <c:ptCount val="1"/>
                <c:pt idx="0">
                  <c:v>0</c:v>
                </c:pt>
              </c:strCache>
            </c:strRef>
          </c:tx>
          <c:xVal>
            <c:numRef>
              <c:f>'2016 E Maize VWC Graphs'!$AR$266:$AR$277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456F-46B2-9A3B-99350C5DE7C9}"/>
            </c:ext>
          </c:extLst>
        </c:ser>
        <c:ser>
          <c:idx val="22"/>
          <c:order val="21"/>
          <c:tx>
            <c:strRef>
              <c:f>'2016 E Maize VWC Graphs'!$Z$279</c:f>
              <c:strCache>
                <c:ptCount val="1"/>
                <c:pt idx="0">
                  <c:v>0</c:v>
                </c:pt>
              </c:strCache>
            </c:strRef>
          </c:tx>
          <c:xVal>
            <c:numRef>
              <c:f>'2016 E Maize VWC Graphs'!$AR$279:$AR$290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456F-46B2-9A3B-99350C5DE7C9}"/>
            </c:ext>
          </c:extLst>
        </c:ser>
        <c:ser>
          <c:idx val="23"/>
          <c:order val="22"/>
          <c:tx>
            <c:strRef>
              <c:f>'2016 E Maize VWC Graphs'!$Z$292</c:f>
              <c:strCache>
                <c:ptCount val="1"/>
                <c:pt idx="0">
                  <c:v>0</c:v>
                </c:pt>
              </c:strCache>
            </c:strRef>
          </c:tx>
          <c:xVal>
            <c:numRef>
              <c:f>'2016 E Maize VWC Graphs'!$AR$292:$AR$303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456F-46B2-9A3B-99350C5DE7C9}"/>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456F-46B2-9A3B-99350C5DE7C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3190510277124451"/>
          <c:w val="0.11900647948164149"/>
          <c:h val="0.74688277601663433"/>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Graphs'!$AS$6:$AS$17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E482-4241-8780-89076A574381}"/>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Graphs'!$AS$19:$AS$30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E482-4241-8780-89076A574381}"/>
            </c:ext>
          </c:extLst>
        </c:ser>
        <c:ser>
          <c:idx val="0"/>
          <c:order val="2"/>
          <c:tx>
            <c:strRef>
              <c:f>'2016 E Maize VWC Graphs'!$Z$32</c:f>
              <c:strCache>
                <c:ptCount val="1"/>
                <c:pt idx="0">
                  <c:v>161</c:v>
                </c:pt>
              </c:strCache>
            </c:strRef>
          </c:tx>
          <c:xVal>
            <c:numRef>
              <c:f>'2016 E Maize VWC Graphs'!$AS$32:$AS$43</c:f>
              <c:numCache>
                <c:formatCode>General</c:formatCode>
                <c:ptCount val="12"/>
                <c:pt idx="0">
                  <c:v>0.2267430823924117</c:v>
                </c:pt>
                <c:pt idx="1">
                  <c:v>0.33677384821159873</c:v>
                </c:pt>
                <c:pt idx="2">
                  <c:v>0.36191618429060268</c:v>
                </c:pt>
                <c:pt idx="3">
                  <c:v>0.34311667798744944</c:v>
                </c:pt>
                <c:pt idx="4">
                  <c:v>0.3375981870994349</c:v>
                </c:pt>
                <c:pt idx="5">
                  <c:v>0.33636167876768058</c:v>
                </c:pt>
                <c:pt idx="6">
                  <c:v>0.31043082815965761</c:v>
                </c:pt>
                <c:pt idx="7">
                  <c:v>0.32037719024265193</c:v>
                </c:pt>
                <c:pt idx="8">
                  <c:v>0.31788573359563965</c:v>
                </c:pt>
                <c:pt idx="9">
                  <c:v>0.31593928309016134</c:v>
                </c:pt>
                <c:pt idx="10">
                  <c:v>0.30200269747093644</c:v>
                </c:pt>
                <c:pt idx="11">
                  <c:v>0.29801247393470581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E482-4241-8780-89076A574381}"/>
            </c:ext>
          </c:extLst>
        </c:ser>
        <c:ser>
          <c:idx val="1"/>
          <c:order val="3"/>
          <c:tx>
            <c:strRef>
              <c:f>'2016 E Maize VWC Graphs'!$Z$45</c:f>
              <c:strCache>
                <c:ptCount val="1"/>
                <c:pt idx="0">
                  <c:v>167</c:v>
                </c:pt>
              </c:strCache>
            </c:strRef>
          </c:tx>
          <c:marker>
            <c:symbol val="square"/>
            <c:size val="5"/>
          </c:marker>
          <c:xVal>
            <c:numRef>
              <c:f>'2016 E Maize VWC Graphs'!$AS$45:$AS$56</c:f>
              <c:numCache>
                <c:formatCode>General</c:formatCode>
                <c:ptCount val="12"/>
                <c:pt idx="0">
                  <c:v>0.23299622364769218</c:v>
                </c:pt>
                <c:pt idx="1">
                  <c:v>0.32690467986000427</c:v>
                </c:pt>
                <c:pt idx="2">
                  <c:v>0.36594628552002412</c:v>
                </c:pt>
                <c:pt idx="3">
                  <c:v>0.3462995420265948</c:v>
                </c:pt>
                <c:pt idx="4">
                  <c:v>0.34226944079717336</c:v>
                </c:pt>
                <c:pt idx="5">
                  <c:v>0.33817064466043223</c:v>
                </c:pt>
                <c:pt idx="6">
                  <c:v>0.31177387900843767</c:v>
                </c:pt>
                <c:pt idx="7">
                  <c:v>0.32942818509312621</c:v>
                </c:pt>
                <c:pt idx="8">
                  <c:v>0.32569100012260782</c:v>
                </c:pt>
                <c:pt idx="9">
                  <c:v>0.32253775030373288</c:v>
                </c:pt>
                <c:pt idx="10">
                  <c:v>0.30548684387574265</c:v>
                </c:pt>
                <c:pt idx="11">
                  <c:v>0.29857694458129458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E482-4241-8780-89076A574381}"/>
            </c:ext>
          </c:extLst>
        </c:ser>
        <c:ser>
          <c:idx val="2"/>
          <c:order val="4"/>
          <c:tx>
            <c:strRef>
              <c:f>'2016 E Maize VWC Graphs'!$Z$58</c:f>
              <c:strCache>
                <c:ptCount val="1"/>
                <c:pt idx="0">
                  <c:v>173</c:v>
                </c:pt>
              </c:strCache>
            </c:strRef>
          </c:tx>
          <c:marker>
            <c:spPr>
              <a:solidFill>
                <a:srgbClr val="00B050"/>
              </a:solidFill>
            </c:spPr>
          </c:marker>
          <c:xVal>
            <c:numRef>
              <c:f>'2016 E Maize VWC Graphs'!$AS$58:$AS$69</c:f>
              <c:numCache>
                <c:formatCode>General</c:formatCode>
                <c:ptCount val="12"/>
                <c:pt idx="0">
                  <c:v>0.19388531867984887</c:v>
                </c:pt>
                <c:pt idx="1">
                  <c:v>0.30240349624931734</c:v>
                </c:pt>
                <c:pt idx="2">
                  <c:v>0.35548176130499237</c:v>
                </c:pt>
                <c:pt idx="3">
                  <c:v>0.3461163556070756</c:v>
                </c:pt>
                <c:pt idx="4">
                  <c:v>0.34213205098253396</c:v>
                </c:pt>
                <c:pt idx="5">
                  <c:v>0.34549810144119841</c:v>
                </c:pt>
                <c:pt idx="6">
                  <c:v>0.31798305612091354</c:v>
                </c:pt>
                <c:pt idx="7">
                  <c:v>0.3295644366285097</c:v>
                </c:pt>
                <c:pt idx="8">
                  <c:v>0.32039665474770673</c:v>
                </c:pt>
                <c:pt idx="9">
                  <c:v>0.32261560832395203</c:v>
                </c:pt>
                <c:pt idx="10">
                  <c:v>0.305545237390907</c:v>
                </c:pt>
                <c:pt idx="11">
                  <c:v>0.30087375617775897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E482-4241-8780-89076A574381}"/>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Graphs'!$AS$71:$AS$82</c:f>
              <c:numCache>
                <c:formatCode>General</c:formatCode>
                <c:ptCount val="12"/>
                <c:pt idx="0">
                  <c:v>0.15747899321198883</c:v>
                </c:pt>
                <c:pt idx="1">
                  <c:v>0.26468999213081135</c:v>
                </c:pt>
                <c:pt idx="2">
                  <c:v>0.337575288796995</c:v>
                </c:pt>
                <c:pt idx="3">
                  <c:v>0.34169698323617603</c:v>
                </c:pt>
                <c:pt idx="4">
                  <c:v>0.3393613563873068</c:v>
                </c:pt>
                <c:pt idx="5">
                  <c:v>0.33869730561654982</c:v>
                </c:pt>
                <c:pt idx="6">
                  <c:v>0.31159869846294463</c:v>
                </c:pt>
                <c:pt idx="7">
                  <c:v>0.32594403868832</c:v>
                </c:pt>
                <c:pt idx="8">
                  <c:v>0.31928717795958406</c:v>
                </c:pt>
                <c:pt idx="9">
                  <c:v>0.3215839895560485</c:v>
                </c:pt>
                <c:pt idx="10">
                  <c:v>0.3048639797139896</c:v>
                </c:pt>
                <c:pt idx="11">
                  <c:v>0.30379343193597652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E482-4241-8780-89076A574381}"/>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Graphs'!$AS$84:$AS$95</c:f>
              <c:numCache>
                <c:formatCode>General</c:formatCode>
                <c:ptCount val="12"/>
                <c:pt idx="0">
                  <c:v>0.1650172892651337</c:v>
                </c:pt>
                <c:pt idx="1">
                  <c:v>0.27258990647257492</c:v>
                </c:pt>
                <c:pt idx="2">
                  <c:v>0.31751637585964754</c:v>
                </c:pt>
                <c:pt idx="3">
                  <c:v>0.32814118819175853</c:v>
                </c:pt>
                <c:pt idx="4">
                  <c:v>0.34064366132394086</c:v>
                </c:pt>
                <c:pt idx="5">
                  <c:v>0.34327696610452868</c:v>
                </c:pt>
                <c:pt idx="6">
                  <c:v>0.31463516125149082</c:v>
                </c:pt>
                <c:pt idx="7">
                  <c:v>0.32372508511207465</c:v>
                </c:pt>
                <c:pt idx="8">
                  <c:v>0.32074701583869281</c:v>
                </c:pt>
                <c:pt idx="9">
                  <c:v>0.32269346634417118</c:v>
                </c:pt>
                <c:pt idx="10">
                  <c:v>0.30723864933067313</c:v>
                </c:pt>
                <c:pt idx="11">
                  <c:v>0.30065964662215638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E482-4241-8780-89076A574381}"/>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Graphs'!$AS$97:$AS$108</c:f>
              <c:numCache>
                <c:formatCode>General</c:formatCode>
                <c:ptCount val="12"/>
                <c:pt idx="0">
                  <c:v>0.17683304083952872</c:v>
                </c:pt>
                <c:pt idx="1">
                  <c:v>0.2950302428636713</c:v>
                </c:pt>
                <c:pt idx="2">
                  <c:v>0.32624062908924734</c:v>
                </c:pt>
                <c:pt idx="3">
                  <c:v>0.32427137507941639</c:v>
                </c:pt>
                <c:pt idx="4">
                  <c:v>0.33393445870905181</c:v>
                </c:pt>
                <c:pt idx="5">
                  <c:v>0.33803325484579289</c:v>
                </c:pt>
                <c:pt idx="6">
                  <c:v>0.31161816296799938</c:v>
                </c:pt>
                <c:pt idx="7">
                  <c:v>0.32606082571864869</c:v>
                </c:pt>
                <c:pt idx="8">
                  <c:v>0.32236256975823979</c:v>
                </c:pt>
                <c:pt idx="9">
                  <c:v>0.31809984315124229</c:v>
                </c:pt>
                <c:pt idx="10">
                  <c:v>0.30293699371356603</c:v>
                </c:pt>
                <c:pt idx="11">
                  <c:v>0.30245038108719641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E482-4241-8780-89076A574381}"/>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Graphs'!$AS$110:$AS$121</c:f>
              <c:numCache>
                <c:formatCode>General</c:formatCode>
                <c:ptCount val="12"/>
                <c:pt idx="0">
                  <c:v>0.16664770953108105</c:v>
                </c:pt>
                <c:pt idx="1">
                  <c:v>0.28293993917540711</c:v>
                </c:pt>
                <c:pt idx="2">
                  <c:v>0.31831781644504387</c:v>
                </c:pt>
                <c:pt idx="3">
                  <c:v>0.31277642725458943</c:v>
                </c:pt>
                <c:pt idx="4">
                  <c:v>0.32800379837711918</c:v>
                </c:pt>
                <c:pt idx="5">
                  <c:v>0.3359266110213226</c:v>
                </c:pt>
                <c:pt idx="6">
                  <c:v>0.31078118925064374</c:v>
                </c:pt>
                <c:pt idx="7">
                  <c:v>0.31961807454551538</c:v>
                </c:pt>
                <c:pt idx="8">
                  <c:v>0.3157251735345587</c:v>
                </c:pt>
                <c:pt idx="9">
                  <c:v>0.31570570902950396</c:v>
                </c:pt>
                <c:pt idx="10">
                  <c:v>0.30538952135046871</c:v>
                </c:pt>
                <c:pt idx="11">
                  <c:v>0.29367188930748916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E482-4241-8780-89076A574381}"/>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Graphs'!$AS$123:$AS$134</c:f>
              <c:numCache>
                <c:formatCode>General</c:formatCode>
                <c:ptCount val="12"/>
                <c:pt idx="0">
                  <c:v>0.20234432264788166</c:v>
                </c:pt>
                <c:pt idx="1">
                  <c:v>0.32095112122563174</c:v>
                </c:pt>
                <c:pt idx="2">
                  <c:v>0.34368913554844677</c:v>
                </c:pt>
                <c:pt idx="3">
                  <c:v>0.32621773078680744</c:v>
                </c:pt>
                <c:pt idx="4">
                  <c:v>0.3360182042310822</c:v>
                </c:pt>
                <c:pt idx="5">
                  <c:v>0.33684254311891837</c:v>
                </c:pt>
                <c:pt idx="6">
                  <c:v>0.31046975716976721</c:v>
                </c:pt>
                <c:pt idx="7">
                  <c:v>0.31991004212133717</c:v>
                </c:pt>
                <c:pt idx="8">
                  <c:v>0.31652321824180485</c:v>
                </c:pt>
                <c:pt idx="9">
                  <c:v>0.31917039092925537</c:v>
                </c:pt>
                <c:pt idx="10">
                  <c:v>0.30291752920851123</c:v>
                </c:pt>
                <c:pt idx="11">
                  <c:v>0.29980320839974589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E482-4241-8780-89076A574381}"/>
            </c:ext>
          </c:extLst>
        </c:ser>
        <c:ser>
          <c:idx val="10"/>
          <c:order val="10"/>
          <c:tx>
            <c:strRef>
              <c:f>'2016 E Maize VWC Graphs'!$Z$136</c:f>
              <c:strCache>
                <c:ptCount val="1"/>
                <c:pt idx="0">
                  <c:v>224</c:v>
                </c:pt>
              </c:strCache>
            </c:strRef>
          </c:tx>
          <c:xVal>
            <c:numRef>
              <c:f>'2016 E Maize VWC Graphs'!$AS$136:$AS$147</c:f>
              <c:numCache>
                <c:formatCode>General</c:formatCode>
                <c:ptCount val="12"/>
                <c:pt idx="0">
                  <c:v>0.26560462896663956</c:v>
                </c:pt>
                <c:pt idx="1">
                  <c:v>0.31923374854263964</c:v>
                </c:pt>
                <c:pt idx="2">
                  <c:v>0.3530545412463636</c:v>
                </c:pt>
                <c:pt idx="3">
                  <c:v>0.33551444157740451</c:v>
                </c:pt>
                <c:pt idx="4">
                  <c:v>0.33029362862110861</c:v>
                </c:pt>
                <c:pt idx="5">
                  <c:v>0.34364333894356702</c:v>
                </c:pt>
                <c:pt idx="6">
                  <c:v>0.31031404112932892</c:v>
                </c:pt>
                <c:pt idx="7">
                  <c:v>0.33028462331553665</c:v>
                </c:pt>
                <c:pt idx="8">
                  <c:v>0.31185173702865682</c:v>
                </c:pt>
                <c:pt idx="9">
                  <c:v>0.3230048984250477</c:v>
                </c:pt>
                <c:pt idx="10">
                  <c:v>0.31410961961501166</c:v>
                </c:pt>
                <c:pt idx="11">
                  <c:v>0.30895152577549406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E482-4241-8780-89076A574381}"/>
            </c:ext>
          </c:extLst>
        </c:ser>
        <c:ser>
          <c:idx val="11"/>
          <c:order val="11"/>
          <c:tx>
            <c:strRef>
              <c:f>'2016 E Maize VWC Graphs'!$Z$149</c:f>
              <c:strCache>
                <c:ptCount val="1"/>
                <c:pt idx="0">
                  <c:v>236</c:v>
                </c:pt>
              </c:strCache>
            </c:strRef>
          </c:tx>
          <c:xVal>
            <c:numRef>
              <c:f>'2016 E Maize VWC Graphs'!$AS$149:$AS$160</c:f>
              <c:numCache>
                <c:formatCode>General</c:formatCode>
                <c:ptCount val="12"/>
                <c:pt idx="0">
                  <c:v>0.2782259999665615</c:v>
                </c:pt>
                <c:pt idx="1">
                  <c:v>0.34426159310944421</c:v>
                </c:pt>
                <c:pt idx="2">
                  <c:v>0.35706174417334507</c:v>
                </c:pt>
                <c:pt idx="3">
                  <c:v>0.31863839267920235</c:v>
                </c:pt>
                <c:pt idx="4">
                  <c:v>0.31795144360600558</c:v>
                </c:pt>
                <c:pt idx="5">
                  <c:v>0.32500412075749302</c:v>
                </c:pt>
                <c:pt idx="6">
                  <c:v>0.30239198757203212</c:v>
                </c:pt>
                <c:pt idx="7">
                  <c:v>0.31428480016050475</c:v>
                </c:pt>
                <c:pt idx="8">
                  <c:v>0.31455730323127168</c:v>
                </c:pt>
                <c:pt idx="9">
                  <c:v>0.3164064312114761</c:v>
                </c:pt>
                <c:pt idx="10">
                  <c:v>0.30091268518786857</c:v>
                </c:pt>
                <c:pt idx="11">
                  <c:v>0.29571566233824137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E482-4241-8780-89076A574381}"/>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Graphs'!$AS$162:$AS$173</c:f>
              <c:numCache>
                <c:formatCode>General</c:formatCode>
                <c:ptCount val="12"/>
                <c:pt idx="0">
                  <c:v>0.27256748257297947</c:v>
                </c:pt>
                <c:pt idx="1">
                  <c:v>0.34181147474837548</c:v>
                </c:pt>
                <c:pt idx="2">
                  <c:v>0.35525277828059348</c:v>
                </c:pt>
                <c:pt idx="3">
                  <c:v>0.33739210237747586</c:v>
                </c:pt>
                <c:pt idx="4">
                  <c:v>0.32278298542082329</c:v>
                </c:pt>
                <c:pt idx="5">
                  <c:v>0.31781405379136618</c:v>
                </c:pt>
                <c:pt idx="6">
                  <c:v>0.30149662033951202</c:v>
                </c:pt>
                <c:pt idx="7">
                  <c:v>0.30239198757203212</c:v>
                </c:pt>
                <c:pt idx="8">
                  <c:v>0.31006100256361674</c:v>
                </c:pt>
                <c:pt idx="9">
                  <c:v>0.31241620767524553</c:v>
                </c:pt>
                <c:pt idx="10">
                  <c:v>0.29879105413689716</c:v>
                </c:pt>
                <c:pt idx="11">
                  <c:v>0.29491761763099528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E482-4241-8780-89076A574381}"/>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Graphs'!$AS$175:$AS$186</c:f>
              <c:numCache>
                <c:formatCode>General</c:formatCode>
                <c:ptCount val="12"/>
                <c:pt idx="0">
                  <c:v>0.23744631190298382</c:v>
                </c:pt>
                <c:pt idx="1">
                  <c:v>0.32411108696233715</c:v>
                </c:pt>
                <c:pt idx="2">
                  <c:v>0.35108528723653271</c:v>
                </c:pt>
                <c:pt idx="3">
                  <c:v>0.33164462846506237</c:v>
                </c:pt>
                <c:pt idx="4">
                  <c:v>0.32285168032814293</c:v>
                </c:pt>
                <c:pt idx="5">
                  <c:v>0.31797434190844548</c:v>
                </c:pt>
                <c:pt idx="6">
                  <c:v>0.30204162648104599</c:v>
                </c:pt>
                <c:pt idx="7">
                  <c:v>0.30727757834078268</c:v>
                </c:pt>
                <c:pt idx="8">
                  <c:v>0.30737490086605662</c:v>
                </c:pt>
                <c:pt idx="9">
                  <c:v>0.31154030494778029</c:v>
                </c:pt>
                <c:pt idx="10">
                  <c:v>0.30116572375358075</c:v>
                </c:pt>
                <c:pt idx="11">
                  <c:v>0.29207579989299692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E482-4241-8780-89076A574381}"/>
            </c:ext>
          </c:extLst>
        </c:ser>
        <c:ser>
          <c:idx val="14"/>
          <c:order val="14"/>
          <c:tx>
            <c:strRef>
              <c:f>'2016 E Maize VWC Graphs'!$Z$188</c:f>
              <c:strCache>
                <c:ptCount val="1"/>
                <c:pt idx="0">
                  <c:v>270</c:v>
                </c:pt>
              </c:strCache>
            </c:strRef>
          </c:tx>
          <c:xVal>
            <c:numRef>
              <c:f>'2016 E Maize VWC Graphs'!$AS$188:$AS$199</c:f>
              <c:numCache>
                <c:formatCode>General</c:formatCode>
                <c:ptCount val="12"/>
                <c:pt idx="0">
                  <c:v>0.15519640483966252</c:v>
                </c:pt>
                <c:pt idx="1">
                  <c:v>0.30540317386894344</c:v>
                </c:pt>
                <c:pt idx="2">
                  <c:v>0.34984877890477839</c:v>
                </c:pt>
                <c:pt idx="3">
                  <c:v>0.33157593355774267</c:v>
                </c:pt>
                <c:pt idx="4">
                  <c:v>0.31582190147909539</c:v>
                </c:pt>
                <c:pt idx="5">
                  <c:v>0.31616537601569383</c:v>
                </c:pt>
                <c:pt idx="6">
                  <c:v>0.29783729338921278</c:v>
                </c:pt>
                <c:pt idx="7">
                  <c:v>0.30383236094608607</c:v>
                </c:pt>
                <c:pt idx="8">
                  <c:v>0.3077447264620975</c:v>
                </c:pt>
                <c:pt idx="9">
                  <c:v>0.30951599642208283</c:v>
                </c:pt>
                <c:pt idx="10">
                  <c:v>0.29380814084287266</c:v>
                </c:pt>
                <c:pt idx="11">
                  <c:v>0.29067435552905252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E482-4241-8780-89076A574381}"/>
            </c:ext>
          </c:extLst>
        </c:ser>
        <c:ser>
          <c:idx val="16"/>
          <c:order val="15"/>
          <c:tx>
            <c:strRef>
              <c:f>'2016 E Maize VWC Graphs'!$Z$201</c:f>
              <c:strCache>
                <c:ptCount val="1"/>
                <c:pt idx="0">
                  <c:v>286</c:v>
                </c:pt>
              </c:strCache>
            </c:strRef>
          </c:tx>
          <c:xVal>
            <c:numRef>
              <c:f>'2016 E Maize VWC Graphs'!$AS$201:$AS$212</c:f>
              <c:numCache>
                <c:formatCode>General</c:formatCode>
                <c:ptCount val="12"/>
                <c:pt idx="0">
                  <c:v>0.1837767130309752</c:v>
                </c:pt>
                <c:pt idx="1">
                  <c:v>0.30714344485437545</c:v>
                </c:pt>
                <c:pt idx="2">
                  <c:v>0.34375783045576652</c:v>
                </c:pt>
                <c:pt idx="3">
                  <c:v>0.32605744266972814</c:v>
                </c:pt>
                <c:pt idx="4">
                  <c:v>0.30941037679592498</c:v>
                </c:pt>
                <c:pt idx="5">
                  <c:v>0.31831781644504387</c:v>
                </c:pt>
                <c:pt idx="6">
                  <c:v>0.30157447835973122</c:v>
                </c:pt>
                <c:pt idx="7">
                  <c:v>0.30233359405686777</c:v>
                </c:pt>
                <c:pt idx="8">
                  <c:v>0.31227995613986209</c:v>
                </c:pt>
                <c:pt idx="9">
                  <c:v>0.31041136365460287</c:v>
                </c:pt>
                <c:pt idx="10">
                  <c:v>0.29207579989299692</c:v>
                </c:pt>
                <c:pt idx="11">
                  <c:v>0.28923398215499851</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E482-4241-8780-89076A574381}"/>
            </c:ext>
          </c:extLst>
        </c:ser>
        <c:ser>
          <c:idx val="17"/>
          <c:order val="16"/>
          <c:tx>
            <c:strRef>
              <c:f>'2016 E Maize VWC Graphs'!$Z$214</c:f>
              <c:strCache>
                <c:ptCount val="1"/>
                <c:pt idx="0">
                  <c:v>302</c:v>
                </c:pt>
              </c:strCache>
            </c:strRef>
          </c:tx>
          <c:xVal>
            <c:numRef>
              <c:f>'2016 E Maize VWC Graphs'!$AS$214:$AS$225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E482-4241-8780-89076A574381}"/>
            </c:ext>
          </c:extLst>
        </c:ser>
        <c:ser>
          <c:idx val="18"/>
          <c:order val="17"/>
          <c:tx>
            <c:strRef>
              <c:f>'2016 E Maize VWC Graphs'!$Z$227</c:f>
              <c:strCache>
                <c:ptCount val="1"/>
                <c:pt idx="0">
                  <c:v>0</c:v>
                </c:pt>
              </c:strCache>
            </c:strRef>
          </c:tx>
          <c:xVal>
            <c:numRef>
              <c:f>'2016 E Maize VWC Graphs'!$AS$227:$AS$238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E482-4241-8780-89076A574381}"/>
            </c:ext>
          </c:extLst>
        </c:ser>
        <c:ser>
          <c:idx val="19"/>
          <c:order val="18"/>
          <c:tx>
            <c:strRef>
              <c:f>'2016 E Maize VWC Graphs'!$Z$240</c:f>
              <c:strCache>
                <c:ptCount val="1"/>
                <c:pt idx="0">
                  <c:v>0</c:v>
                </c:pt>
              </c:strCache>
            </c:strRef>
          </c:tx>
          <c:xVal>
            <c:numRef>
              <c:f>'2016 E Maize VWC Graphs'!$AS$240:$AS$251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E482-4241-8780-89076A574381}"/>
            </c:ext>
          </c:extLst>
        </c:ser>
        <c:ser>
          <c:idx val="20"/>
          <c:order val="19"/>
          <c:tx>
            <c:strRef>
              <c:f>'2016 E Maize VWC Graphs'!$Z$253</c:f>
              <c:strCache>
                <c:ptCount val="1"/>
                <c:pt idx="0">
                  <c:v>0</c:v>
                </c:pt>
              </c:strCache>
            </c:strRef>
          </c:tx>
          <c:xVal>
            <c:numRef>
              <c:f>'2016 E Maize VWC Graphs'!$AS$253:$AS$264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E482-4241-8780-89076A574381}"/>
            </c:ext>
          </c:extLst>
        </c:ser>
        <c:ser>
          <c:idx val="21"/>
          <c:order val="20"/>
          <c:tx>
            <c:strRef>
              <c:f>'2016 E Maize VWC Graphs'!$Z$266</c:f>
              <c:strCache>
                <c:ptCount val="1"/>
                <c:pt idx="0">
                  <c:v>0</c:v>
                </c:pt>
              </c:strCache>
            </c:strRef>
          </c:tx>
          <c:xVal>
            <c:numRef>
              <c:f>'2016 E Maize VWC Graphs'!$AS$266:$AS$277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E482-4241-8780-89076A574381}"/>
            </c:ext>
          </c:extLst>
        </c:ser>
        <c:ser>
          <c:idx val="22"/>
          <c:order val="21"/>
          <c:tx>
            <c:strRef>
              <c:f>'2016 E Maize VWC Graphs'!$Z$279</c:f>
              <c:strCache>
                <c:ptCount val="1"/>
                <c:pt idx="0">
                  <c:v>0</c:v>
                </c:pt>
              </c:strCache>
            </c:strRef>
          </c:tx>
          <c:xVal>
            <c:numRef>
              <c:f>'2016 E Maize VWC Graphs'!$AS$279:$AS$290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E482-4241-8780-89076A574381}"/>
            </c:ext>
          </c:extLst>
        </c:ser>
        <c:ser>
          <c:idx val="23"/>
          <c:order val="22"/>
          <c:tx>
            <c:strRef>
              <c:f>'2016 E Maize VWC Graphs'!$Z$292</c:f>
              <c:strCache>
                <c:ptCount val="1"/>
                <c:pt idx="0">
                  <c:v>0</c:v>
                </c:pt>
              </c:strCache>
            </c:strRef>
          </c:tx>
          <c:xVal>
            <c:numRef>
              <c:f>'2016 E Maize VWC Graphs'!$AS$292:$AS$303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E482-4241-8780-89076A574381}"/>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E482-4241-8780-89076A57438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508049749720813"/>
          <c:y val="0.10809557896172071"/>
          <c:w val="0.11900647948164149"/>
          <c:h val="0.75770528683914506"/>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Graphs'!$AT$6:$AT$17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9CE-4FC7-8D5A-EBCB03BE9D93}"/>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Graphs'!$AT$19:$AT$30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9CE-4FC7-8D5A-EBCB03BE9D93}"/>
            </c:ext>
          </c:extLst>
        </c:ser>
        <c:ser>
          <c:idx val="0"/>
          <c:order val="2"/>
          <c:tx>
            <c:strRef>
              <c:f>'2016 E Maize VWC Graphs'!$Z$32</c:f>
              <c:strCache>
                <c:ptCount val="1"/>
                <c:pt idx="0">
                  <c:v>161</c:v>
                </c:pt>
              </c:strCache>
            </c:strRef>
          </c:tx>
          <c:xVal>
            <c:numRef>
              <c:f>'2016 E Maize VWC Graphs'!$AT$32:$AT$43</c:f>
              <c:numCache>
                <c:formatCode>General</c:formatCode>
                <c:ptCount val="12"/>
                <c:pt idx="0">
                  <c:v>0.19894921221173245</c:v>
                </c:pt>
                <c:pt idx="1">
                  <c:v>0.31025761398620111</c:v>
                </c:pt>
                <c:pt idx="2">
                  <c:v>0.34597896579243625</c:v>
                </c:pt>
                <c:pt idx="3">
                  <c:v>0.33036232352842831</c:v>
                </c:pt>
                <c:pt idx="4">
                  <c:v>0.33276664528461719</c:v>
                </c:pt>
                <c:pt idx="5">
                  <c:v>0.33521676364568587</c:v>
                </c:pt>
                <c:pt idx="6">
                  <c:v>0.30945760290691848</c:v>
                </c:pt>
                <c:pt idx="7">
                  <c:v>0.32789048919379832</c:v>
                </c:pt>
                <c:pt idx="8">
                  <c:v>0.32730655404215481</c:v>
                </c:pt>
                <c:pt idx="9">
                  <c:v>0.30737490086605662</c:v>
                </c:pt>
                <c:pt idx="10">
                  <c:v>0.29579352035846057</c:v>
                </c:pt>
                <c:pt idx="11">
                  <c:v>0.29147240023629861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9CE-4FC7-8D5A-EBCB03BE9D93}"/>
            </c:ext>
          </c:extLst>
        </c:ser>
        <c:ser>
          <c:idx val="1"/>
          <c:order val="3"/>
          <c:tx>
            <c:strRef>
              <c:f>'2016 E Maize VWC Graphs'!$Z$45</c:f>
              <c:strCache>
                <c:ptCount val="1"/>
                <c:pt idx="0">
                  <c:v>167</c:v>
                </c:pt>
              </c:strCache>
            </c:strRef>
          </c:tx>
          <c:marker>
            <c:symbol val="square"/>
            <c:size val="5"/>
          </c:marker>
          <c:xVal>
            <c:numRef>
              <c:f>'2016 E Maize VWC Graphs'!$AT$45:$AT$56</c:f>
              <c:numCache>
                <c:formatCode>General</c:formatCode>
                <c:ptCount val="12"/>
                <c:pt idx="0">
                  <c:v>0.19883412372237147</c:v>
                </c:pt>
                <c:pt idx="1">
                  <c:v>0.29306098885384047</c:v>
                </c:pt>
                <c:pt idx="2">
                  <c:v>0.34845198245594478</c:v>
                </c:pt>
                <c:pt idx="3">
                  <c:v>0.33620139065060134</c:v>
                </c:pt>
                <c:pt idx="4">
                  <c:v>0.3375981870994349</c:v>
                </c:pt>
                <c:pt idx="5">
                  <c:v>0.34057496641662116</c:v>
                </c:pt>
                <c:pt idx="6">
                  <c:v>0.31093690529108198</c:v>
                </c:pt>
                <c:pt idx="7">
                  <c:v>0.33182231921486455</c:v>
                </c:pt>
                <c:pt idx="8">
                  <c:v>0.33717505810492998</c:v>
                </c:pt>
                <c:pt idx="9">
                  <c:v>0.3114040534123968</c:v>
                </c:pt>
                <c:pt idx="10">
                  <c:v>0.30603185001727656</c:v>
                </c:pt>
                <c:pt idx="11">
                  <c:v>0.29626066847977534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9CE-4FC7-8D5A-EBCB03BE9D93}"/>
            </c:ext>
          </c:extLst>
        </c:ser>
        <c:ser>
          <c:idx val="2"/>
          <c:order val="4"/>
          <c:tx>
            <c:strRef>
              <c:f>'2016 E Maize VWC Graphs'!$Z$58</c:f>
              <c:strCache>
                <c:ptCount val="1"/>
                <c:pt idx="0">
                  <c:v>173</c:v>
                </c:pt>
              </c:strCache>
            </c:strRef>
          </c:tx>
          <c:marker>
            <c:spPr>
              <a:solidFill>
                <a:srgbClr val="00B050"/>
              </a:solidFill>
            </c:spPr>
          </c:marker>
          <c:xVal>
            <c:numRef>
              <c:f>'2016 E Maize VWC Graphs'!$AT$58:$AT$69</c:f>
              <c:numCache>
                <c:formatCode>General</c:formatCode>
                <c:ptCount val="12"/>
                <c:pt idx="0">
                  <c:v>0.17433945690337393</c:v>
                </c:pt>
                <c:pt idx="1">
                  <c:v>0.2712160083261812</c:v>
                </c:pt>
                <c:pt idx="2">
                  <c:v>0.34531491502167927</c:v>
                </c:pt>
                <c:pt idx="3">
                  <c:v>0.3393613563873068</c:v>
                </c:pt>
                <c:pt idx="4">
                  <c:v>0.33750659388967535</c:v>
                </c:pt>
                <c:pt idx="5">
                  <c:v>0.3407810511385802</c:v>
                </c:pt>
                <c:pt idx="6">
                  <c:v>0.31229942064491684</c:v>
                </c:pt>
                <c:pt idx="7">
                  <c:v>0.33805096083239522</c:v>
                </c:pt>
                <c:pt idx="8">
                  <c:v>0.32929193355774272</c:v>
                </c:pt>
                <c:pt idx="9">
                  <c:v>0.31375925852402559</c:v>
                </c:pt>
                <c:pt idx="10">
                  <c:v>0.30599292100716702</c:v>
                </c:pt>
                <c:pt idx="11">
                  <c:v>0.30237252306697732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9CE-4FC7-8D5A-EBCB03BE9D93}"/>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Graphs'!$AT$71:$AT$82</c:f>
              <c:numCache>
                <c:formatCode>General</c:formatCode>
                <c:ptCount val="12"/>
                <c:pt idx="0">
                  <c:v>0.16292651504174238</c:v>
                </c:pt>
                <c:pt idx="1">
                  <c:v>0.24856958721312572</c:v>
                </c:pt>
                <c:pt idx="2">
                  <c:v>0.32814118819175853</c:v>
                </c:pt>
                <c:pt idx="3">
                  <c:v>0.33482749250420768</c:v>
                </c:pt>
                <c:pt idx="4">
                  <c:v>0.33381996719685231</c:v>
                </c:pt>
                <c:pt idx="5">
                  <c:v>0.33977352583122489</c:v>
                </c:pt>
                <c:pt idx="6">
                  <c:v>0.31148191143261594</c:v>
                </c:pt>
                <c:pt idx="7">
                  <c:v>0.33184178371991935</c:v>
                </c:pt>
                <c:pt idx="8">
                  <c:v>0.33166660317442626</c:v>
                </c:pt>
                <c:pt idx="9">
                  <c:v>0.31401229708973777</c:v>
                </c:pt>
                <c:pt idx="10">
                  <c:v>0.30587613397683833</c:v>
                </c:pt>
                <c:pt idx="11">
                  <c:v>0.306265424077934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9CE-4FC7-8D5A-EBCB03BE9D93}"/>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Graphs'!$AT$84:$AT$95</c:f>
              <c:numCache>
                <c:formatCode>General</c:formatCode>
                <c:ptCount val="12"/>
                <c:pt idx="0">
                  <c:v>0.13779886153125942</c:v>
                </c:pt>
                <c:pt idx="1">
                  <c:v>0.21234447275321289</c:v>
                </c:pt>
                <c:pt idx="2">
                  <c:v>0.30169364887368061</c:v>
                </c:pt>
                <c:pt idx="3">
                  <c:v>0.31325729160582721</c:v>
                </c:pt>
                <c:pt idx="4">
                  <c:v>0.32988145917719053</c:v>
                </c:pt>
                <c:pt idx="5">
                  <c:v>0.33576632290424335</c:v>
                </c:pt>
                <c:pt idx="6">
                  <c:v>0.30996368003834285</c:v>
                </c:pt>
                <c:pt idx="7">
                  <c:v>0.33182231921486455</c:v>
                </c:pt>
                <c:pt idx="8">
                  <c:v>0.32989533321444103</c:v>
                </c:pt>
                <c:pt idx="9">
                  <c:v>0.31115101484668461</c:v>
                </c:pt>
                <c:pt idx="10">
                  <c:v>0.30653792714870098</c:v>
                </c:pt>
                <c:pt idx="11">
                  <c:v>0.30297592272367563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9CE-4FC7-8D5A-EBCB03BE9D93}"/>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Graphs'!$AT$97:$AT$108</c:f>
              <c:numCache>
                <c:formatCode>General</c:formatCode>
                <c:ptCount val="12"/>
                <c:pt idx="0">
                  <c:v>0.15770917019071079</c:v>
                </c:pt>
                <c:pt idx="1">
                  <c:v>0.26038511127211122</c:v>
                </c:pt>
                <c:pt idx="2">
                  <c:v>0.30274697078591573</c:v>
                </c:pt>
                <c:pt idx="3">
                  <c:v>0.30892951244468719</c:v>
                </c:pt>
                <c:pt idx="4">
                  <c:v>0.32401949375257755</c:v>
                </c:pt>
                <c:pt idx="5">
                  <c:v>0.33572052629936355</c:v>
                </c:pt>
                <c:pt idx="6">
                  <c:v>0.30657685615881053</c:v>
                </c:pt>
                <c:pt idx="7">
                  <c:v>0.3297006881638932</c:v>
                </c:pt>
                <c:pt idx="8">
                  <c:v>0.32868853390104441</c:v>
                </c:pt>
                <c:pt idx="9">
                  <c:v>0.31381765203918993</c:v>
                </c:pt>
                <c:pt idx="10">
                  <c:v>0.30287860019840168</c:v>
                </c:pt>
                <c:pt idx="11">
                  <c:v>0.30581774046167398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9CE-4FC7-8D5A-EBCB03BE9D93}"/>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Graphs'!$AT$110:$AT$121</c:f>
              <c:numCache>
                <c:formatCode>General</c:formatCode>
                <c:ptCount val="12"/>
                <c:pt idx="0">
                  <c:v>0.15347007749924763</c:v>
                </c:pt>
                <c:pt idx="1">
                  <c:v>0.24921073968144275</c:v>
                </c:pt>
                <c:pt idx="2">
                  <c:v>0.30050293714680609</c:v>
                </c:pt>
                <c:pt idx="3">
                  <c:v>0.29173288731232655</c:v>
                </c:pt>
                <c:pt idx="4">
                  <c:v>0.3153410371278576</c:v>
                </c:pt>
                <c:pt idx="5">
                  <c:v>0.33045391673818786</c:v>
                </c:pt>
                <c:pt idx="6">
                  <c:v>0.3069466817548514</c:v>
                </c:pt>
                <c:pt idx="7">
                  <c:v>0.32975908167905754</c:v>
                </c:pt>
                <c:pt idx="8">
                  <c:v>0.32728708953710001</c:v>
                </c:pt>
                <c:pt idx="9">
                  <c:v>0.3084649131491245</c:v>
                </c:pt>
                <c:pt idx="10">
                  <c:v>0.30073750464237547</c:v>
                </c:pt>
                <c:pt idx="11">
                  <c:v>0.2967472811061449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9CE-4FC7-8D5A-EBCB03BE9D93}"/>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Graphs'!$AT$123:$AT$134</c:f>
              <c:numCache>
                <c:formatCode>General</c:formatCode>
                <c:ptCount val="12"/>
                <c:pt idx="0">
                  <c:v>0.15318235627584517</c:v>
                </c:pt>
                <c:pt idx="1">
                  <c:v>0.2950302428636713</c:v>
                </c:pt>
                <c:pt idx="2">
                  <c:v>0.32823278140151813</c:v>
                </c:pt>
                <c:pt idx="3">
                  <c:v>0.31238715611311124</c:v>
                </c:pt>
                <c:pt idx="4">
                  <c:v>0.32770612044540054</c:v>
                </c:pt>
                <c:pt idx="5">
                  <c:v>0.33331620454317468</c:v>
                </c:pt>
                <c:pt idx="6">
                  <c:v>0.30379343193597652</c:v>
                </c:pt>
                <c:pt idx="7">
                  <c:v>0.32861067588082532</c:v>
                </c:pt>
                <c:pt idx="8">
                  <c:v>0.33018730079026276</c:v>
                </c:pt>
                <c:pt idx="9">
                  <c:v>0.31132619539217771</c:v>
                </c:pt>
                <c:pt idx="10">
                  <c:v>0.3012241172687451</c:v>
                </c:pt>
                <c:pt idx="11">
                  <c:v>0.3019053749456625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9CE-4FC7-8D5A-EBCB03BE9D93}"/>
            </c:ext>
          </c:extLst>
        </c:ser>
        <c:ser>
          <c:idx val="10"/>
          <c:order val="10"/>
          <c:tx>
            <c:strRef>
              <c:f>'2016 E Maize VWC Graphs'!$Z$136</c:f>
              <c:strCache>
                <c:ptCount val="1"/>
                <c:pt idx="0">
                  <c:v>224</c:v>
                </c:pt>
              </c:strCache>
            </c:strRef>
          </c:tx>
          <c:xVal>
            <c:numRef>
              <c:f>'2016 E Maize VWC Graphs'!$AT$136:$AT$147</c:f>
              <c:numCache>
                <c:formatCode>General</c:formatCode>
                <c:ptCount val="12"/>
                <c:pt idx="0">
                  <c:v>0.24028516130722161</c:v>
                </c:pt>
                <c:pt idx="1">
                  <c:v>0.28445122713644017</c:v>
                </c:pt>
                <c:pt idx="2">
                  <c:v>0.33787296672871364</c:v>
                </c:pt>
                <c:pt idx="3">
                  <c:v>0.31884447740116145</c:v>
                </c:pt>
                <c:pt idx="4">
                  <c:v>0.32521020547945206</c:v>
                </c:pt>
                <c:pt idx="5">
                  <c:v>0.33572052629936355</c:v>
                </c:pt>
                <c:pt idx="6">
                  <c:v>0.31393443906951862</c:v>
                </c:pt>
                <c:pt idx="7">
                  <c:v>0.33376876972034292</c:v>
                </c:pt>
                <c:pt idx="8">
                  <c:v>0.33355466016474028</c:v>
                </c:pt>
                <c:pt idx="9">
                  <c:v>0.31704875987828396</c:v>
                </c:pt>
                <c:pt idx="10">
                  <c:v>0.31083958276580809</c:v>
                </c:pt>
                <c:pt idx="11">
                  <c:v>0.29690299714658319</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9CE-4FC7-8D5A-EBCB03BE9D93}"/>
            </c:ext>
          </c:extLst>
        </c:ser>
        <c:ser>
          <c:idx val="11"/>
          <c:order val="11"/>
          <c:tx>
            <c:strRef>
              <c:f>'2016 E Maize VWC Graphs'!$Z$149</c:f>
              <c:strCache>
                <c:ptCount val="1"/>
                <c:pt idx="0">
                  <c:v>236</c:v>
                </c:pt>
              </c:strCache>
            </c:strRef>
          </c:tx>
          <c:xVal>
            <c:numRef>
              <c:f>'2016 E Maize VWC Graphs'!$AT$149:$AT$160</c:f>
              <c:numCache>
                <c:formatCode>General</c:formatCode>
                <c:ptCount val="12"/>
                <c:pt idx="0">
                  <c:v>0.24845644405185197</c:v>
                </c:pt>
                <c:pt idx="1">
                  <c:v>0.31561581675713635</c:v>
                </c:pt>
                <c:pt idx="2">
                  <c:v>0.33730050916771626</c:v>
                </c:pt>
                <c:pt idx="3">
                  <c:v>0.3020829200151588</c:v>
                </c:pt>
                <c:pt idx="4">
                  <c:v>0.29988468298092896</c:v>
                </c:pt>
                <c:pt idx="5">
                  <c:v>0.31790564700112578</c:v>
                </c:pt>
                <c:pt idx="6">
                  <c:v>0.29799300942965107</c:v>
                </c:pt>
                <c:pt idx="7">
                  <c:v>0.32037719024265193</c:v>
                </c:pt>
                <c:pt idx="8">
                  <c:v>0.32074701583869281</c:v>
                </c:pt>
                <c:pt idx="9">
                  <c:v>0.30887366775527497</c:v>
                </c:pt>
                <c:pt idx="10">
                  <c:v>0.29820711898525365</c:v>
                </c:pt>
                <c:pt idx="11">
                  <c:v>0.2960465589241727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9CE-4FC7-8D5A-EBCB03BE9D93}"/>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Graphs'!$AT$162:$AT$173</c:f>
              <c:numCache>
                <c:formatCode>General</c:formatCode>
                <c:ptCount val="12"/>
                <c:pt idx="0">
                  <c:v>0.25501648794542842</c:v>
                </c:pt>
                <c:pt idx="1">
                  <c:v>0.32195864653298711</c:v>
                </c:pt>
                <c:pt idx="2">
                  <c:v>0.34160539002641643</c:v>
                </c:pt>
                <c:pt idx="3">
                  <c:v>0.32507281566481272</c:v>
                </c:pt>
                <c:pt idx="4">
                  <c:v>0.31206657987895275</c:v>
                </c:pt>
                <c:pt idx="5">
                  <c:v>0.31362366444486556</c:v>
                </c:pt>
                <c:pt idx="6">
                  <c:v>0.2983239060155824</c:v>
                </c:pt>
                <c:pt idx="7">
                  <c:v>0.3275011990927027</c:v>
                </c:pt>
                <c:pt idx="8">
                  <c:v>0.3200657581617754</c:v>
                </c:pt>
                <c:pt idx="9">
                  <c:v>0.30597345650211222</c:v>
                </c:pt>
                <c:pt idx="10">
                  <c:v>0.29766211284371974</c:v>
                </c:pt>
                <c:pt idx="11">
                  <c:v>0.2938470698529822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9CE-4FC7-8D5A-EBCB03BE9D93}"/>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Graphs'!$AT$175:$AT$186</c:f>
              <c:numCache>
                <c:formatCode>General</c:formatCode>
                <c:ptCount val="12"/>
                <c:pt idx="0">
                  <c:v>0.22083520660521416</c:v>
                </c:pt>
                <c:pt idx="1">
                  <c:v>0.28880190460002003</c:v>
                </c:pt>
                <c:pt idx="2">
                  <c:v>0.33617849234816144</c:v>
                </c:pt>
                <c:pt idx="3">
                  <c:v>0.3206076466890333</c:v>
                </c:pt>
                <c:pt idx="4">
                  <c:v>0.29773224255157887</c:v>
                </c:pt>
                <c:pt idx="5">
                  <c:v>0.31547842694249695</c:v>
                </c:pt>
                <c:pt idx="6">
                  <c:v>0.29974481488458155</c:v>
                </c:pt>
                <c:pt idx="7">
                  <c:v>0.31521909640313434</c:v>
                </c:pt>
                <c:pt idx="8">
                  <c:v>0.31883949434332404</c:v>
                </c:pt>
                <c:pt idx="9">
                  <c:v>0.30609024353244096</c:v>
                </c:pt>
                <c:pt idx="10">
                  <c:v>0.29645531353032317</c:v>
                </c:pt>
                <c:pt idx="11">
                  <c:v>0.29024613641784724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9CE-4FC7-8D5A-EBCB03BE9D93}"/>
            </c:ext>
          </c:extLst>
        </c:ser>
        <c:ser>
          <c:idx val="14"/>
          <c:order val="14"/>
          <c:tx>
            <c:strRef>
              <c:f>'2016 E Maize VWC Graphs'!$Z$188</c:f>
              <c:strCache>
                <c:ptCount val="1"/>
                <c:pt idx="0">
                  <c:v>270</c:v>
                </c:pt>
              </c:strCache>
            </c:strRef>
          </c:tx>
          <c:xVal>
            <c:numRef>
              <c:f>'2016 E Maize VWC Graphs'!$AT$188:$AT$199</c:f>
              <c:numCache>
                <c:formatCode>General</c:formatCode>
                <c:ptCount val="12"/>
                <c:pt idx="0">
                  <c:v>0.1918712701160315</c:v>
                </c:pt>
                <c:pt idx="1">
                  <c:v>0.27492553332144415</c:v>
                </c:pt>
                <c:pt idx="2">
                  <c:v>0.33704862784087741</c:v>
                </c:pt>
                <c:pt idx="3">
                  <c:v>0.31497466428881926</c:v>
                </c:pt>
                <c:pt idx="4">
                  <c:v>0.3021287166200386</c:v>
                </c:pt>
                <c:pt idx="5">
                  <c:v>0.31513495240589856</c:v>
                </c:pt>
                <c:pt idx="6">
                  <c:v>0.29542369476241964</c:v>
                </c:pt>
                <c:pt idx="7">
                  <c:v>0.3143237291706143</c:v>
                </c:pt>
                <c:pt idx="8">
                  <c:v>0.31817770117146144</c:v>
                </c:pt>
                <c:pt idx="9">
                  <c:v>0.30081536266259462</c:v>
                </c:pt>
                <c:pt idx="10">
                  <c:v>0.29361349579232482</c:v>
                </c:pt>
                <c:pt idx="11">
                  <c:v>0.28944809171060115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9CE-4FC7-8D5A-EBCB03BE9D93}"/>
            </c:ext>
          </c:extLst>
        </c:ser>
        <c:ser>
          <c:idx val="16"/>
          <c:order val="15"/>
          <c:tx>
            <c:strRef>
              <c:f>'2016 E Maize VWC Graphs'!$Z$201</c:f>
              <c:strCache>
                <c:ptCount val="1"/>
                <c:pt idx="0">
                  <c:v>286</c:v>
                </c:pt>
              </c:strCache>
            </c:strRef>
          </c:tx>
          <c:xVal>
            <c:numRef>
              <c:f>'2016 E Maize VWC Graphs'!$AT$201:$AT$212</c:f>
              <c:numCache>
                <c:formatCode>General</c:formatCode>
                <c:ptCount val="12"/>
                <c:pt idx="0">
                  <c:v>0.17040726685020674</c:v>
                </c:pt>
                <c:pt idx="1">
                  <c:v>0.28312312559492625</c:v>
                </c:pt>
                <c:pt idx="2">
                  <c:v>0.33425503494321035</c:v>
                </c:pt>
                <c:pt idx="3">
                  <c:v>0.30902110565444679</c:v>
                </c:pt>
                <c:pt idx="4">
                  <c:v>0.29825890350769646</c:v>
                </c:pt>
                <c:pt idx="5">
                  <c:v>0.31305120688386817</c:v>
                </c:pt>
                <c:pt idx="6">
                  <c:v>0.29388599886309175</c:v>
                </c:pt>
                <c:pt idx="7">
                  <c:v>0.31453783872621693</c:v>
                </c:pt>
                <c:pt idx="8">
                  <c:v>0.32047451276792582</c:v>
                </c:pt>
                <c:pt idx="9">
                  <c:v>0.30171072989511472</c:v>
                </c:pt>
                <c:pt idx="10">
                  <c:v>0.29509279817648831</c:v>
                </c:pt>
                <c:pt idx="11">
                  <c:v>0.29075221354927161</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D9CE-4FC7-8D5A-EBCB03BE9D93}"/>
            </c:ext>
          </c:extLst>
        </c:ser>
        <c:ser>
          <c:idx val="17"/>
          <c:order val="16"/>
          <c:tx>
            <c:strRef>
              <c:f>'2016 E Maize VWC Graphs'!$Z$214</c:f>
              <c:strCache>
                <c:ptCount val="1"/>
                <c:pt idx="0">
                  <c:v>302</c:v>
                </c:pt>
              </c:strCache>
            </c:strRef>
          </c:tx>
          <c:xVal>
            <c:numRef>
              <c:f>'2016 E Maize VWC Graphs'!$AT$214:$AT$225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D9CE-4FC7-8D5A-EBCB03BE9D93}"/>
            </c:ext>
          </c:extLst>
        </c:ser>
        <c:ser>
          <c:idx val="18"/>
          <c:order val="17"/>
          <c:tx>
            <c:strRef>
              <c:f>'2016 E Maize VWC Graphs'!$Z$227</c:f>
              <c:strCache>
                <c:ptCount val="1"/>
                <c:pt idx="0">
                  <c:v>0</c:v>
                </c:pt>
              </c:strCache>
            </c:strRef>
          </c:tx>
          <c:xVal>
            <c:numRef>
              <c:f>'2016 E Maize VWC Graphs'!$AT$227:$AT$238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D9CE-4FC7-8D5A-EBCB03BE9D93}"/>
            </c:ext>
          </c:extLst>
        </c:ser>
        <c:ser>
          <c:idx val="19"/>
          <c:order val="18"/>
          <c:tx>
            <c:strRef>
              <c:f>'2016 E Maize VWC Graphs'!$Z$240</c:f>
              <c:strCache>
                <c:ptCount val="1"/>
                <c:pt idx="0">
                  <c:v>0</c:v>
                </c:pt>
              </c:strCache>
            </c:strRef>
          </c:tx>
          <c:xVal>
            <c:numRef>
              <c:f>'2016 E Maize VWC Graphs'!$AT$240:$AT$251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D9CE-4FC7-8D5A-EBCB03BE9D93}"/>
            </c:ext>
          </c:extLst>
        </c:ser>
        <c:ser>
          <c:idx val="20"/>
          <c:order val="19"/>
          <c:tx>
            <c:strRef>
              <c:f>'2016 E Maize VWC Graphs'!$Z$253</c:f>
              <c:strCache>
                <c:ptCount val="1"/>
                <c:pt idx="0">
                  <c:v>0</c:v>
                </c:pt>
              </c:strCache>
            </c:strRef>
          </c:tx>
          <c:xVal>
            <c:numRef>
              <c:f>'2016 E Maize VWC Graphs'!$AT$253:$AT$264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D9CE-4FC7-8D5A-EBCB03BE9D93}"/>
            </c:ext>
          </c:extLst>
        </c:ser>
        <c:ser>
          <c:idx val="21"/>
          <c:order val="20"/>
          <c:tx>
            <c:strRef>
              <c:f>'2016 E Maize VWC Graphs'!$Z$266</c:f>
              <c:strCache>
                <c:ptCount val="1"/>
                <c:pt idx="0">
                  <c:v>0</c:v>
                </c:pt>
              </c:strCache>
            </c:strRef>
          </c:tx>
          <c:xVal>
            <c:numRef>
              <c:f>'2016 E Maize VWC Graphs'!$AT$266:$AT$277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D9CE-4FC7-8D5A-EBCB03BE9D93}"/>
            </c:ext>
          </c:extLst>
        </c:ser>
        <c:ser>
          <c:idx val="22"/>
          <c:order val="21"/>
          <c:tx>
            <c:strRef>
              <c:f>'2016 E Maize VWC Graphs'!$Z$279</c:f>
              <c:strCache>
                <c:ptCount val="1"/>
                <c:pt idx="0">
                  <c:v>0</c:v>
                </c:pt>
              </c:strCache>
            </c:strRef>
          </c:tx>
          <c:xVal>
            <c:numRef>
              <c:f>'2016 E Maize VWC Graphs'!$AT$279:$AT$290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D9CE-4FC7-8D5A-EBCB03BE9D93}"/>
            </c:ext>
          </c:extLst>
        </c:ser>
        <c:ser>
          <c:idx val="23"/>
          <c:order val="22"/>
          <c:tx>
            <c:strRef>
              <c:f>'2016 E Maize VWC Graphs'!$Z$292</c:f>
              <c:strCache>
                <c:ptCount val="1"/>
                <c:pt idx="0">
                  <c:v>0</c:v>
                </c:pt>
              </c:strCache>
            </c:strRef>
          </c:tx>
          <c:xVal>
            <c:numRef>
              <c:f>'2016 E Maize VWC Graphs'!$AT$292:$AT$303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D9CE-4FC7-8D5A-EBCB03BE9D93}"/>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D9CE-4FC7-8D5A-EBCB03BE9D9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2541159627773801"/>
          <c:w val="0.11900647948164149"/>
          <c:h val="0.75337628251014077"/>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Graphs'!$AU$6:$AU$17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0BF2-463F-8C97-651DC9457E31}"/>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Graphs'!$AU$19:$AU$30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0BF2-463F-8C97-651DC9457E31}"/>
            </c:ext>
          </c:extLst>
        </c:ser>
        <c:ser>
          <c:idx val="0"/>
          <c:order val="2"/>
          <c:tx>
            <c:strRef>
              <c:f>'2016 E Maize VWC Graphs'!$Z$32</c:f>
              <c:strCache>
                <c:ptCount val="1"/>
                <c:pt idx="0">
                  <c:v>161</c:v>
                </c:pt>
              </c:strCache>
            </c:strRef>
          </c:tx>
          <c:xVal>
            <c:numRef>
              <c:f>'2016 E Maize VWC Graphs'!$AU$32:$AU$43</c:f>
              <c:numCache>
                <c:formatCode>General</c:formatCode>
                <c:ptCount val="12"/>
                <c:pt idx="0">
                  <c:v>0.23017655565834794</c:v>
                </c:pt>
                <c:pt idx="1">
                  <c:v>0.32170676520614822</c:v>
                </c:pt>
                <c:pt idx="2">
                  <c:v>0.34884125359742307</c:v>
                </c:pt>
                <c:pt idx="3">
                  <c:v>0.3391781699677876</c:v>
                </c:pt>
                <c:pt idx="4">
                  <c:v>0.33100347599674534</c:v>
                </c:pt>
                <c:pt idx="5">
                  <c:v>0.33963613601658549</c:v>
                </c:pt>
                <c:pt idx="6">
                  <c:v>0.30340414183488085</c:v>
                </c:pt>
                <c:pt idx="7">
                  <c:v>0.32763745062808614</c:v>
                </c:pt>
                <c:pt idx="8">
                  <c:v>0.30897099028054886</c:v>
                </c:pt>
                <c:pt idx="9">
                  <c:v>0.29956963433908851</c:v>
                </c:pt>
                <c:pt idx="10">
                  <c:v>0.28997363334708032</c:v>
                </c:pt>
                <c:pt idx="11">
                  <c:v>0.27950172962760683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0BF2-463F-8C97-651DC9457E31}"/>
            </c:ext>
          </c:extLst>
        </c:ser>
        <c:ser>
          <c:idx val="1"/>
          <c:order val="3"/>
          <c:tx>
            <c:strRef>
              <c:f>'2016 E Maize VWC Graphs'!$Z$45</c:f>
              <c:strCache>
                <c:ptCount val="1"/>
                <c:pt idx="0">
                  <c:v>167</c:v>
                </c:pt>
              </c:strCache>
            </c:strRef>
          </c:tx>
          <c:marker>
            <c:symbol val="square"/>
            <c:size val="5"/>
          </c:marker>
          <c:xVal>
            <c:numRef>
              <c:f>'2016 E Maize VWC Graphs'!$AU$45:$AU$56</c:f>
              <c:numCache>
                <c:formatCode>General</c:formatCode>
                <c:ptCount val="12"/>
                <c:pt idx="0">
                  <c:v>0.2350102722115095</c:v>
                </c:pt>
                <c:pt idx="1">
                  <c:v>0.31666913866937152</c:v>
                </c:pt>
                <c:pt idx="2">
                  <c:v>0.35481771053423544</c:v>
                </c:pt>
                <c:pt idx="3">
                  <c:v>0.33823933956775198</c:v>
                </c:pt>
                <c:pt idx="4">
                  <c:v>0.34208625437765422</c:v>
                </c:pt>
                <c:pt idx="5">
                  <c:v>0.33947584789950624</c:v>
                </c:pt>
                <c:pt idx="6">
                  <c:v>0.31008046706867154</c:v>
                </c:pt>
                <c:pt idx="7">
                  <c:v>0.33057659089135843</c:v>
                </c:pt>
                <c:pt idx="8">
                  <c:v>0.31325318139260122</c:v>
                </c:pt>
                <c:pt idx="9">
                  <c:v>0.30620703056276966</c:v>
                </c:pt>
                <c:pt idx="10">
                  <c:v>0.29696139066174754</c:v>
                </c:pt>
                <c:pt idx="11">
                  <c:v>0.28787146680116371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0BF2-463F-8C97-651DC9457E31}"/>
            </c:ext>
          </c:extLst>
        </c:ser>
        <c:ser>
          <c:idx val="2"/>
          <c:order val="4"/>
          <c:tx>
            <c:strRef>
              <c:f>'2016 E Maize VWC Graphs'!$Z$58</c:f>
              <c:strCache>
                <c:ptCount val="1"/>
                <c:pt idx="0">
                  <c:v>173</c:v>
                </c:pt>
              </c:strCache>
            </c:strRef>
          </c:tx>
          <c:marker>
            <c:spPr>
              <a:solidFill>
                <a:srgbClr val="00B050"/>
              </a:solidFill>
            </c:spPr>
          </c:marker>
          <c:xVal>
            <c:numRef>
              <c:f>'2016 E Maize VWC Graphs'!$AU$58:$AU$69</c:f>
              <c:numCache>
                <c:formatCode>General</c:formatCode>
                <c:ptCount val="12"/>
                <c:pt idx="0">
                  <c:v>0.19599527431813368</c:v>
                </c:pt>
                <c:pt idx="1">
                  <c:v>0.28108517667777566</c:v>
                </c:pt>
                <c:pt idx="2">
                  <c:v>0.34476535576312184</c:v>
                </c:pt>
                <c:pt idx="3">
                  <c:v>0.33798745824091309</c:v>
                </c:pt>
                <c:pt idx="4">
                  <c:v>0.33576632290424335</c:v>
                </c:pt>
                <c:pt idx="5">
                  <c:v>0.33572052629936355</c:v>
                </c:pt>
                <c:pt idx="6">
                  <c:v>0.30825080359352192</c:v>
                </c:pt>
                <c:pt idx="7">
                  <c:v>0.33699987755943694</c:v>
                </c:pt>
                <c:pt idx="8">
                  <c:v>0.3171266178985031</c:v>
                </c:pt>
                <c:pt idx="9">
                  <c:v>0.30856223567439844</c:v>
                </c:pt>
                <c:pt idx="10">
                  <c:v>0.30381289644103127</c:v>
                </c:pt>
                <c:pt idx="11">
                  <c:v>0.29061596201388812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0BF2-463F-8C97-651DC9457E31}"/>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Graphs'!$AU$71:$AU$82</c:f>
              <c:numCache>
                <c:formatCode>General</c:formatCode>
                <c:ptCount val="12"/>
                <c:pt idx="0">
                  <c:v>0.15588693577582846</c:v>
                </c:pt>
                <c:pt idx="1">
                  <c:v>0.24286790990559204</c:v>
                </c:pt>
                <c:pt idx="2">
                  <c:v>0.31321149500094747</c:v>
                </c:pt>
                <c:pt idx="3">
                  <c:v>0.33311011982121563</c:v>
                </c:pt>
                <c:pt idx="4">
                  <c:v>0.33262925546997785</c:v>
                </c:pt>
                <c:pt idx="5">
                  <c:v>0.33949874620194609</c:v>
                </c:pt>
                <c:pt idx="6">
                  <c:v>0.30679096571441311</c:v>
                </c:pt>
                <c:pt idx="7">
                  <c:v>0.33569575572076643</c:v>
                </c:pt>
                <c:pt idx="8">
                  <c:v>0.31664000527213354</c:v>
                </c:pt>
                <c:pt idx="9">
                  <c:v>0.30881527424011057</c:v>
                </c:pt>
                <c:pt idx="10">
                  <c:v>0.30128251078390944</c:v>
                </c:pt>
                <c:pt idx="11">
                  <c:v>0.29221205142838041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0BF2-463F-8C97-651DC9457E31}"/>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Graphs'!$AU$84:$AU$95</c:f>
              <c:numCache>
                <c:formatCode>General</c:formatCode>
                <c:ptCount val="12"/>
                <c:pt idx="0">
                  <c:v>0.1526644580737207</c:v>
                </c:pt>
                <c:pt idx="1">
                  <c:v>0.23771579185661579</c:v>
                </c:pt>
                <c:pt idx="2">
                  <c:v>0.29800702218085762</c:v>
                </c:pt>
                <c:pt idx="3">
                  <c:v>0.30574664840554189</c:v>
                </c:pt>
                <c:pt idx="4">
                  <c:v>0.32486673094285368</c:v>
                </c:pt>
                <c:pt idx="5">
                  <c:v>0.33782717012383384</c:v>
                </c:pt>
                <c:pt idx="6">
                  <c:v>0.30350146436015474</c:v>
                </c:pt>
                <c:pt idx="7">
                  <c:v>0.33380769873045246</c:v>
                </c:pt>
                <c:pt idx="8">
                  <c:v>0.3099247510282333</c:v>
                </c:pt>
                <c:pt idx="9">
                  <c:v>0.30719972032056359</c:v>
                </c:pt>
                <c:pt idx="10">
                  <c:v>0.29988106641996504</c:v>
                </c:pt>
                <c:pt idx="11">
                  <c:v>0.29069382003410732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0BF2-463F-8C97-651DC9457E31}"/>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Graphs'!$AU$97:$AU$108</c:f>
              <c:numCache>
                <c:formatCode>General</c:formatCode>
                <c:ptCount val="12"/>
                <c:pt idx="0">
                  <c:v>0.15592529860561544</c:v>
                </c:pt>
                <c:pt idx="1">
                  <c:v>0.2441273165397862</c:v>
                </c:pt>
                <c:pt idx="2">
                  <c:v>0.2983962933223358</c:v>
                </c:pt>
                <c:pt idx="3">
                  <c:v>0.28754249796582587</c:v>
                </c:pt>
                <c:pt idx="4">
                  <c:v>0.31701261320596991</c:v>
                </c:pt>
                <c:pt idx="5">
                  <c:v>0.33352228926513372</c:v>
                </c:pt>
                <c:pt idx="6">
                  <c:v>0.30653792714870098</c:v>
                </c:pt>
                <c:pt idx="7">
                  <c:v>0.32872746291115401</c:v>
                </c:pt>
                <c:pt idx="8">
                  <c:v>0.31556945749412046</c:v>
                </c:pt>
                <c:pt idx="9">
                  <c:v>0.3092045643412063</c:v>
                </c:pt>
                <c:pt idx="10">
                  <c:v>0.29735068076284321</c:v>
                </c:pt>
                <c:pt idx="11">
                  <c:v>0.2931658121760648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0BF2-463F-8C97-651DC9457E31}"/>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Graphs'!$AU$110:$AU$121</c:f>
              <c:numCache>
                <c:formatCode>General</c:formatCode>
                <c:ptCount val="12"/>
                <c:pt idx="0">
                  <c:v>0.1427284851588885</c:v>
                </c:pt>
                <c:pt idx="1">
                  <c:v>0.24213516422751541</c:v>
                </c:pt>
                <c:pt idx="2">
                  <c:v>0.29986178467848906</c:v>
                </c:pt>
                <c:pt idx="3">
                  <c:v>0.28465731185839921</c:v>
                </c:pt>
                <c:pt idx="4">
                  <c:v>0.30183103868831995</c:v>
                </c:pt>
                <c:pt idx="5">
                  <c:v>0.3323315775382592</c:v>
                </c:pt>
                <c:pt idx="6">
                  <c:v>0.30307324524894952</c:v>
                </c:pt>
                <c:pt idx="7">
                  <c:v>0.3258856451731556</c:v>
                </c:pt>
                <c:pt idx="8">
                  <c:v>0.31303907183699864</c:v>
                </c:pt>
                <c:pt idx="9">
                  <c:v>0.30429950906740083</c:v>
                </c:pt>
                <c:pt idx="10">
                  <c:v>0.29624120397472059</c:v>
                </c:pt>
                <c:pt idx="11">
                  <c:v>0.28995416884202552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0BF2-463F-8C97-651DC9457E31}"/>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Graphs'!$AU$123:$AU$134</c:f>
              <c:numCache>
                <c:formatCode>General</c:formatCode>
                <c:ptCount val="12"/>
                <c:pt idx="0">
                  <c:v>0.18051587249908047</c:v>
                </c:pt>
                <c:pt idx="1">
                  <c:v>0.27696348223859474</c:v>
                </c:pt>
                <c:pt idx="2">
                  <c:v>0.31101325796671758</c:v>
                </c:pt>
                <c:pt idx="3">
                  <c:v>0.3051970891469844</c:v>
                </c:pt>
                <c:pt idx="4">
                  <c:v>0.31813463002552472</c:v>
                </c:pt>
                <c:pt idx="5">
                  <c:v>0.33207969621142036</c:v>
                </c:pt>
                <c:pt idx="6">
                  <c:v>0.30365718040059303</c:v>
                </c:pt>
                <c:pt idx="7">
                  <c:v>0.32876639192126361</c:v>
                </c:pt>
                <c:pt idx="8">
                  <c:v>0.31087851177591769</c:v>
                </c:pt>
                <c:pt idx="9">
                  <c:v>0.2982849770054728</c:v>
                </c:pt>
                <c:pt idx="10">
                  <c:v>0.29546262377252924</c:v>
                </c:pt>
                <c:pt idx="11">
                  <c:v>0.28915612413477942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0BF2-463F-8C97-651DC9457E31}"/>
            </c:ext>
          </c:extLst>
        </c:ser>
        <c:ser>
          <c:idx val="10"/>
          <c:order val="10"/>
          <c:tx>
            <c:strRef>
              <c:f>'2016 E Maize VWC Graphs'!$Z$136</c:f>
              <c:strCache>
                <c:ptCount val="1"/>
                <c:pt idx="0">
                  <c:v>224</c:v>
                </c:pt>
              </c:strCache>
            </c:strRef>
          </c:tx>
          <c:xVal>
            <c:numRef>
              <c:f>'2016 E Maize VWC Graphs'!$AU$136:$AU$147</c:f>
              <c:numCache>
                <c:formatCode>General</c:formatCode>
                <c:ptCount val="12"/>
                <c:pt idx="0">
                  <c:v>0.25426841276458195</c:v>
                </c:pt>
                <c:pt idx="1">
                  <c:v>0.28392456618032258</c:v>
                </c:pt>
                <c:pt idx="2">
                  <c:v>0.33125535732358413</c:v>
                </c:pt>
                <c:pt idx="3">
                  <c:v>0.30977674963496327</c:v>
                </c:pt>
                <c:pt idx="4">
                  <c:v>0.31291381706922883</c:v>
                </c:pt>
                <c:pt idx="5">
                  <c:v>0.33730050916771626</c:v>
                </c:pt>
                <c:pt idx="6">
                  <c:v>0.30924349335131585</c:v>
                </c:pt>
                <c:pt idx="7">
                  <c:v>0.33672737448866996</c:v>
                </c:pt>
                <c:pt idx="8">
                  <c:v>0.31745751448443443</c:v>
                </c:pt>
                <c:pt idx="9">
                  <c:v>0.30928242236142539</c:v>
                </c:pt>
                <c:pt idx="10">
                  <c:v>0.30406593500674345</c:v>
                </c:pt>
                <c:pt idx="11">
                  <c:v>0.29302956064068131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0BF2-463F-8C97-651DC9457E31}"/>
            </c:ext>
          </c:extLst>
        </c:ser>
        <c:ser>
          <c:idx val="11"/>
          <c:order val="11"/>
          <c:tx>
            <c:strRef>
              <c:f>'2016 E Maize VWC Graphs'!$Z$149</c:f>
              <c:strCache>
                <c:ptCount val="1"/>
                <c:pt idx="0">
                  <c:v>236</c:v>
                </c:pt>
              </c:strCache>
            </c:strRef>
          </c:tx>
          <c:xVal>
            <c:numRef>
              <c:f>'2016 E Maize VWC Graphs'!$AU$149:$AU$160</c:f>
              <c:numCache>
                <c:formatCode>General</c:formatCode>
                <c:ptCount val="12"/>
                <c:pt idx="0">
                  <c:v>0.27358409756233493</c:v>
                </c:pt>
                <c:pt idx="1">
                  <c:v>0.31000573265936221</c:v>
                </c:pt>
                <c:pt idx="2">
                  <c:v>0.3207450365036727</c:v>
                </c:pt>
                <c:pt idx="3">
                  <c:v>0.28946595537077702</c:v>
                </c:pt>
                <c:pt idx="4">
                  <c:v>0.28564193886331468</c:v>
                </c:pt>
                <c:pt idx="5">
                  <c:v>0.31605088450349433</c:v>
                </c:pt>
                <c:pt idx="6">
                  <c:v>0.30153554934962162</c:v>
                </c:pt>
                <c:pt idx="7">
                  <c:v>0.32072755133363806</c:v>
                </c:pt>
                <c:pt idx="8">
                  <c:v>0.30974957048274021</c:v>
                </c:pt>
                <c:pt idx="9">
                  <c:v>0.2990440927026094</c:v>
                </c:pt>
                <c:pt idx="10">
                  <c:v>0.29265973504464038</c:v>
                </c:pt>
                <c:pt idx="11">
                  <c:v>0.28333623712339917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0BF2-463F-8C97-651DC9457E31}"/>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Graphs'!$AU$162:$AU$173</c:f>
              <c:numCache>
                <c:formatCode>General</c:formatCode>
                <c:ptCount val="12"/>
                <c:pt idx="0">
                  <c:v>0.25607146576457085</c:v>
                </c:pt>
                <c:pt idx="1">
                  <c:v>0.32104271443539134</c:v>
                </c:pt>
                <c:pt idx="2">
                  <c:v>0.34414710159724471</c:v>
                </c:pt>
                <c:pt idx="3">
                  <c:v>0.3136465627473054</c:v>
                </c:pt>
                <c:pt idx="4">
                  <c:v>0.29457227681487347</c:v>
                </c:pt>
                <c:pt idx="5">
                  <c:v>0.31781405379136618</c:v>
                </c:pt>
                <c:pt idx="6">
                  <c:v>0.29635799100504923</c:v>
                </c:pt>
                <c:pt idx="7">
                  <c:v>0.31541374145368217</c:v>
                </c:pt>
                <c:pt idx="8">
                  <c:v>0.30661578516892007</c:v>
                </c:pt>
                <c:pt idx="9">
                  <c:v>0.29337992173166738</c:v>
                </c:pt>
                <c:pt idx="10">
                  <c:v>0.28407588831548092</c:v>
                </c:pt>
                <c:pt idx="11">
                  <c:v>0.27743849209179983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0BF2-463F-8C97-651DC9457E31}"/>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Graphs'!$AU$175:$AU$186</c:f>
              <c:numCache>
                <c:formatCode>General</c:formatCode>
                <c:ptCount val="12"/>
                <c:pt idx="0">
                  <c:v>0.24076469667955908</c:v>
                </c:pt>
                <c:pt idx="1">
                  <c:v>0.30831125827881006</c:v>
                </c:pt>
                <c:pt idx="2">
                  <c:v>0.34068945792882066</c:v>
                </c:pt>
                <c:pt idx="3">
                  <c:v>0.31293671537166867</c:v>
                </c:pt>
                <c:pt idx="4">
                  <c:v>0.28937436216101747</c:v>
                </c:pt>
                <c:pt idx="5">
                  <c:v>0.31792854530356568</c:v>
                </c:pt>
                <c:pt idx="6">
                  <c:v>0.29668888759098055</c:v>
                </c:pt>
                <c:pt idx="7">
                  <c:v>0.31905360389892667</c:v>
                </c:pt>
                <c:pt idx="8">
                  <c:v>0.30609024353244096</c:v>
                </c:pt>
                <c:pt idx="9">
                  <c:v>0.2901682783976281</c:v>
                </c:pt>
                <c:pt idx="10">
                  <c:v>0.28464035896206968</c:v>
                </c:pt>
                <c:pt idx="11">
                  <c:v>0.27747742110190937</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0BF2-463F-8C97-651DC9457E31}"/>
            </c:ext>
          </c:extLst>
        </c:ser>
        <c:ser>
          <c:idx val="14"/>
          <c:order val="14"/>
          <c:tx>
            <c:strRef>
              <c:f>'2016 E Maize VWC Graphs'!$Z$188</c:f>
              <c:strCache>
                <c:ptCount val="1"/>
                <c:pt idx="0">
                  <c:v>270</c:v>
                </c:pt>
              </c:strCache>
            </c:strRef>
          </c:tx>
          <c:xVal>
            <c:numRef>
              <c:f>'2016 E Maize VWC Graphs'!$AU$188:$AU$199</c:f>
              <c:numCache>
                <c:formatCode>General</c:formatCode>
                <c:ptCount val="12"/>
                <c:pt idx="0">
                  <c:v>0.20520235346701293</c:v>
                </c:pt>
                <c:pt idx="1">
                  <c:v>0.29152680259036751</c:v>
                </c:pt>
                <c:pt idx="2">
                  <c:v>0.33290403509925653</c:v>
                </c:pt>
                <c:pt idx="3">
                  <c:v>0.30416666553718918</c:v>
                </c:pt>
                <c:pt idx="4">
                  <c:v>0.28715322682434768</c:v>
                </c:pt>
                <c:pt idx="5">
                  <c:v>0.31566161336201615</c:v>
                </c:pt>
                <c:pt idx="6">
                  <c:v>0.29153079375146296</c:v>
                </c:pt>
                <c:pt idx="7">
                  <c:v>0.31664000527213354</c:v>
                </c:pt>
                <c:pt idx="8">
                  <c:v>0.3012241172687451</c:v>
                </c:pt>
                <c:pt idx="9">
                  <c:v>0.29190061934750389</c:v>
                </c:pt>
                <c:pt idx="10">
                  <c:v>0.28512697158843925</c:v>
                </c:pt>
                <c:pt idx="11">
                  <c:v>0.27665991188960848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0BF2-463F-8C97-651DC9457E31}"/>
            </c:ext>
          </c:extLst>
        </c:ser>
        <c:ser>
          <c:idx val="16"/>
          <c:order val="15"/>
          <c:tx>
            <c:strRef>
              <c:f>'2016 E Maize VWC Graphs'!$Z$201</c:f>
              <c:strCache>
                <c:ptCount val="1"/>
                <c:pt idx="0">
                  <c:v>286</c:v>
                </c:pt>
              </c:strCache>
            </c:strRef>
          </c:tx>
          <c:xVal>
            <c:numRef>
              <c:f>'2016 E Maize VWC Graphs'!$AU$201:$AU$212</c:f>
              <c:numCache>
                <c:formatCode>General</c:formatCode>
                <c:ptCount val="12"/>
                <c:pt idx="0">
                  <c:v>0.20038781832874486</c:v>
                </c:pt>
                <c:pt idx="1">
                  <c:v>0.28868741308782064</c:v>
                </c:pt>
                <c:pt idx="2">
                  <c:v>0.3307057980650267</c:v>
                </c:pt>
                <c:pt idx="3">
                  <c:v>0.29977019146872946</c:v>
                </c:pt>
                <c:pt idx="4">
                  <c:v>0.2900155146293345</c:v>
                </c:pt>
                <c:pt idx="5">
                  <c:v>0.31712710471816935</c:v>
                </c:pt>
                <c:pt idx="6">
                  <c:v>0.28987631082180643</c:v>
                </c:pt>
                <c:pt idx="7">
                  <c:v>0.31872270731299535</c:v>
                </c:pt>
                <c:pt idx="8">
                  <c:v>0.30297592272367563</c:v>
                </c:pt>
                <c:pt idx="9">
                  <c:v>0.29221205142838041</c:v>
                </c:pt>
                <c:pt idx="10">
                  <c:v>0.27823653679904592</c:v>
                </c:pt>
                <c:pt idx="11">
                  <c:v>0.27173539211074826</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0BF2-463F-8C97-651DC9457E31}"/>
            </c:ext>
          </c:extLst>
        </c:ser>
        <c:ser>
          <c:idx val="17"/>
          <c:order val="16"/>
          <c:tx>
            <c:strRef>
              <c:f>'2016 E Maize VWC Graphs'!$Z$214</c:f>
              <c:strCache>
                <c:ptCount val="1"/>
                <c:pt idx="0">
                  <c:v>302</c:v>
                </c:pt>
              </c:strCache>
            </c:strRef>
          </c:tx>
          <c:xVal>
            <c:numRef>
              <c:f>'2016 E Maize VWC Graphs'!$AU$214:$AU$225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0BF2-463F-8C97-651DC9457E31}"/>
            </c:ext>
          </c:extLst>
        </c:ser>
        <c:ser>
          <c:idx val="18"/>
          <c:order val="17"/>
          <c:tx>
            <c:strRef>
              <c:f>'2016 E Maize VWC Graphs'!$Z$227</c:f>
              <c:strCache>
                <c:ptCount val="1"/>
                <c:pt idx="0">
                  <c:v>0</c:v>
                </c:pt>
              </c:strCache>
            </c:strRef>
          </c:tx>
          <c:xVal>
            <c:numRef>
              <c:f>'2016 E Maize VWC Graphs'!$AU$227:$AU$238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0BF2-463F-8C97-651DC9457E31}"/>
            </c:ext>
          </c:extLst>
        </c:ser>
        <c:ser>
          <c:idx val="19"/>
          <c:order val="18"/>
          <c:tx>
            <c:strRef>
              <c:f>'2016 E Maize VWC Graphs'!$Z$240</c:f>
              <c:strCache>
                <c:ptCount val="1"/>
                <c:pt idx="0">
                  <c:v>0</c:v>
                </c:pt>
              </c:strCache>
            </c:strRef>
          </c:tx>
          <c:xVal>
            <c:numRef>
              <c:f>'2016 E Maize VWC Graphs'!$AU$240:$AU$251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0BF2-463F-8C97-651DC9457E31}"/>
            </c:ext>
          </c:extLst>
        </c:ser>
        <c:ser>
          <c:idx val="20"/>
          <c:order val="19"/>
          <c:tx>
            <c:strRef>
              <c:f>'2016 E Maize VWC Graphs'!$Z$253</c:f>
              <c:strCache>
                <c:ptCount val="1"/>
                <c:pt idx="0">
                  <c:v>0</c:v>
                </c:pt>
              </c:strCache>
            </c:strRef>
          </c:tx>
          <c:xVal>
            <c:numRef>
              <c:f>'2016 E Maize VWC Graphs'!$AU$253:$AU$264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0BF2-463F-8C97-651DC9457E31}"/>
            </c:ext>
          </c:extLst>
        </c:ser>
        <c:ser>
          <c:idx val="21"/>
          <c:order val="20"/>
          <c:tx>
            <c:strRef>
              <c:f>'2016 E Maize VWC Graphs'!$Z$266</c:f>
              <c:strCache>
                <c:ptCount val="1"/>
                <c:pt idx="0">
                  <c:v>0</c:v>
                </c:pt>
              </c:strCache>
            </c:strRef>
          </c:tx>
          <c:xVal>
            <c:numRef>
              <c:f>'2016 E Maize VWC Graphs'!$AU$266:$AU$277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0BF2-463F-8C97-651DC9457E31}"/>
            </c:ext>
          </c:extLst>
        </c:ser>
        <c:ser>
          <c:idx val="22"/>
          <c:order val="21"/>
          <c:tx>
            <c:strRef>
              <c:f>'2016 E Maize VWC Graphs'!$Z$279</c:f>
              <c:strCache>
                <c:ptCount val="1"/>
                <c:pt idx="0">
                  <c:v>0</c:v>
                </c:pt>
              </c:strCache>
            </c:strRef>
          </c:tx>
          <c:xVal>
            <c:numRef>
              <c:f>'2016 E Maize VWC Graphs'!$AU$279:$AU$290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0BF2-463F-8C97-651DC9457E31}"/>
            </c:ext>
          </c:extLst>
        </c:ser>
        <c:ser>
          <c:idx val="23"/>
          <c:order val="22"/>
          <c:tx>
            <c:strRef>
              <c:f>'2016 E Maize VWC Graphs'!$Z$292</c:f>
              <c:strCache>
                <c:ptCount val="1"/>
                <c:pt idx="0">
                  <c:v>0</c:v>
                </c:pt>
              </c:strCache>
            </c:strRef>
          </c:tx>
          <c:xVal>
            <c:numRef>
              <c:f>'2016 E Maize VWC Graphs'!$AU$292:$AU$303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0BF2-463F-8C97-651DC9457E31}"/>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0BF2-463F-8C97-651DC9457E3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148078547416992"/>
          <c:y val="0.11242443201834405"/>
          <c:w val="0.11900647948164149"/>
          <c:h val="0.76636342611095654"/>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'2016 E Maize VWC Graphs'!$Z$6</c:f>
              <c:strCache>
                <c:ptCount val="1"/>
                <c:pt idx="0">
                  <c:v>127</c:v>
                </c:pt>
              </c:strCache>
            </c:strRef>
          </c:tx>
          <c:spPr>
            <a:ln>
              <a:solidFill>
                <a:srgbClr val="FF0000"/>
              </a:solidFill>
            </a:ln>
          </c:spPr>
          <c:marker>
            <c:symbol val="triangle"/>
            <c:size val="8"/>
            <c:spPr>
              <a:solidFill>
                <a:srgbClr val="FFFF00"/>
              </a:solidFill>
              <a:ln>
                <a:solidFill>
                  <a:srgbClr val="FF0000"/>
                </a:solidFill>
              </a:ln>
            </c:spPr>
          </c:marker>
          <c:xVal>
            <c:numRef>
              <c:f>'2016 E Maize VWC Graphs'!$AV$6:$AV$17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5C5F-4328-B006-7ECFD0F7E540}"/>
            </c:ext>
          </c:extLst>
        </c:ser>
        <c:ser>
          <c:idx val="4"/>
          <c:order val="1"/>
          <c:tx>
            <c:strRef>
              <c:f>'2016 E Maize VWC Graphs'!$Z$19</c:f>
              <c:strCache>
                <c:ptCount val="1"/>
                <c:pt idx="0">
                  <c:v>146</c:v>
                </c:pt>
              </c:strCache>
            </c:strRef>
          </c:tx>
          <c:spPr>
            <a:ln>
              <a:solidFill>
                <a:srgbClr val="002060"/>
              </a:solidFill>
            </a:ln>
          </c:spPr>
          <c:marker>
            <c:symbol val="square"/>
            <c:size val="7"/>
            <c:spPr>
              <a:noFill/>
            </c:spPr>
          </c:marker>
          <c:xVal>
            <c:numRef>
              <c:f>'2016 E Maize VWC Graphs'!$AV$19:$AV$30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5C5F-4328-B006-7ECFD0F7E540}"/>
            </c:ext>
          </c:extLst>
        </c:ser>
        <c:ser>
          <c:idx val="0"/>
          <c:order val="2"/>
          <c:tx>
            <c:strRef>
              <c:f>'2016 E Maize VWC Graphs'!$Z$32</c:f>
              <c:strCache>
                <c:ptCount val="1"/>
                <c:pt idx="0">
                  <c:v>161</c:v>
                </c:pt>
              </c:strCache>
            </c:strRef>
          </c:tx>
          <c:xVal>
            <c:numRef>
              <c:f>'2016 E Maize VWC Graphs'!$AV$32:$AV$43</c:f>
              <c:numCache>
                <c:formatCode>General</c:formatCode>
                <c:ptCount val="12"/>
                <c:pt idx="0">
                  <c:v>0.23017655565834794</c:v>
                </c:pt>
                <c:pt idx="1">
                  <c:v>0.32170676520614822</c:v>
                </c:pt>
                <c:pt idx="2">
                  <c:v>0.34884125359742307</c:v>
                </c:pt>
                <c:pt idx="3">
                  <c:v>0.3391781699677876</c:v>
                </c:pt>
                <c:pt idx="4">
                  <c:v>0.33100347599674534</c:v>
                </c:pt>
                <c:pt idx="5">
                  <c:v>0.33963613601658549</c:v>
                </c:pt>
                <c:pt idx="6">
                  <c:v>0.30340414183488085</c:v>
                </c:pt>
                <c:pt idx="7">
                  <c:v>0.32763745062808614</c:v>
                </c:pt>
                <c:pt idx="8">
                  <c:v>0.30897099028054886</c:v>
                </c:pt>
                <c:pt idx="9">
                  <c:v>0.29956963433908851</c:v>
                </c:pt>
                <c:pt idx="10">
                  <c:v>0.28997363334708032</c:v>
                </c:pt>
                <c:pt idx="11">
                  <c:v>0.27950172962760683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5C5F-4328-B006-7ECFD0F7E540}"/>
            </c:ext>
          </c:extLst>
        </c:ser>
        <c:ser>
          <c:idx val="1"/>
          <c:order val="3"/>
          <c:tx>
            <c:strRef>
              <c:f>'2016 E Maize VWC Graphs'!$Z$45</c:f>
              <c:strCache>
                <c:ptCount val="1"/>
                <c:pt idx="0">
                  <c:v>167</c:v>
                </c:pt>
              </c:strCache>
            </c:strRef>
          </c:tx>
          <c:marker>
            <c:symbol val="square"/>
            <c:size val="5"/>
          </c:marker>
          <c:xVal>
            <c:numRef>
              <c:f>'2016 E Maize VWC Graphs'!$AV$45:$AV$56</c:f>
              <c:numCache>
                <c:formatCode>General</c:formatCode>
                <c:ptCount val="12"/>
                <c:pt idx="0">
                  <c:v>0.20077144662661484</c:v>
                </c:pt>
                <c:pt idx="1">
                  <c:v>0.27852056680450749</c:v>
                </c:pt>
                <c:pt idx="2">
                  <c:v>0.3531232361536833</c:v>
                </c:pt>
                <c:pt idx="3">
                  <c:v>0.34064366132394086</c:v>
                </c:pt>
                <c:pt idx="4">
                  <c:v>0.33523966194812577</c:v>
                </c:pt>
                <c:pt idx="5">
                  <c:v>0.33672805160671893</c:v>
                </c:pt>
                <c:pt idx="6">
                  <c:v>0.30344307084499039</c:v>
                </c:pt>
                <c:pt idx="7">
                  <c:v>0.34682945261210252</c:v>
                </c:pt>
                <c:pt idx="8">
                  <c:v>0.32413383971822513</c:v>
                </c:pt>
                <c:pt idx="9">
                  <c:v>0.30825080359352192</c:v>
                </c:pt>
                <c:pt idx="10">
                  <c:v>0.30459147664322261</c:v>
                </c:pt>
                <c:pt idx="11">
                  <c:v>0.30871795171483668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5C5F-4328-B006-7ECFD0F7E540}"/>
            </c:ext>
          </c:extLst>
        </c:ser>
        <c:ser>
          <c:idx val="2"/>
          <c:order val="4"/>
          <c:tx>
            <c:strRef>
              <c:f>'2016 E Maize VWC Graphs'!$Z$58</c:f>
              <c:strCache>
                <c:ptCount val="1"/>
                <c:pt idx="0">
                  <c:v>173</c:v>
                </c:pt>
              </c:strCache>
            </c:strRef>
          </c:tx>
          <c:marker>
            <c:spPr>
              <a:solidFill>
                <a:srgbClr val="00B050"/>
              </a:solidFill>
            </c:spPr>
          </c:marker>
          <c:xVal>
            <c:numRef>
              <c:f>'2016 E Maize VWC Graphs'!$AV$58:$AV$69</c:f>
              <c:numCache>
                <c:formatCode>General</c:formatCode>
                <c:ptCount val="12"/>
                <c:pt idx="0">
                  <c:v>0.17924989911610956</c:v>
                </c:pt>
                <c:pt idx="1">
                  <c:v>0.27323105894089189</c:v>
                </c:pt>
                <c:pt idx="2">
                  <c:v>0.35477191392935564</c:v>
                </c:pt>
                <c:pt idx="3">
                  <c:v>0.34293349156793029</c:v>
                </c:pt>
                <c:pt idx="4">
                  <c:v>0.33659066179207958</c:v>
                </c:pt>
                <c:pt idx="5">
                  <c:v>0.33361388247489326</c:v>
                </c:pt>
                <c:pt idx="6">
                  <c:v>0.30885420325022017</c:v>
                </c:pt>
                <c:pt idx="7">
                  <c:v>0.34988537990570351</c:v>
                </c:pt>
                <c:pt idx="8">
                  <c:v>0.32218738921274676</c:v>
                </c:pt>
                <c:pt idx="9">
                  <c:v>0.31132619539217771</c:v>
                </c:pt>
                <c:pt idx="10">
                  <c:v>0.30928242236142539</c:v>
                </c:pt>
                <c:pt idx="11">
                  <c:v>0.30731650735089228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5C5F-4328-B006-7ECFD0F7E540}"/>
            </c:ext>
          </c:extLst>
        </c:ser>
        <c:ser>
          <c:idx val="5"/>
          <c:order val="5"/>
          <c:tx>
            <c:strRef>
              <c:f>'2016 E Maize VWC Graphs'!$Z$71</c:f>
              <c:strCache>
                <c:ptCount val="1"/>
                <c:pt idx="0">
                  <c:v>180</c:v>
                </c:pt>
              </c:strCache>
            </c:strRef>
          </c:tx>
          <c:marker>
            <c:spPr>
              <a:solidFill>
                <a:schemeClr val="accent6">
                  <a:lumMod val="60000"/>
                  <a:lumOff val="40000"/>
                </a:schemeClr>
              </a:solidFill>
            </c:spPr>
          </c:marker>
          <c:xVal>
            <c:numRef>
              <c:f>'2016 E Maize VWC Graphs'!$AV$71:$AV$82</c:f>
              <c:numCache>
                <c:formatCode>General</c:formatCode>
                <c:ptCount val="12"/>
                <c:pt idx="0">
                  <c:v>0.1724404968289176</c:v>
                </c:pt>
                <c:pt idx="1">
                  <c:v>0.24433340126174524</c:v>
                </c:pt>
                <c:pt idx="2">
                  <c:v>0.33290403509925653</c:v>
                </c:pt>
                <c:pt idx="3">
                  <c:v>0.33349939096269382</c:v>
                </c:pt>
                <c:pt idx="4">
                  <c:v>0.33292693340169649</c:v>
                </c:pt>
                <c:pt idx="5">
                  <c:v>0.33214839111874006</c:v>
                </c:pt>
                <c:pt idx="6">
                  <c:v>0.30428004456234609</c:v>
                </c:pt>
                <c:pt idx="7">
                  <c:v>0.34971019936021053</c:v>
                </c:pt>
                <c:pt idx="8">
                  <c:v>0.32086380286902155</c:v>
                </c:pt>
                <c:pt idx="9">
                  <c:v>0.30877634523000103</c:v>
                </c:pt>
                <c:pt idx="10">
                  <c:v>0.3055257728858522</c:v>
                </c:pt>
                <c:pt idx="11">
                  <c:v>0.30614863704760525</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5C5F-4328-B006-7ECFD0F7E540}"/>
            </c:ext>
          </c:extLst>
        </c:ser>
        <c:ser>
          <c:idx val="6"/>
          <c:order val="6"/>
          <c:tx>
            <c:strRef>
              <c:f>'2016 E Maize VWC Graphs'!$Z$84</c:f>
              <c:strCache>
                <c:ptCount val="1"/>
                <c:pt idx="0">
                  <c:v>193</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'2016 E Maize VWC Graphs'!$AV$84:$AV$95</c:f>
              <c:numCache>
                <c:formatCode>General</c:formatCode>
                <c:ptCount val="12"/>
                <c:pt idx="0">
                  <c:v>0.16319505485025132</c:v>
                </c:pt>
                <c:pt idx="1">
                  <c:v>0.24245574046167395</c:v>
                </c:pt>
                <c:pt idx="2">
                  <c:v>0.30116698791756302</c:v>
                </c:pt>
                <c:pt idx="3">
                  <c:v>0.30732663127389459</c:v>
                </c:pt>
                <c:pt idx="4">
                  <c:v>0.33368257738221296</c:v>
                </c:pt>
                <c:pt idx="5">
                  <c:v>0.32788930686491968</c:v>
                </c:pt>
                <c:pt idx="6">
                  <c:v>0.3077447264620975</c:v>
                </c:pt>
                <c:pt idx="7">
                  <c:v>0.34114581713610581</c:v>
                </c:pt>
                <c:pt idx="8">
                  <c:v>0.32154506054593895</c:v>
                </c:pt>
                <c:pt idx="9">
                  <c:v>0.30786151349242619</c:v>
                </c:pt>
                <c:pt idx="10">
                  <c:v>0.30101000771314246</c:v>
                </c:pt>
                <c:pt idx="11">
                  <c:v>0.30577881145156444</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5C5F-4328-B006-7ECFD0F7E540}"/>
            </c:ext>
          </c:extLst>
        </c:ser>
        <c:ser>
          <c:idx val="7"/>
          <c:order val="7"/>
          <c:tx>
            <c:strRef>
              <c:f>'2016 E Maize VWC Graphs'!$Z$97</c:f>
              <c:strCache>
                <c:ptCount val="1"/>
                <c:pt idx="0">
                  <c:v>200</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'2016 E Maize VWC Graphs'!$AV$97:$AV$108</c:f>
              <c:numCache>
                <c:formatCode>General</c:formatCode>
                <c:ptCount val="12"/>
                <c:pt idx="0">
                  <c:v>0.15920532055240366</c:v>
                </c:pt>
                <c:pt idx="1">
                  <c:v>0.26798734768215615</c:v>
                </c:pt>
                <c:pt idx="2">
                  <c:v>0.31964591798655773</c:v>
                </c:pt>
                <c:pt idx="3">
                  <c:v>0.29791542897109802</c:v>
                </c:pt>
                <c:pt idx="4">
                  <c:v>0.31795144360600558</c:v>
                </c:pt>
                <c:pt idx="5">
                  <c:v>0.32807249328443888</c:v>
                </c:pt>
                <c:pt idx="6">
                  <c:v>0.30075696914743033</c:v>
                </c:pt>
                <c:pt idx="7">
                  <c:v>0.34437692497519989</c:v>
                </c:pt>
                <c:pt idx="8">
                  <c:v>0.31691250834290047</c:v>
                </c:pt>
                <c:pt idx="9">
                  <c:v>0.30844544864406975</c:v>
                </c:pt>
                <c:pt idx="10">
                  <c:v>0.30161340736984077</c:v>
                </c:pt>
                <c:pt idx="11">
                  <c:v>0.30435790258256523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5C5F-4328-B006-7ECFD0F7E540}"/>
            </c:ext>
          </c:extLst>
        </c:ser>
        <c:ser>
          <c:idx val="8"/>
          <c:order val="8"/>
          <c:tx>
            <c:strRef>
              <c:f>'2016 E Maize VWC Graphs'!$Z$110</c:f>
              <c:strCache>
                <c:ptCount val="1"/>
                <c:pt idx="0">
                  <c:v>208</c:v>
                </c:pt>
              </c:strCache>
            </c:strRef>
          </c:tx>
          <c:marker>
            <c:symbol val="circle"/>
            <c:size val="8"/>
            <c:spPr>
              <a:solidFill>
                <a:srgbClr val="FFFF99"/>
              </a:solidFill>
            </c:spPr>
          </c:marker>
          <c:xVal>
            <c:numRef>
              <c:f>'2016 E Maize VWC Graphs'!$AV$110:$AV$121</c:f>
              <c:numCache>
                <c:formatCode>General</c:formatCode>
                <c:ptCount val="12"/>
                <c:pt idx="0">
                  <c:v>0.15107240063756033</c:v>
                </c:pt>
                <c:pt idx="1">
                  <c:v>0.25278287486206624</c:v>
                </c:pt>
                <c:pt idx="2">
                  <c:v>0.31696681660109011</c:v>
                </c:pt>
                <c:pt idx="3">
                  <c:v>0.29864817464917465</c:v>
                </c:pt>
                <c:pt idx="4">
                  <c:v>0.31005152926424207</c:v>
                </c:pt>
                <c:pt idx="5">
                  <c:v>0.32637801890388668</c:v>
                </c:pt>
                <c:pt idx="6">
                  <c:v>0.29435314698440657</c:v>
                </c:pt>
                <c:pt idx="7">
                  <c:v>0.3391993666306275</c:v>
                </c:pt>
                <c:pt idx="8">
                  <c:v>0.31924824894947446</c:v>
                </c:pt>
                <c:pt idx="9">
                  <c:v>0.3062459595728792</c:v>
                </c:pt>
                <c:pt idx="10">
                  <c:v>0.29664995858087101</c:v>
                </c:pt>
                <c:pt idx="11">
                  <c:v>0.30289806470345643</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5C5F-4328-B006-7ECFD0F7E540}"/>
            </c:ext>
          </c:extLst>
        </c:ser>
        <c:ser>
          <c:idx val="9"/>
          <c:order val="9"/>
          <c:tx>
            <c:strRef>
              <c:f>'2016 E Maize VWC Graphs'!$Z$123</c:f>
              <c:strCache>
                <c:ptCount val="1"/>
                <c:pt idx="0">
                  <c:v>215</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'2016 E Maize VWC Graphs'!$AV$123:$AV$134</c:f>
              <c:numCache>
                <c:formatCode>General</c:formatCode>
                <c:ptCount val="12"/>
                <c:pt idx="0">
                  <c:v>0.17831000978632811</c:v>
                </c:pt>
                <c:pt idx="1">
                  <c:v>0.28211560028757093</c:v>
                </c:pt>
                <c:pt idx="2">
                  <c:v>0.3307515946699065</c:v>
                </c:pt>
                <c:pt idx="3">
                  <c:v>0.31669203697181136</c:v>
                </c:pt>
                <c:pt idx="4">
                  <c:v>0.32429427338185629</c:v>
                </c:pt>
                <c:pt idx="5">
                  <c:v>0.32940059482595274</c:v>
                </c:pt>
                <c:pt idx="6">
                  <c:v>0.29680567462130925</c:v>
                </c:pt>
                <c:pt idx="7">
                  <c:v>0.34548640176332246</c:v>
                </c:pt>
                <c:pt idx="8">
                  <c:v>0.31632857319125701</c:v>
                </c:pt>
                <c:pt idx="9">
                  <c:v>0.3055257728858522</c:v>
                </c:pt>
                <c:pt idx="10">
                  <c:v>0.30305378074389472</c:v>
                </c:pt>
                <c:pt idx="11">
                  <c:v>0.30155501385467642</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5C5F-4328-B006-7ECFD0F7E540}"/>
            </c:ext>
          </c:extLst>
        </c:ser>
        <c:ser>
          <c:idx val="10"/>
          <c:order val="10"/>
          <c:tx>
            <c:strRef>
              <c:f>'2016 E Maize VWC Graphs'!$Z$136</c:f>
              <c:strCache>
                <c:ptCount val="1"/>
                <c:pt idx="0">
                  <c:v>224</c:v>
                </c:pt>
              </c:strCache>
            </c:strRef>
          </c:tx>
          <c:xVal>
            <c:numRef>
              <c:f>'2016 E Maize VWC Graphs'!$AV$136:$AV$147</c:f>
              <c:numCache>
                <c:formatCode>General</c:formatCode>
                <c:ptCount val="12"/>
                <c:pt idx="0">
                  <c:v>0.22045157830734419</c:v>
                </c:pt>
                <c:pt idx="1">
                  <c:v>0.25946917917451545</c:v>
                </c:pt>
                <c:pt idx="2">
                  <c:v>0.34105583076785895</c:v>
                </c:pt>
                <c:pt idx="3">
                  <c:v>0.32882813726495536</c:v>
                </c:pt>
                <c:pt idx="4">
                  <c:v>0.32257690069886424</c:v>
                </c:pt>
                <c:pt idx="5">
                  <c:v>0.3308202895772262</c:v>
                </c:pt>
                <c:pt idx="6">
                  <c:v>0.29993945993512938</c:v>
                </c:pt>
                <c:pt idx="7">
                  <c:v>0.3471798137030887</c:v>
                </c:pt>
                <c:pt idx="8">
                  <c:v>0.32267400183911638</c:v>
                </c:pt>
                <c:pt idx="9">
                  <c:v>0.31305853634205338</c:v>
                </c:pt>
                <c:pt idx="10">
                  <c:v>0.30908777731087755</c:v>
                </c:pt>
                <c:pt idx="11">
                  <c:v>0.31161816296799938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5C5F-4328-B006-7ECFD0F7E540}"/>
            </c:ext>
          </c:extLst>
        </c:ser>
        <c:ser>
          <c:idx val="11"/>
          <c:order val="11"/>
          <c:tx>
            <c:strRef>
              <c:f>'2016 E Maize VWC Graphs'!$Z$149</c:f>
              <c:strCache>
                <c:ptCount val="1"/>
                <c:pt idx="0">
                  <c:v>236</c:v>
                </c:pt>
              </c:strCache>
            </c:strRef>
          </c:tx>
          <c:xVal>
            <c:numRef>
              <c:f>'2016 E Maize VWC Graphs'!$AV$149:$AV$160</c:f>
              <c:numCache>
                <c:formatCode>General</c:formatCode>
                <c:ptCount val="12"/>
                <c:pt idx="0">
                  <c:v>0.27448562406232935</c:v>
                </c:pt>
                <c:pt idx="1">
                  <c:v>0.32127169745979023</c:v>
                </c:pt>
                <c:pt idx="2">
                  <c:v>0.33775847521651414</c:v>
                </c:pt>
                <c:pt idx="3">
                  <c:v>0.31259324083507029</c:v>
                </c:pt>
                <c:pt idx="4">
                  <c:v>0.29871686955649435</c:v>
                </c:pt>
                <c:pt idx="5">
                  <c:v>0.29979308977116936</c:v>
                </c:pt>
                <c:pt idx="6">
                  <c:v>0.27897618799112767</c:v>
                </c:pt>
                <c:pt idx="7">
                  <c:v>0.3310437390126732</c:v>
                </c:pt>
                <c:pt idx="8">
                  <c:v>0.3143431936756691</c:v>
                </c:pt>
                <c:pt idx="9">
                  <c:v>0.29519012070176226</c:v>
                </c:pt>
                <c:pt idx="10">
                  <c:v>0.29287384460024302</c:v>
                </c:pt>
                <c:pt idx="11">
                  <c:v>0.29879105413689716</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5C5F-4328-B006-7ECFD0F7E540}"/>
            </c:ext>
          </c:extLst>
        </c:ser>
        <c:ser>
          <c:idx val="12"/>
          <c:order val="12"/>
          <c:tx>
            <c:strRef>
              <c:f>'2016 E Maize VWC Graphs'!$Z$162</c:f>
              <c:strCache>
                <c:ptCount val="1"/>
                <c:pt idx="0">
                  <c:v>256</c:v>
                </c:pt>
              </c:strCache>
            </c:strRef>
          </c:tx>
          <c:spPr>
            <a:ln>
              <a:solidFill>
                <a:srgbClr val="5449E1"/>
              </a:solidFill>
            </a:ln>
          </c:spPr>
          <c:marker>
            <c:symbol val="circle"/>
            <c:size val="8"/>
            <c:spPr>
              <a:solidFill>
                <a:srgbClr val="160B55"/>
              </a:solidFill>
              <a:ln>
                <a:solidFill>
                  <a:srgbClr val="7030A0"/>
                </a:solidFill>
              </a:ln>
            </c:spPr>
          </c:marker>
          <c:xVal>
            <c:numRef>
              <c:f>'2016 E Maize VWC Graphs'!$AV$162:$AV$173</c:f>
              <c:numCache>
                <c:formatCode>General</c:formatCode>
                <c:ptCount val="12"/>
                <c:pt idx="0">
                  <c:v>0.27813009289209406</c:v>
                </c:pt>
                <c:pt idx="1">
                  <c:v>0.31453959654246133</c:v>
                </c:pt>
                <c:pt idx="2">
                  <c:v>0.34636823693391444</c:v>
                </c:pt>
                <c:pt idx="3">
                  <c:v>0.32537049359653131</c:v>
                </c:pt>
                <c:pt idx="4">
                  <c:v>0.29912903900041243</c:v>
                </c:pt>
                <c:pt idx="5">
                  <c:v>0.29626675119542561</c:v>
                </c:pt>
                <c:pt idx="6">
                  <c:v>0.27148235354503608</c:v>
                </c:pt>
                <c:pt idx="7">
                  <c:v>0.32870799840609921</c:v>
                </c:pt>
                <c:pt idx="8">
                  <c:v>0.31136512440228725</c:v>
                </c:pt>
                <c:pt idx="9">
                  <c:v>0.29628013298483014</c:v>
                </c:pt>
                <c:pt idx="10">
                  <c:v>0.28685931253831493</c:v>
                </c:pt>
                <c:pt idx="11">
                  <c:v>0.29719496472240498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5C5F-4328-B006-7ECFD0F7E540}"/>
            </c:ext>
          </c:extLst>
        </c:ser>
        <c:ser>
          <c:idx val="13"/>
          <c:order val="13"/>
          <c:tx>
            <c:strRef>
              <c:f>'2016 E Maize VWC Graphs'!$Z$175</c:f>
              <c:strCache>
                <c:ptCount val="1"/>
                <c:pt idx="0">
                  <c:v>263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'2016 E Maize VWC Graphs'!$AV$175:$AV$186</c:f>
              <c:numCache>
                <c:formatCode>General</c:formatCode>
                <c:ptCount val="12"/>
                <c:pt idx="0">
                  <c:v>0.23598852437107798</c:v>
                </c:pt>
                <c:pt idx="1">
                  <c:v>0.29132071786840846</c:v>
                </c:pt>
                <c:pt idx="2">
                  <c:v>0.34217784758741376</c:v>
                </c:pt>
                <c:pt idx="3">
                  <c:v>0.32248530748910464</c:v>
                </c:pt>
                <c:pt idx="4">
                  <c:v>0.29997627619068851</c:v>
                </c:pt>
                <c:pt idx="5">
                  <c:v>0.29244273468796328</c:v>
                </c:pt>
                <c:pt idx="6">
                  <c:v>0.26505906687695757</c:v>
                </c:pt>
                <c:pt idx="7">
                  <c:v>0.32639172230457997</c:v>
                </c:pt>
                <c:pt idx="8">
                  <c:v>0.30844544864406975</c:v>
                </c:pt>
                <c:pt idx="9">
                  <c:v>0.29188115484244903</c:v>
                </c:pt>
                <c:pt idx="10">
                  <c:v>0.28843593744775242</c:v>
                </c:pt>
                <c:pt idx="11">
                  <c:v>0.29596870090395361</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5C5F-4328-B006-7ECFD0F7E540}"/>
            </c:ext>
          </c:extLst>
        </c:ser>
        <c:ser>
          <c:idx val="14"/>
          <c:order val="14"/>
          <c:tx>
            <c:strRef>
              <c:f>'2016 E Maize VWC Graphs'!$Z$188</c:f>
              <c:strCache>
                <c:ptCount val="1"/>
                <c:pt idx="0">
                  <c:v>270</c:v>
                </c:pt>
              </c:strCache>
            </c:strRef>
          </c:tx>
          <c:xVal>
            <c:numRef>
              <c:f>'2016 E Maize VWC Graphs'!$AV$188:$AV$199</c:f>
              <c:numCache>
                <c:formatCode>General</c:formatCode>
                <c:ptCount val="12"/>
                <c:pt idx="0">
                  <c:v>0.17713994347782469</c:v>
                </c:pt>
                <c:pt idx="1">
                  <c:v>0.2696589237602684</c:v>
                </c:pt>
                <c:pt idx="2">
                  <c:v>0.33478169589932794</c:v>
                </c:pt>
                <c:pt idx="3">
                  <c:v>0.31137963080575592</c:v>
                </c:pt>
                <c:pt idx="4">
                  <c:v>0.29308388715628031</c:v>
                </c:pt>
                <c:pt idx="5">
                  <c:v>0.28761119287314557</c:v>
                </c:pt>
                <c:pt idx="6">
                  <c:v>0.26540942796794365</c:v>
                </c:pt>
                <c:pt idx="7">
                  <c:v>0.32705351547644262</c:v>
                </c:pt>
                <c:pt idx="8">
                  <c:v>0.30873741621989148</c:v>
                </c:pt>
                <c:pt idx="9">
                  <c:v>0.29402225039847524</c:v>
                </c:pt>
                <c:pt idx="10">
                  <c:v>0.28736538966973929</c:v>
                </c:pt>
                <c:pt idx="11">
                  <c:v>0.29197847736772298</c:v>
                </c:pt>
              </c:numCache>
            </c:numRef>
          </c:xVal>
          <c:yVal>
            <c:numRef>
              <c:f>'2016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5C5F-4328-B006-7ECFD0F7E540}"/>
            </c:ext>
          </c:extLst>
        </c:ser>
        <c:ser>
          <c:idx val="16"/>
          <c:order val="15"/>
          <c:tx>
            <c:strRef>
              <c:f>'2016 E Maize VWC Graphs'!$Z$201</c:f>
              <c:strCache>
                <c:ptCount val="1"/>
                <c:pt idx="0">
                  <c:v>286</c:v>
                </c:pt>
              </c:strCache>
            </c:strRef>
          </c:tx>
          <c:xVal>
            <c:numRef>
              <c:f>'2016 E Maize VWC Graphs'!$AV$201:$AV$212</c:f>
              <c:numCache>
                <c:formatCode>General</c:formatCode>
                <c:ptCount val="12"/>
                <c:pt idx="0">
                  <c:v>0.18287518653098078</c:v>
                </c:pt>
                <c:pt idx="1">
                  <c:v>0.27222353363353657</c:v>
                </c:pt>
                <c:pt idx="2">
                  <c:v>0.33446111966516939</c:v>
                </c:pt>
                <c:pt idx="3">
                  <c:v>0.31522654561565816</c:v>
                </c:pt>
                <c:pt idx="4">
                  <c:v>0.29798412387841772</c:v>
                </c:pt>
                <c:pt idx="5">
                  <c:v>0.29216795505868454</c:v>
                </c:pt>
                <c:pt idx="6">
                  <c:v>0.27216361122195354</c:v>
                </c:pt>
                <c:pt idx="7">
                  <c:v>0.3245620588294304</c:v>
                </c:pt>
                <c:pt idx="8">
                  <c:v>0.30420218654212694</c:v>
                </c:pt>
                <c:pt idx="9">
                  <c:v>0.28937023369038201</c:v>
                </c:pt>
                <c:pt idx="10">
                  <c:v>0.28569144223502796</c:v>
                </c:pt>
                <c:pt idx="11">
                  <c:v>0.29686406813647365</c:v>
                </c:pt>
              </c:numCache>
            </c:numRef>
          </c:xVal>
          <c:yVal>
            <c:numRef>
              <c:f>'2016 E Maize VWC Graphs'!$AB$201:$AB$212</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F-5C5F-4328-B006-7ECFD0F7E540}"/>
            </c:ext>
          </c:extLst>
        </c:ser>
        <c:ser>
          <c:idx val="17"/>
          <c:order val="16"/>
          <c:tx>
            <c:strRef>
              <c:f>'2016 E Maize VWC Graphs'!$Z$214</c:f>
              <c:strCache>
                <c:ptCount val="1"/>
                <c:pt idx="0">
                  <c:v>302</c:v>
                </c:pt>
              </c:strCache>
            </c:strRef>
          </c:tx>
          <c:xVal>
            <c:numRef>
              <c:f>'2016 E Maize VWC Graphs'!$AV$214:$AV$225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Graphs'!$AB$214:$AB$225</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0-5C5F-4328-B006-7ECFD0F7E540}"/>
            </c:ext>
          </c:extLst>
        </c:ser>
        <c:ser>
          <c:idx val="18"/>
          <c:order val="17"/>
          <c:tx>
            <c:strRef>
              <c:f>'2016 E Maize VWC Graphs'!$Z$227</c:f>
              <c:strCache>
                <c:ptCount val="1"/>
                <c:pt idx="0">
                  <c:v>0</c:v>
                </c:pt>
              </c:strCache>
            </c:strRef>
          </c:tx>
          <c:xVal>
            <c:numRef>
              <c:f>'2016 E Maize VWC Graphs'!$AV$227:$AV$238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Graphs'!$AB$227:$AB$238</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1-5C5F-4328-B006-7ECFD0F7E540}"/>
            </c:ext>
          </c:extLst>
        </c:ser>
        <c:ser>
          <c:idx val="19"/>
          <c:order val="18"/>
          <c:tx>
            <c:strRef>
              <c:f>'2016 E Maize VWC Graphs'!$Z$240</c:f>
              <c:strCache>
                <c:ptCount val="1"/>
                <c:pt idx="0">
                  <c:v>0</c:v>
                </c:pt>
              </c:strCache>
            </c:strRef>
          </c:tx>
          <c:xVal>
            <c:numRef>
              <c:f>'2016 E Maize VWC Graphs'!$AV$240:$AV$251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Graphs'!$AB$240:$AB$251</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2-5C5F-4328-B006-7ECFD0F7E540}"/>
            </c:ext>
          </c:extLst>
        </c:ser>
        <c:ser>
          <c:idx val="20"/>
          <c:order val="19"/>
          <c:tx>
            <c:strRef>
              <c:f>'2016 E Maize VWC Graphs'!$Z$253</c:f>
              <c:strCache>
                <c:ptCount val="1"/>
                <c:pt idx="0">
                  <c:v>0</c:v>
                </c:pt>
              </c:strCache>
            </c:strRef>
          </c:tx>
          <c:xVal>
            <c:numRef>
              <c:f>'2016 E Maize VWC Graphs'!$AV$253:$AV$264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Graphs'!$AB$253:$AB$264</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3-5C5F-4328-B006-7ECFD0F7E540}"/>
            </c:ext>
          </c:extLst>
        </c:ser>
        <c:ser>
          <c:idx val="21"/>
          <c:order val="20"/>
          <c:tx>
            <c:strRef>
              <c:f>'2016 E Maize VWC Graphs'!$Z$266</c:f>
              <c:strCache>
                <c:ptCount val="1"/>
                <c:pt idx="0">
                  <c:v>0</c:v>
                </c:pt>
              </c:strCache>
            </c:strRef>
          </c:tx>
          <c:xVal>
            <c:numRef>
              <c:f>'2016 E Maize VWC Graphs'!$AV$266:$AV$277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Graphs'!$AB$266:$AB$277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4-5C5F-4328-B006-7ECFD0F7E540}"/>
            </c:ext>
          </c:extLst>
        </c:ser>
        <c:ser>
          <c:idx val="22"/>
          <c:order val="21"/>
          <c:tx>
            <c:strRef>
              <c:f>'2016 E Maize VWC Graphs'!$Z$279</c:f>
              <c:strCache>
                <c:ptCount val="1"/>
                <c:pt idx="0">
                  <c:v>0</c:v>
                </c:pt>
              </c:strCache>
            </c:strRef>
          </c:tx>
          <c:xVal>
            <c:numRef>
              <c:f>'2016 E Maize VWC Graphs'!$AV$279:$AV$290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Graphs'!$AB$279:$AB$290</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5-5C5F-4328-B006-7ECFD0F7E540}"/>
            </c:ext>
          </c:extLst>
        </c:ser>
        <c:ser>
          <c:idx val="23"/>
          <c:order val="22"/>
          <c:tx>
            <c:strRef>
              <c:f>'2016 E Maize VWC Graphs'!$Z$292</c:f>
              <c:strCache>
                <c:ptCount val="1"/>
                <c:pt idx="0">
                  <c:v>0</c:v>
                </c:pt>
              </c:strCache>
            </c:strRef>
          </c:tx>
          <c:xVal>
            <c:numRef>
              <c:f>'2016 E Maize VWC Graphs'!$AV$292:$AV$303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'2016 E Maize VWC Graphs'!$AB$292:$AB$303</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16-5C5F-4328-B006-7ECFD0F7E540}"/>
            </c:ext>
          </c:extLst>
        </c:ser>
        <c:ser>
          <c:idx val="15"/>
          <c:order val="23"/>
          <c:tx>
            <c:v>Porosity</c:v>
          </c:tx>
          <c:spPr>
            <a:ln w="38100">
              <a:solidFill>
                <a:srgbClr val="000000"/>
              </a:solidFill>
              <a:prstDash val="solid"/>
            </a:ln>
          </c:spPr>
          <c:marker>
            <c:symbol val="none"/>
          </c:marker>
          <c:xVal>
            <c:numRef>
              <c:f>'2016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'2016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17-5C5F-4328-B006-7ECFD0F7E54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20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2688035350872713"/>
          <c:y val="0.11242443201834405"/>
          <c:w val="0.11900647948164149"/>
          <c:h val="0.75986991851074048"/>
        </c:manualLayout>
      </c:layout>
      <c:overlay val="0"/>
      <c:spPr>
        <a:solidFill>
          <a:srgbClr val="FFFFFF"/>
        </a:solidFill>
        <a:ln w="3175">
          <a:no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685800</xdr:colOff>
      <xdr:row>19</xdr:row>
      <xdr:rowOff>68580</xdr:rowOff>
    </xdr:from>
    <xdr:to>
      <xdr:col>8</xdr:col>
      <xdr:colOff>586740</xdr:colOff>
      <xdr:row>41</xdr:row>
      <xdr:rowOff>45720</xdr:rowOff>
    </xdr:to>
    <xdr:graphicFrame macro="">
      <xdr:nvGraphicFramePr>
        <xdr:cNvPr id="2" name="Chart 1">
          <a:extLst>
            <a:ext uri="{FF2B5EF4-FFF2-40B4-BE49-F238E27FC236}">
              <a16:creationId xmlns:a16="http://schemas.microsoft.com/office/drawing/2014/main" id="{7C83A755-9DDF-4A9F-AAFF-C6B63A60D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0.74375</cdr:x>
      <cdr:y>0.10593</cdr:y>
    </cdr:from>
    <cdr:to>
      <cdr:x>0.98333</cdr:x>
      <cdr:y>0.20887</cdr:y>
    </cdr:to>
    <cdr:sp macro="" textlink="">
      <cdr:nvSpPr>
        <cdr:cNvPr id="2" name="TextBox 1"/>
        <cdr:cNvSpPr txBox="1"/>
      </cdr:nvSpPr>
      <cdr:spPr>
        <a:xfrm xmlns:a="http://schemas.openxmlformats.org/drawingml/2006/main">
          <a:off x="3627121" y="388257"/>
          <a:ext cx="1168384" cy="3772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maize SDI</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350520</xdr:colOff>
      <xdr:row>29</xdr:row>
      <xdr:rowOff>85726</xdr:rowOff>
    </xdr:to>
    <xdr:graphicFrame macro="">
      <xdr:nvGraphicFramePr>
        <xdr:cNvPr id="2" name="Chart 1">
          <a:extLst>
            <a:ext uri="{FF2B5EF4-FFF2-40B4-BE49-F238E27FC236}">
              <a16:creationId xmlns:a16="http://schemas.microsoft.com/office/drawing/2014/main" id="{6A41AA43-68BC-458D-84B6-227CC5054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66675</xdr:colOff>
      <xdr:row>0</xdr:row>
      <xdr:rowOff>114300</xdr:rowOff>
    </xdr:from>
    <xdr:to>
      <xdr:col>23</xdr:col>
      <xdr:colOff>417195</xdr:colOff>
      <xdr:row>30</xdr:row>
      <xdr:rowOff>0</xdr:rowOff>
    </xdr:to>
    <xdr:graphicFrame macro="">
      <xdr:nvGraphicFramePr>
        <xdr:cNvPr id="3" name="Chart 1">
          <a:extLst>
            <a:ext uri="{FF2B5EF4-FFF2-40B4-BE49-F238E27FC236}">
              <a16:creationId xmlns:a16="http://schemas.microsoft.com/office/drawing/2014/main" id="{6540C54E-E67A-4941-A662-518528A88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11</xdr:col>
      <xdr:colOff>350520</xdr:colOff>
      <xdr:row>69</xdr:row>
      <xdr:rowOff>38100</xdr:rowOff>
    </xdr:to>
    <xdr:graphicFrame macro="">
      <xdr:nvGraphicFramePr>
        <xdr:cNvPr id="4" name="Chart 1">
          <a:extLst>
            <a:ext uri="{FF2B5EF4-FFF2-40B4-BE49-F238E27FC236}">
              <a16:creationId xmlns:a16="http://schemas.microsoft.com/office/drawing/2014/main" id="{81CB2D49-1C87-48B3-B300-BFA462D0B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35</xdr:row>
      <xdr:rowOff>0</xdr:rowOff>
    </xdr:from>
    <xdr:to>
      <xdr:col>23</xdr:col>
      <xdr:colOff>350520</xdr:colOff>
      <xdr:row>69</xdr:row>
      <xdr:rowOff>38100</xdr:rowOff>
    </xdr:to>
    <xdr:graphicFrame macro="">
      <xdr:nvGraphicFramePr>
        <xdr:cNvPr id="5" name="Chart 1">
          <a:extLst>
            <a:ext uri="{FF2B5EF4-FFF2-40B4-BE49-F238E27FC236}">
              <a16:creationId xmlns:a16="http://schemas.microsoft.com/office/drawing/2014/main" id="{5A5A7C18-9363-4C9A-9508-77CC55EB7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11</xdr:col>
      <xdr:colOff>350520</xdr:colOff>
      <xdr:row>104</xdr:row>
      <xdr:rowOff>38100</xdr:rowOff>
    </xdr:to>
    <xdr:graphicFrame macro="">
      <xdr:nvGraphicFramePr>
        <xdr:cNvPr id="6" name="Chart 1">
          <a:extLst>
            <a:ext uri="{FF2B5EF4-FFF2-40B4-BE49-F238E27FC236}">
              <a16:creationId xmlns:a16="http://schemas.microsoft.com/office/drawing/2014/main" id="{82903D59-523C-436F-86D3-9B4127497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70</xdr:row>
      <xdr:rowOff>0</xdr:rowOff>
    </xdr:from>
    <xdr:to>
      <xdr:col>23</xdr:col>
      <xdr:colOff>350520</xdr:colOff>
      <xdr:row>104</xdr:row>
      <xdr:rowOff>38100</xdr:rowOff>
    </xdr:to>
    <xdr:graphicFrame macro="">
      <xdr:nvGraphicFramePr>
        <xdr:cNvPr id="7" name="Chart 1">
          <a:extLst>
            <a:ext uri="{FF2B5EF4-FFF2-40B4-BE49-F238E27FC236}">
              <a16:creationId xmlns:a16="http://schemas.microsoft.com/office/drawing/2014/main" id="{498B7D5A-4262-4F02-86CD-19327ADE6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11</xdr:col>
      <xdr:colOff>350520</xdr:colOff>
      <xdr:row>139</xdr:row>
      <xdr:rowOff>38100</xdr:rowOff>
    </xdr:to>
    <xdr:graphicFrame macro="">
      <xdr:nvGraphicFramePr>
        <xdr:cNvPr id="8" name="Chart 1">
          <a:extLst>
            <a:ext uri="{FF2B5EF4-FFF2-40B4-BE49-F238E27FC236}">
              <a16:creationId xmlns:a16="http://schemas.microsoft.com/office/drawing/2014/main" id="{0574EEEB-8C17-4C10-BA45-3C2143013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105</xdr:row>
      <xdr:rowOff>0</xdr:rowOff>
    </xdr:from>
    <xdr:to>
      <xdr:col>23</xdr:col>
      <xdr:colOff>350520</xdr:colOff>
      <xdr:row>139</xdr:row>
      <xdr:rowOff>38100</xdr:rowOff>
    </xdr:to>
    <xdr:graphicFrame macro="">
      <xdr:nvGraphicFramePr>
        <xdr:cNvPr id="9" name="Chart 1">
          <a:extLst>
            <a:ext uri="{FF2B5EF4-FFF2-40B4-BE49-F238E27FC236}">
              <a16:creationId xmlns:a16="http://schemas.microsoft.com/office/drawing/2014/main" id="{1E4F2D19-5F25-40DD-A6CC-2BEA7E400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140</xdr:row>
      <xdr:rowOff>0</xdr:rowOff>
    </xdr:from>
    <xdr:to>
      <xdr:col>11</xdr:col>
      <xdr:colOff>350520</xdr:colOff>
      <xdr:row>174</xdr:row>
      <xdr:rowOff>38100</xdr:rowOff>
    </xdr:to>
    <xdr:graphicFrame macro="">
      <xdr:nvGraphicFramePr>
        <xdr:cNvPr id="10" name="Chart 1">
          <a:extLst>
            <a:ext uri="{FF2B5EF4-FFF2-40B4-BE49-F238E27FC236}">
              <a16:creationId xmlns:a16="http://schemas.microsoft.com/office/drawing/2014/main" id="{F8251C8F-6A32-4522-AB65-4D11054B3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140</xdr:row>
      <xdr:rowOff>0</xdr:rowOff>
    </xdr:from>
    <xdr:to>
      <xdr:col>23</xdr:col>
      <xdr:colOff>350520</xdr:colOff>
      <xdr:row>174</xdr:row>
      <xdr:rowOff>38100</xdr:rowOff>
    </xdr:to>
    <xdr:graphicFrame macro="">
      <xdr:nvGraphicFramePr>
        <xdr:cNvPr id="11" name="Chart 1">
          <a:extLst>
            <a:ext uri="{FF2B5EF4-FFF2-40B4-BE49-F238E27FC236}">
              <a16:creationId xmlns:a16="http://schemas.microsoft.com/office/drawing/2014/main" id="{24660202-5B5E-4074-AFEC-C4A1CFB2D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175</xdr:row>
      <xdr:rowOff>0</xdr:rowOff>
    </xdr:from>
    <xdr:to>
      <xdr:col>11</xdr:col>
      <xdr:colOff>350520</xdr:colOff>
      <xdr:row>209</xdr:row>
      <xdr:rowOff>38100</xdr:rowOff>
    </xdr:to>
    <xdr:graphicFrame macro="">
      <xdr:nvGraphicFramePr>
        <xdr:cNvPr id="12" name="Chart 1">
          <a:extLst>
            <a:ext uri="{FF2B5EF4-FFF2-40B4-BE49-F238E27FC236}">
              <a16:creationId xmlns:a16="http://schemas.microsoft.com/office/drawing/2014/main" id="{250C059E-F098-4D6B-9A46-8F38677CE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175</xdr:row>
      <xdr:rowOff>0</xdr:rowOff>
    </xdr:from>
    <xdr:to>
      <xdr:col>23</xdr:col>
      <xdr:colOff>350520</xdr:colOff>
      <xdr:row>209</xdr:row>
      <xdr:rowOff>38100</xdr:rowOff>
    </xdr:to>
    <xdr:graphicFrame macro="">
      <xdr:nvGraphicFramePr>
        <xdr:cNvPr id="13" name="Chart 1">
          <a:extLst>
            <a:ext uri="{FF2B5EF4-FFF2-40B4-BE49-F238E27FC236}">
              <a16:creationId xmlns:a16="http://schemas.microsoft.com/office/drawing/2014/main" id="{06520CEB-3C67-48D9-9D2A-52CD5AB6B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210</xdr:row>
      <xdr:rowOff>0</xdr:rowOff>
    </xdr:from>
    <xdr:to>
      <xdr:col>11</xdr:col>
      <xdr:colOff>350520</xdr:colOff>
      <xdr:row>244</xdr:row>
      <xdr:rowOff>38100</xdr:rowOff>
    </xdr:to>
    <xdr:graphicFrame macro="">
      <xdr:nvGraphicFramePr>
        <xdr:cNvPr id="14" name="Chart 1">
          <a:extLst>
            <a:ext uri="{FF2B5EF4-FFF2-40B4-BE49-F238E27FC236}">
              <a16:creationId xmlns:a16="http://schemas.microsoft.com/office/drawing/2014/main" id="{B0525D6B-A480-47DB-AFAD-6B494FA0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210</xdr:row>
      <xdr:rowOff>0</xdr:rowOff>
    </xdr:from>
    <xdr:to>
      <xdr:col>23</xdr:col>
      <xdr:colOff>350520</xdr:colOff>
      <xdr:row>244</xdr:row>
      <xdr:rowOff>38100</xdr:rowOff>
    </xdr:to>
    <xdr:graphicFrame macro="">
      <xdr:nvGraphicFramePr>
        <xdr:cNvPr id="15" name="Chart 1">
          <a:extLst>
            <a:ext uri="{FF2B5EF4-FFF2-40B4-BE49-F238E27FC236}">
              <a16:creationId xmlns:a16="http://schemas.microsoft.com/office/drawing/2014/main" id="{D3C97753-0ACA-4287-B0D9-123D5286A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245</xdr:row>
      <xdr:rowOff>0</xdr:rowOff>
    </xdr:from>
    <xdr:to>
      <xdr:col>11</xdr:col>
      <xdr:colOff>350520</xdr:colOff>
      <xdr:row>279</xdr:row>
      <xdr:rowOff>38100</xdr:rowOff>
    </xdr:to>
    <xdr:graphicFrame macro="">
      <xdr:nvGraphicFramePr>
        <xdr:cNvPr id="16" name="Chart 1">
          <a:extLst>
            <a:ext uri="{FF2B5EF4-FFF2-40B4-BE49-F238E27FC236}">
              <a16:creationId xmlns:a16="http://schemas.microsoft.com/office/drawing/2014/main" id="{3C1ADFE7-7995-41AF-910D-6A0279C76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245</xdr:row>
      <xdr:rowOff>0</xdr:rowOff>
    </xdr:from>
    <xdr:to>
      <xdr:col>23</xdr:col>
      <xdr:colOff>350520</xdr:colOff>
      <xdr:row>279</xdr:row>
      <xdr:rowOff>38100</xdr:rowOff>
    </xdr:to>
    <xdr:graphicFrame macro="">
      <xdr:nvGraphicFramePr>
        <xdr:cNvPr id="17" name="Chart 1">
          <a:extLst>
            <a:ext uri="{FF2B5EF4-FFF2-40B4-BE49-F238E27FC236}">
              <a16:creationId xmlns:a16="http://schemas.microsoft.com/office/drawing/2014/main" id="{2AE8E9F9-6A21-497C-8AFA-A5238D508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280</xdr:row>
      <xdr:rowOff>0</xdr:rowOff>
    </xdr:from>
    <xdr:to>
      <xdr:col>11</xdr:col>
      <xdr:colOff>350520</xdr:colOff>
      <xdr:row>314</xdr:row>
      <xdr:rowOff>38100</xdr:rowOff>
    </xdr:to>
    <xdr:graphicFrame macro="">
      <xdr:nvGraphicFramePr>
        <xdr:cNvPr id="18" name="Chart 1">
          <a:extLst>
            <a:ext uri="{FF2B5EF4-FFF2-40B4-BE49-F238E27FC236}">
              <a16:creationId xmlns:a16="http://schemas.microsoft.com/office/drawing/2014/main" id="{F239F851-762C-4D8A-8FA4-8927B9E3B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0</xdr:colOff>
      <xdr:row>280</xdr:row>
      <xdr:rowOff>0</xdr:rowOff>
    </xdr:from>
    <xdr:to>
      <xdr:col>23</xdr:col>
      <xdr:colOff>350520</xdr:colOff>
      <xdr:row>314</xdr:row>
      <xdr:rowOff>38100</xdr:rowOff>
    </xdr:to>
    <xdr:graphicFrame macro="">
      <xdr:nvGraphicFramePr>
        <xdr:cNvPr id="19" name="Chart 1">
          <a:extLst>
            <a:ext uri="{FF2B5EF4-FFF2-40B4-BE49-F238E27FC236}">
              <a16:creationId xmlns:a16="http://schemas.microsoft.com/office/drawing/2014/main" id="{985963D5-5BB2-46F9-9B95-7A7C39A4F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315</xdr:row>
      <xdr:rowOff>47625</xdr:rowOff>
    </xdr:from>
    <xdr:to>
      <xdr:col>11</xdr:col>
      <xdr:colOff>350520</xdr:colOff>
      <xdr:row>349</xdr:row>
      <xdr:rowOff>85724</xdr:rowOff>
    </xdr:to>
    <xdr:graphicFrame macro="">
      <xdr:nvGraphicFramePr>
        <xdr:cNvPr id="20" name="Chart 1">
          <a:extLst>
            <a:ext uri="{FF2B5EF4-FFF2-40B4-BE49-F238E27FC236}">
              <a16:creationId xmlns:a16="http://schemas.microsoft.com/office/drawing/2014/main" id="{8BA6FB6D-C536-41E9-896E-2EB49EB5A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0</xdr:colOff>
      <xdr:row>315</xdr:row>
      <xdr:rowOff>0</xdr:rowOff>
    </xdr:from>
    <xdr:to>
      <xdr:col>23</xdr:col>
      <xdr:colOff>350520</xdr:colOff>
      <xdr:row>349</xdr:row>
      <xdr:rowOff>38099</xdr:rowOff>
    </xdr:to>
    <xdr:graphicFrame macro="">
      <xdr:nvGraphicFramePr>
        <xdr:cNvPr id="21" name="Chart 1">
          <a:extLst>
            <a:ext uri="{FF2B5EF4-FFF2-40B4-BE49-F238E27FC236}">
              <a16:creationId xmlns:a16="http://schemas.microsoft.com/office/drawing/2014/main" id="{52131D01-C34A-4DBA-B97B-6C1645C10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0.81607</cdr:x>
      <cdr:y>0.10147</cdr:y>
    </cdr:from>
    <cdr:to>
      <cdr:x>0.97372</cdr:x>
      <cdr:y>0.15431</cdr:y>
    </cdr:to>
    <cdr:sp macro="" textlink="">
      <cdr:nvSpPr>
        <cdr:cNvPr id="2" name="TextBox 1"/>
        <cdr:cNvSpPr txBox="1"/>
      </cdr:nvSpPr>
      <cdr:spPr>
        <a:xfrm xmlns:a="http://schemas.openxmlformats.org/drawingml/2006/main">
          <a:off x="5758292" y="632100"/>
          <a:ext cx="1112397" cy="32915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5.xml><?xml version="1.0" encoding="utf-8"?>
<c:userShapes xmlns:c="http://schemas.openxmlformats.org/drawingml/2006/chart">
  <cdr:relSizeAnchor xmlns:cdr="http://schemas.openxmlformats.org/drawingml/2006/chartDrawing">
    <cdr:from>
      <cdr:x>0.81202</cdr:x>
      <cdr:y>0.09495</cdr:y>
    </cdr:from>
    <cdr:to>
      <cdr:x>0.96967</cdr:x>
      <cdr:y>0.14779</cdr:y>
    </cdr:to>
    <cdr:sp macro="" textlink="">
      <cdr:nvSpPr>
        <cdr:cNvPr id="2" name="TextBox 1"/>
        <cdr:cNvSpPr txBox="1"/>
      </cdr:nvSpPr>
      <cdr:spPr>
        <a:xfrm xmlns:a="http://schemas.openxmlformats.org/drawingml/2006/main">
          <a:off x="5729717" y="588741"/>
          <a:ext cx="1112397" cy="32764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6.xml><?xml version="1.0" encoding="utf-8"?>
<c:userShapes xmlns:c="http://schemas.openxmlformats.org/drawingml/2006/chart">
  <cdr:relSizeAnchor xmlns:cdr="http://schemas.openxmlformats.org/drawingml/2006/chartDrawing">
    <cdr:from>
      <cdr:x>0.80797</cdr:x>
      <cdr:y>0.05579</cdr:y>
    </cdr:from>
    <cdr:to>
      <cdr:x>0.96562</cdr:x>
      <cdr:y>0.10863</cdr:y>
    </cdr:to>
    <cdr:sp macro="" textlink="">
      <cdr:nvSpPr>
        <cdr:cNvPr id="2" name="TextBox 1"/>
        <cdr:cNvSpPr txBox="1"/>
      </cdr:nvSpPr>
      <cdr:spPr>
        <a:xfrm xmlns:a="http://schemas.openxmlformats.org/drawingml/2006/main">
          <a:off x="5701142"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7.xml><?xml version="1.0" encoding="utf-8"?>
<c:userShapes xmlns:c="http://schemas.openxmlformats.org/drawingml/2006/chart">
  <cdr:relSizeAnchor xmlns:cdr="http://schemas.openxmlformats.org/drawingml/2006/chartDrawing">
    <cdr:from>
      <cdr:x>0.81472</cdr:x>
      <cdr:y>0.03307</cdr:y>
    </cdr:from>
    <cdr:to>
      <cdr:x>0.97237</cdr:x>
      <cdr:y>0.08591</cdr:y>
    </cdr:to>
    <cdr:sp macro="" textlink="">
      <cdr:nvSpPr>
        <cdr:cNvPr id="2" name="TextBox 1"/>
        <cdr:cNvSpPr txBox="1"/>
      </cdr:nvSpPr>
      <cdr:spPr>
        <a:xfrm xmlns:a="http://schemas.openxmlformats.org/drawingml/2006/main">
          <a:off x="5748767" y="1940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8.xml><?xml version="1.0" encoding="utf-8"?>
<c:userShapes xmlns:c="http://schemas.openxmlformats.org/drawingml/2006/chart">
  <cdr:relSizeAnchor xmlns:cdr="http://schemas.openxmlformats.org/drawingml/2006/chartDrawing">
    <cdr:from>
      <cdr:x>0.81742</cdr:x>
      <cdr:y>0.04443</cdr:y>
    </cdr:from>
    <cdr:to>
      <cdr:x>0.97507</cdr:x>
      <cdr:y>0.09727</cdr:y>
    </cdr:to>
    <cdr:sp macro="" textlink="">
      <cdr:nvSpPr>
        <cdr:cNvPr id="2" name="TextBox 1"/>
        <cdr:cNvSpPr txBox="1"/>
      </cdr:nvSpPr>
      <cdr:spPr>
        <a:xfrm xmlns:a="http://schemas.openxmlformats.org/drawingml/2006/main">
          <a:off x="5767817" y="2606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9.xml><?xml version="1.0" encoding="utf-8"?>
<c:userShapes xmlns:c="http://schemas.openxmlformats.org/drawingml/2006/chart">
  <cdr:relSizeAnchor xmlns:cdr="http://schemas.openxmlformats.org/drawingml/2006/chartDrawing">
    <cdr:from>
      <cdr:x>0.82012</cdr:x>
      <cdr:y>0.06553</cdr:y>
    </cdr:from>
    <cdr:to>
      <cdr:x>0.97777</cdr:x>
      <cdr:y>0.11837</cdr:y>
    </cdr:to>
    <cdr:sp macro="" textlink="">
      <cdr:nvSpPr>
        <cdr:cNvPr id="2" name="TextBox 1"/>
        <cdr:cNvSpPr txBox="1"/>
      </cdr:nvSpPr>
      <cdr:spPr>
        <a:xfrm xmlns:a="http://schemas.openxmlformats.org/drawingml/2006/main">
          <a:off x="5786867" y="3845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0.xml><?xml version="1.0" encoding="utf-8"?>
<c:userShapes xmlns:c="http://schemas.openxmlformats.org/drawingml/2006/chart">
  <cdr:relSizeAnchor xmlns:cdr="http://schemas.openxmlformats.org/drawingml/2006/chartDrawing">
    <cdr:from>
      <cdr:x>0.81202</cdr:x>
      <cdr:y>0.05579</cdr:y>
    </cdr:from>
    <cdr:to>
      <cdr:x>0.96967</cdr:x>
      <cdr:y>0.10863</cdr:y>
    </cdr:to>
    <cdr:sp macro="" textlink="">
      <cdr:nvSpPr>
        <cdr:cNvPr id="2" name="TextBox 1"/>
        <cdr:cNvSpPr txBox="1"/>
      </cdr:nvSpPr>
      <cdr:spPr>
        <a:xfrm xmlns:a="http://schemas.openxmlformats.org/drawingml/2006/main">
          <a:off x="5729717"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1.xml><?xml version="1.0" encoding="utf-8"?>
<c:userShapes xmlns:c="http://schemas.openxmlformats.org/drawingml/2006/chart">
  <cdr:relSizeAnchor xmlns:cdr="http://schemas.openxmlformats.org/drawingml/2006/chartDrawing">
    <cdr:from>
      <cdr:x>0.81067</cdr:x>
      <cdr:y>0.03794</cdr:y>
    </cdr:from>
    <cdr:to>
      <cdr:x>0.96832</cdr:x>
      <cdr:y>0.09078</cdr:y>
    </cdr:to>
    <cdr:sp macro="" textlink="">
      <cdr:nvSpPr>
        <cdr:cNvPr id="2" name="TextBox 1"/>
        <cdr:cNvSpPr txBox="1"/>
      </cdr:nvSpPr>
      <cdr:spPr>
        <a:xfrm xmlns:a="http://schemas.openxmlformats.org/drawingml/2006/main">
          <a:off x="5720192" y="2225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2.xml><?xml version="1.0" encoding="utf-8"?>
<c:userShapes xmlns:c="http://schemas.openxmlformats.org/drawingml/2006/chart">
  <cdr:relSizeAnchor xmlns:cdr="http://schemas.openxmlformats.org/drawingml/2006/chartDrawing">
    <cdr:from>
      <cdr:x>0.81877</cdr:x>
      <cdr:y>0.05255</cdr:y>
    </cdr:from>
    <cdr:to>
      <cdr:x>0.97642</cdr:x>
      <cdr:y>0.10539</cdr:y>
    </cdr:to>
    <cdr:sp macro="" textlink="">
      <cdr:nvSpPr>
        <cdr:cNvPr id="2" name="TextBox 1"/>
        <cdr:cNvSpPr txBox="1"/>
      </cdr:nvSpPr>
      <cdr:spPr>
        <a:xfrm xmlns:a="http://schemas.openxmlformats.org/drawingml/2006/main">
          <a:off x="5777342" y="3083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3.xml><?xml version="1.0" encoding="utf-8"?>
<c:userShapes xmlns:c="http://schemas.openxmlformats.org/drawingml/2006/chart">
  <cdr:relSizeAnchor xmlns:cdr="http://schemas.openxmlformats.org/drawingml/2006/chartDrawing">
    <cdr:from>
      <cdr:x>0.81742</cdr:x>
      <cdr:y>0.06229</cdr:y>
    </cdr:from>
    <cdr:to>
      <cdr:x>0.97507</cdr:x>
      <cdr:y>0.11513</cdr:y>
    </cdr:to>
    <cdr:sp macro="" textlink="">
      <cdr:nvSpPr>
        <cdr:cNvPr id="2" name="TextBox 1"/>
        <cdr:cNvSpPr txBox="1"/>
      </cdr:nvSpPr>
      <cdr:spPr>
        <a:xfrm xmlns:a="http://schemas.openxmlformats.org/drawingml/2006/main">
          <a:off x="5767817" y="3654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4.xml><?xml version="1.0" encoding="utf-8"?>
<c:userShapes xmlns:c="http://schemas.openxmlformats.org/drawingml/2006/chart">
  <cdr:relSizeAnchor xmlns:cdr="http://schemas.openxmlformats.org/drawingml/2006/chartDrawing">
    <cdr:from>
      <cdr:x>0.80797</cdr:x>
      <cdr:y>0.05579</cdr:y>
    </cdr:from>
    <cdr:to>
      <cdr:x>0.96562</cdr:x>
      <cdr:y>0.10863</cdr:y>
    </cdr:to>
    <cdr:sp macro="" textlink="">
      <cdr:nvSpPr>
        <cdr:cNvPr id="2" name="TextBox 1"/>
        <cdr:cNvSpPr txBox="1"/>
      </cdr:nvSpPr>
      <cdr:spPr>
        <a:xfrm xmlns:a="http://schemas.openxmlformats.org/drawingml/2006/main">
          <a:off x="5701142" y="3273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5.xml><?xml version="1.0" encoding="utf-8"?>
<c:userShapes xmlns:c="http://schemas.openxmlformats.org/drawingml/2006/chart">
  <cdr:relSizeAnchor xmlns:cdr="http://schemas.openxmlformats.org/drawingml/2006/chartDrawing">
    <cdr:from>
      <cdr:x>0.81877</cdr:x>
      <cdr:y>0.06229</cdr:y>
    </cdr:from>
    <cdr:to>
      <cdr:x>0.97642</cdr:x>
      <cdr:y>0.11513</cdr:y>
    </cdr:to>
    <cdr:sp macro="" textlink="">
      <cdr:nvSpPr>
        <cdr:cNvPr id="2" name="TextBox 1"/>
        <cdr:cNvSpPr txBox="1"/>
      </cdr:nvSpPr>
      <cdr:spPr>
        <a:xfrm xmlns:a="http://schemas.openxmlformats.org/drawingml/2006/main">
          <a:off x="5777342" y="3654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6.xml><?xml version="1.0" encoding="utf-8"?>
<c:userShapes xmlns:c="http://schemas.openxmlformats.org/drawingml/2006/chart">
  <cdr:relSizeAnchor xmlns:cdr="http://schemas.openxmlformats.org/drawingml/2006/chartDrawing">
    <cdr:from>
      <cdr:x>0.81202</cdr:x>
      <cdr:y>0.05417</cdr:y>
    </cdr:from>
    <cdr:to>
      <cdr:x>0.96967</cdr:x>
      <cdr:y>0.10701</cdr:y>
    </cdr:to>
    <cdr:sp macro="" textlink="">
      <cdr:nvSpPr>
        <cdr:cNvPr id="2" name="TextBox 1"/>
        <cdr:cNvSpPr txBox="1"/>
      </cdr:nvSpPr>
      <cdr:spPr>
        <a:xfrm xmlns:a="http://schemas.openxmlformats.org/drawingml/2006/main">
          <a:off x="5729717" y="31783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7.xml><?xml version="1.0" encoding="utf-8"?>
<c:userShapes xmlns:c="http://schemas.openxmlformats.org/drawingml/2006/chart">
  <cdr:relSizeAnchor xmlns:cdr="http://schemas.openxmlformats.org/drawingml/2006/chartDrawing">
    <cdr:from>
      <cdr:x>0.80662</cdr:x>
      <cdr:y>0.0493</cdr:y>
    </cdr:from>
    <cdr:to>
      <cdr:x>0.96427</cdr:x>
      <cdr:y>0.10214</cdr:y>
    </cdr:to>
    <cdr:sp macro="" textlink="">
      <cdr:nvSpPr>
        <cdr:cNvPr id="2" name="TextBox 1"/>
        <cdr:cNvSpPr txBox="1"/>
      </cdr:nvSpPr>
      <cdr:spPr>
        <a:xfrm xmlns:a="http://schemas.openxmlformats.org/drawingml/2006/main">
          <a:off x="5691617" y="2892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8.xml><?xml version="1.0" encoding="utf-8"?>
<c:userShapes xmlns:c="http://schemas.openxmlformats.org/drawingml/2006/chart">
  <cdr:relSizeAnchor xmlns:cdr="http://schemas.openxmlformats.org/drawingml/2006/chartDrawing">
    <cdr:from>
      <cdr:x>0.82012</cdr:x>
      <cdr:y>0.03631</cdr:y>
    </cdr:from>
    <cdr:to>
      <cdr:x>0.97777</cdr:x>
      <cdr:y>0.08915</cdr:y>
    </cdr:to>
    <cdr:sp macro="" textlink="">
      <cdr:nvSpPr>
        <cdr:cNvPr id="2" name="TextBox 1"/>
        <cdr:cNvSpPr txBox="1"/>
      </cdr:nvSpPr>
      <cdr:spPr>
        <a:xfrm xmlns:a="http://schemas.openxmlformats.org/drawingml/2006/main">
          <a:off x="5786867" y="21306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9.xml><?xml version="1.0" encoding="utf-8"?>
<c:userShapes xmlns:c="http://schemas.openxmlformats.org/drawingml/2006/chart">
  <cdr:relSizeAnchor xmlns:cdr="http://schemas.openxmlformats.org/drawingml/2006/chartDrawing">
    <cdr:from>
      <cdr:x>0.82012</cdr:x>
      <cdr:y>0.06391</cdr:y>
    </cdr:from>
    <cdr:to>
      <cdr:x>0.97777</cdr:x>
      <cdr:y>0.11675</cdr:y>
    </cdr:to>
    <cdr:sp macro="" textlink="">
      <cdr:nvSpPr>
        <cdr:cNvPr id="2" name="TextBox 1"/>
        <cdr:cNvSpPr txBox="1"/>
      </cdr:nvSpPr>
      <cdr:spPr>
        <a:xfrm xmlns:a="http://schemas.openxmlformats.org/drawingml/2006/main">
          <a:off x="5786867" y="3749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0.xml><?xml version="1.0" encoding="utf-8"?>
<c:userShapes xmlns:c="http://schemas.openxmlformats.org/drawingml/2006/chart">
  <cdr:relSizeAnchor xmlns:cdr="http://schemas.openxmlformats.org/drawingml/2006/chartDrawing">
    <cdr:from>
      <cdr:x>0.81337</cdr:x>
      <cdr:y>0.03794</cdr:y>
    </cdr:from>
    <cdr:to>
      <cdr:x>0.97102</cdr:x>
      <cdr:y>0.09078</cdr:y>
    </cdr:to>
    <cdr:sp macro="" textlink="">
      <cdr:nvSpPr>
        <cdr:cNvPr id="2" name="TextBox 1"/>
        <cdr:cNvSpPr txBox="1"/>
      </cdr:nvSpPr>
      <cdr:spPr>
        <a:xfrm xmlns:a="http://schemas.openxmlformats.org/drawingml/2006/main">
          <a:off x="5739242" y="222586"/>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1.xml><?xml version="1.0" encoding="utf-8"?>
<c:userShapes xmlns:c="http://schemas.openxmlformats.org/drawingml/2006/chart">
  <cdr:relSizeAnchor xmlns:cdr="http://schemas.openxmlformats.org/drawingml/2006/chartDrawing">
    <cdr:from>
      <cdr:x>0.81877</cdr:x>
      <cdr:y>0.04605</cdr:y>
    </cdr:from>
    <cdr:to>
      <cdr:x>0.97642</cdr:x>
      <cdr:y>0.09889</cdr:y>
    </cdr:to>
    <cdr:sp macro="" textlink="">
      <cdr:nvSpPr>
        <cdr:cNvPr id="2" name="TextBox 1"/>
        <cdr:cNvSpPr txBox="1"/>
      </cdr:nvSpPr>
      <cdr:spPr>
        <a:xfrm xmlns:a="http://schemas.openxmlformats.org/drawingml/2006/main">
          <a:off x="5777342" y="270211"/>
          <a:ext cx="1112397" cy="310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2.xml><?xml version="1.0" encoding="utf-8"?>
<c:userShapes xmlns:c="http://schemas.openxmlformats.org/drawingml/2006/chart">
  <cdr:relSizeAnchor xmlns:cdr="http://schemas.openxmlformats.org/drawingml/2006/chartDrawing">
    <cdr:from>
      <cdr:x>0.81202</cdr:x>
      <cdr:y>0.04118</cdr:y>
    </cdr:from>
    <cdr:to>
      <cdr:x>0.96967</cdr:x>
      <cdr:y>0.09402</cdr:y>
    </cdr:to>
    <cdr:sp macro="" textlink="">
      <cdr:nvSpPr>
        <cdr:cNvPr id="2" name="TextBox 1"/>
        <cdr:cNvSpPr txBox="1"/>
      </cdr:nvSpPr>
      <cdr:spPr>
        <a:xfrm xmlns:a="http://schemas.openxmlformats.org/drawingml/2006/main">
          <a:off x="5729717" y="241636"/>
          <a:ext cx="1112397" cy="3100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3.xml><?xml version="1.0" encoding="utf-8"?>
<c:userShapes xmlns:c="http://schemas.openxmlformats.org/drawingml/2006/chart">
  <cdr:relSizeAnchor xmlns:cdr="http://schemas.openxmlformats.org/drawingml/2006/chartDrawing">
    <cdr:from>
      <cdr:x>0.80932</cdr:x>
      <cdr:y>0.03631</cdr:y>
    </cdr:from>
    <cdr:to>
      <cdr:x>0.96697</cdr:x>
      <cdr:y>0.08915</cdr:y>
    </cdr:to>
    <cdr:sp macro="" textlink="">
      <cdr:nvSpPr>
        <cdr:cNvPr id="2" name="TextBox 1"/>
        <cdr:cNvSpPr txBox="1"/>
      </cdr:nvSpPr>
      <cdr:spPr>
        <a:xfrm xmlns:a="http://schemas.openxmlformats.org/drawingml/2006/main">
          <a:off x="5710667" y="213061"/>
          <a:ext cx="1112397" cy="3100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2AB3-EA76-4991-A45A-D4439B1D5302}">
  <dimension ref="A1:B53"/>
  <sheetViews>
    <sheetView workbookViewId="0"/>
  </sheetViews>
  <sheetFormatPr defaultColWidth="8.77734375" defaultRowHeight="13.2" x14ac:dyDescent="0.25"/>
  <cols>
    <col min="1" max="1" width="29" style="1" customWidth="1"/>
    <col min="2" max="2" width="59.33203125" style="1" customWidth="1"/>
    <col min="3" max="16384" width="8.77734375" style="1"/>
  </cols>
  <sheetData>
    <row r="1" spans="1:2" x14ac:dyDescent="0.25">
      <c r="A1" s="3" t="s">
        <v>12</v>
      </c>
      <c r="B1" s="1" t="s">
        <v>13</v>
      </c>
    </row>
    <row r="2" spans="1:2" x14ac:dyDescent="0.25">
      <c r="A2" s="3" t="s">
        <v>162</v>
      </c>
      <c r="B2" s="34" t="s">
        <v>183</v>
      </c>
    </row>
    <row r="3" spans="1:2" x14ac:dyDescent="0.25">
      <c r="A3" s="3" t="s">
        <v>164</v>
      </c>
      <c r="B3" s="1" t="s">
        <v>165</v>
      </c>
    </row>
    <row r="4" spans="1:2" x14ac:dyDescent="0.25">
      <c r="A4" s="3" t="s">
        <v>163</v>
      </c>
      <c r="B4" s="1" t="s">
        <v>14</v>
      </c>
    </row>
    <row r="5" spans="1:2" x14ac:dyDescent="0.25">
      <c r="A5" s="3" t="s">
        <v>167</v>
      </c>
      <c r="B5" s="1" t="s">
        <v>168</v>
      </c>
    </row>
    <row r="6" spans="1:2" x14ac:dyDescent="0.25">
      <c r="A6" s="3" t="s">
        <v>166</v>
      </c>
      <c r="B6" s="1" t="s">
        <v>182</v>
      </c>
    </row>
    <row r="7" spans="1:2" x14ac:dyDescent="0.25">
      <c r="A7" s="3" t="s">
        <v>179</v>
      </c>
      <c r="B7" s="1" t="s">
        <v>180</v>
      </c>
    </row>
    <row r="8" spans="1:2" x14ac:dyDescent="0.25">
      <c r="A8" s="3" t="s">
        <v>174</v>
      </c>
      <c r="B8" s="34" t="s">
        <v>178</v>
      </c>
    </row>
    <row r="9" spans="1:2" x14ac:dyDescent="0.25">
      <c r="A9" s="3" t="s">
        <v>181</v>
      </c>
      <c r="B9" s="1" t="s">
        <v>15</v>
      </c>
    </row>
    <row r="10" spans="1:2" ht="24.6" customHeight="1" x14ac:dyDescent="0.25">
      <c r="A10" s="4" t="s">
        <v>16</v>
      </c>
    </row>
    <row r="11" spans="1:2" ht="14.4" x14ac:dyDescent="0.25">
      <c r="A11" s="5" t="s">
        <v>17</v>
      </c>
    </row>
    <row r="12" spans="1:2" ht="14.4" x14ac:dyDescent="0.25">
      <c r="A12" s="1" t="s">
        <v>18</v>
      </c>
      <c r="B12" s="6" t="s">
        <v>19</v>
      </c>
    </row>
    <row r="13" spans="1:2" ht="14.4" x14ac:dyDescent="0.25">
      <c r="A13" s="1" t="s">
        <v>18</v>
      </c>
      <c r="B13" s="6" t="s">
        <v>20</v>
      </c>
    </row>
    <row r="14" spans="1:2" ht="14.4" x14ac:dyDescent="0.25">
      <c r="A14" s="1" t="s">
        <v>18</v>
      </c>
      <c r="B14" s="6" t="s">
        <v>21</v>
      </c>
    </row>
    <row r="15" spans="1:2" ht="14.4" x14ac:dyDescent="0.25">
      <c r="A15" s="1" t="s">
        <v>18</v>
      </c>
      <c r="B15" s="5" t="s">
        <v>22</v>
      </c>
    </row>
    <row r="16" spans="1:2" ht="14.4" x14ac:dyDescent="0.25">
      <c r="A16" s="5" t="s">
        <v>23</v>
      </c>
    </row>
    <row r="17" spans="1:2" ht="14.4" x14ac:dyDescent="0.25">
      <c r="A17" s="5" t="s">
        <v>24</v>
      </c>
    </row>
    <row r="18" spans="1:2" ht="14.4" x14ac:dyDescent="0.25">
      <c r="A18" s="5" t="s">
        <v>25</v>
      </c>
    </row>
    <row r="19" spans="1:2" ht="14.4" x14ac:dyDescent="0.25">
      <c r="A19" s="5" t="s">
        <v>26</v>
      </c>
    </row>
    <row r="20" spans="1:2" ht="18" x14ac:dyDescent="0.25">
      <c r="A20" s="4" t="s">
        <v>27</v>
      </c>
    </row>
    <row r="21" spans="1:2" ht="14.4" x14ac:dyDescent="0.25">
      <c r="A21" s="5" t="s">
        <v>28</v>
      </c>
    </row>
    <row r="22" spans="1:2" ht="14.4" x14ac:dyDescent="0.25">
      <c r="A22" s="5" t="s">
        <v>29</v>
      </c>
    </row>
    <row r="23" spans="1:2" ht="14.4" x14ac:dyDescent="0.25">
      <c r="A23" s="5" t="s">
        <v>30</v>
      </c>
    </row>
    <row r="24" spans="1:2" ht="14.4" x14ac:dyDescent="0.25">
      <c r="A24" s="5" t="s">
        <v>31</v>
      </c>
    </row>
    <row r="25" spans="1:2" ht="18" x14ac:dyDescent="0.25">
      <c r="A25" s="4" t="s">
        <v>32</v>
      </c>
    </row>
    <row r="26" spans="1:2" ht="14.4" x14ac:dyDescent="0.25">
      <c r="A26" s="5" t="s">
        <v>33</v>
      </c>
    </row>
    <row r="27" spans="1:2" x14ac:dyDescent="0.25">
      <c r="A27" s="1" t="s">
        <v>34</v>
      </c>
    </row>
    <row r="28" spans="1:2" x14ac:dyDescent="0.25">
      <c r="A28" s="1" t="s">
        <v>35</v>
      </c>
    </row>
    <row r="29" spans="1:2" ht="21" customHeight="1" x14ac:dyDescent="0.25">
      <c r="A29" s="5" t="s">
        <v>36</v>
      </c>
    </row>
    <row r="30" spans="1:2" x14ac:dyDescent="0.25">
      <c r="A30" s="3" t="s">
        <v>37</v>
      </c>
      <c r="B30" s="1" t="s">
        <v>38</v>
      </c>
    </row>
    <row r="31" spans="1:2" x14ac:dyDescent="0.25">
      <c r="A31" s="3" t="s">
        <v>39</v>
      </c>
      <c r="B31" s="1" t="s">
        <v>40</v>
      </c>
    </row>
    <row r="32" spans="1:2" x14ac:dyDescent="0.25">
      <c r="A32" s="3" t="s">
        <v>8</v>
      </c>
      <c r="B32" s="1" t="s">
        <v>41</v>
      </c>
    </row>
    <row r="33" spans="1:2" x14ac:dyDescent="0.25">
      <c r="A33" s="3" t="s">
        <v>42</v>
      </c>
      <c r="B33" s="1" t="s">
        <v>43</v>
      </c>
    </row>
    <row r="34" spans="1:2" x14ac:dyDescent="0.25">
      <c r="A34" s="3" t="s">
        <v>44</v>
      </c>
      <c r="B34" s="1" t="s">
        <v>45</v>
      </c>
    </row>
    <row r="35" spans="1:2" x14ac:dyDescent="0.25">
      <c r="A35" s="3" t="s">
        <v>46</v>
      </c>
      <c r="B35" s="1" t="s">
        <v>47</v>
      </c>
    </row>
    <row r="36" spans="1:2" x14ac:dyDescent="0.25">
      <c r="A36" s="3" t="s">
        <v>4</v>
      </c>
      <c r="B36" s="1" t="s">
        <v>48</v>
      </c>
    </row>
    <row r="37" spans="1:2" x14ac:dyDescent="0.25">
      <c r="A37" s="3" t="s">
        <v>5</v>
      </c>
      <c r="B37" s="1" t="s">
        <v>49</v>
      </c>
    </row>
    <row r="38" spans="1:2" x14ac:dyDescent="0.25">
      <c r="A38" s="28" t="s">
        <v>137</v>
      </c>
      <c r="B38" s="34" t="s">
        <v>175</v>
      </c>
    </row>
    <row r="39" spans="1:2" x14ac:dyDescent="0.25">
      <c r="A39" s="28" t="s">
        <v>176</v>
      </c>
      <c r="B39" s="34" t="s">
        <v>177</v>
      </c>
    </row>
    <row r="40" spans="1:2" x14ac:dyDescent="0.25">
      <c r="A40" s="3" t="s">
        <v>7</v>
      </c>
      <c r="B40" s="1" t="s">
        <v>50</v>
      </c>
    </row>
    <row r="41" spans="1:2" x14ac:dyDescent="0.25">
      <c r="A41" s="3" t="s">
        <v>2</v>
      </c>
      <c r="B41" s="1" t="s">
        <v>51</v>
      </c>
    </row>
    <row r="42" spans="1:2" x14ac:dyDescent="0.25">
      <c r="A42" s="3" t="s">
        <v>6</v>
      </c>
      <c r="B42" s="1" t="s">
        <v>52</v>
      </c>
    </row>
    <row r="43" spans="1:2" x14ac:dyDescent="0.25">
      <c r="A43" s="3" t="s">
        <v>3</v>
      </c>
      <c r="B43" s="1" t="s">
        <v>53</v>
      </c>
    </row>
    <row r="44" spans="1:2" x14ac:dyDescent="0.25">
      <c r="A44" s="3" t="s">
        <v>11</v>
      </c>
      <c r="B44" s="1" t="s">
        <v>54</v>
      </c>
    </row>
    <row r="45" spans="1:2" x14ac:dyDescent="0.25">
      <c r="A45" s="3" t="s">
        <v>10</v>
      </c>
      <c r="B45" s="1" t="s">
        <v>55</v>
      </c>
    </row>
    <row r="46" spans="1:2" x14ac:dyDescent="0.25">
      <c r="A46" s="3" t="s">
        <v>56</v>
      </c>
      <c r="B46" s="1" t="s">
        <v>57</v>
      </c>
    </row>
    <row r="47" spans="1:2" x14ac:dyDescent="0.25">
      <c r="A47" s="3" t="s">
        <v>9</v>
      </c>
      <c r="B47" s="1" t="s">
        <v>58</v>
      </c>
    </row>
    <row r="48" spans="1:2" x14ac:dyDescent="0.25">
      <c r="A48" s="3" t="s">
        <v>59</v>
      </c>
      <c r="B48" s="1" t="s">
        <v>60</v>
      </c>
    </row>
    <row r="49" spans="1:2" x14ac:dyDescent="0.25">
      <c r="A49" s="3" t="s">
        <v>61</v>
      </c>
      <c r="B49" s="1" t="s">
        <v>62</v>
      </c>
    </row>
    <row r="50" spans="1:2" x14ac:dyDescent="0.25">
      <c r="A50" s="1" t="s">
        <v>63</v>
      </c>
      <c r="B50" s="1" t="s">
        <v>64</v>
      </c>
    </row>
    <row r="51" spans="1:2" x14ac:dyDescent="0.25">
      <c r="A51" s="3" t="s">
        <v>65</v>
      </c>
      <c r="B51" s="1" t="s">
        <v>66</v>
      </c>
    </row>
    <row r="52" spans="1:2" x14ac:dyDescent="0.25">
      <c r="A52" s="3" t="s">
        <v>67</v>
      </c>
      <c r="B52" t="s">
        <v>154</v>
      </c>
    </row>
    <row r="53" spans="1:2" x14ac:dyDescent="0.25">
      <c r="A53" s="3" t="s">
        <v>68</v>
      </c>
      <c r="B53" t="s">
        <v>155</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32B06-F30F-48E6-876E-76B5FA409E91}">
  <dimension ref="A1:H21"/>
  <sheetViews>
    <sheetView workbookViewId="0"/>
  </sheetViews>
  <sheetFormatPr defaultRowHeight="13.2" x14ac:dyDescent="0.25"/>
  <cols>
    <col min="1" max="1" width="27.5546875" style="1" customWidth="1"/>
    <col min="2" max="2" width="21.33203125" style="1" customWidth="1"/>
    <col min="3" max="3" width="35.88671875" style="1" customWidth="1"/>
    <col min="4" max="4" width="19" style="1" customWidth="1"/>
    <col min="5" max="5" width="13.21875" style="1" customWidth="1"/>
    <col min="6" max="6" width="14.5546875" style="1" customWidth="1"/>
    <col min="7" max="7" width="12.44140625" style="1" customWidth="1"/>
    <col min="8" max="8" width="20.33203125" style="1" customWidth="1"/>
    <col min="9" max="16384" width="8.88671875" style="1"/>
  </cols>
  <sheetData>
    <row r="1" spans="1:8" ht="27.6" x14ac:dyDescent="0.25">
      <c r="A1" s="7" t="s">
        <v>69</v>
      </c>
      <c r="B1" s="7" t="s">
        <v>70</v>
      </c>
      <c r="C1" s="7" t="s">
        <v>71</v>
      </c>
      <c r="D1" s="7" t="s">
        <v>72</v>
      </c>
      <c r="E1" s="7" t="s">
        <v>73</v>
      </c>
      <c r="F1" s="7" t="s">
        <v>74</v>
      </c>
      <c r="G1" s="7" t="s">
        <v>75</v>
      </c>
      <c r="H1" s="7" t="s">
        <v>76</v>
      </c>
    </row>
    <row r="2" spans="1:8" x14ac:dyDescent="0.25">
      <c r="A2" s="3" t="s">
        <v>163</v>
      </c>
      <c r="B2" s="8" t="s">
        <v>125</v>
      </c>
      <c r="C2" s="8" t="s">
        <v>152</v>
      </c>
      <c r="D2" s="8" t="s">
        <v>153</v>
      </c>
      <c r="E2" s="1">
        <v>10</v>
      </c>
      <c r="G2" s="1" t="s">
        <v>79</v>
      </c>
      <c r="H2" s="1" t="s">
        <v>80</v>
      </c>
    </row>
    <row r="3" spans="1:8" x14ac:dyDescent="0.25">
      <c r="A3" s="3" t="s">
        <v>163</v>
      </c>
      <c r="B3" s="8" t="s">
        <v>46</v>
      </c>
      <c r="C3" s="8" t="s">
        <v>77</v>
      </c>
      <c r="D3" s="8" t="s">
        <v>78</v>
      </c>
      <c r="E3" s="1">
        <v>3</v>
      </c>
      <c r="G3" s="1" t="s">
        <v>79</v>
      </c>
      <c r="H3" s="1" t="s">
        <v>80</v>
      </c>
    </row>
    <row r="4" spans="1:8" ht="26.4" x14ac:dyDescent="0.25">
      <c r="A4" s="3" t="s">
        <v>163</v>
      </c>
      <c r="B4" s="8" t="s">
        <v>4</v>
      </c>
      <c r="C4" s="8" t="s">
        <v>81</v>
      </c>
      <c r="D4" s="8" t="s">
        <v>78</v>
      </c>
      <c r="E4" s="1">
        <v>3</v>
      </c>
      <c r="F4" s="1" t="s">
        <v>82</v>
      </c>
      <c r="G4" s="1" t="s">
        <v>79</v>
      </c>
      <c r="H4" s="1" t="s">
        <v>80</v>
      </c>
    </row>
    <row r="5" spans="1:8" ht="26.4" x14ac:dyDescent="0.25">
      <c r="A5" s="3" t="s">
        <v>163</v>
      </c>
      <c r="B5" s="8" t="s">
        <v>83</v>
      </c>
      <c r="C5" s="8" t="s">
        <v>84</v>
      </c>
      <c r="D5" s="8" t="s">
        <v>85</v>
      </c>
      <c r="G5" s="1" t="s">
        <v>79</v>
      </c>
      <c r="H5" s="1" t="s">
        <v>86</v>
      </c>
    </row>
    <row r="6" spans="1:8" ht="26.4" x14ac:dyDescent="0.25">
      <c r="A6" s="3" t="s">
        <v>163</v>
      </c>
      <c r="B6" s="8" t="s">
        <v>87</v>
      </c>
      <c r="C6" s="8" t="s">
        <v>88</v>
      </c>
      <c r="D6" s="8" t="s">
        <v>85</v>
      </c>
      <c r="G6" s="1" t="s">
        <v>79</v>
      </c>
      <c r="H6" s="1" t="s">
        <v>86</v>
      </c>
    </row>
    <row r="7" spans="1:8" ht="26.4" x14ac:dyDescent="0.25">
      <c r="A7" s="3" t="s">
        <v>163</v>
      </c>
      <c r="B7" s="8" t="s">
        <v>89</v>
      </c>
      <c r="C7" s="8" t="s">
        <v>90</v>
      </c>
      <c r="D7" s="8" t="s">
        <v>85</v>
      </c>
      <c r="G7" s="1" t="s">
        <v>79</v>
      </c>
      <c r="H7" s="1" t="s">
        <v>86</v>
      </c>
    </row>
    <row r="8" spans="1:8" ht="26.4" x14ac:dyDescent="0.25">
      <c r="A8" s="3" t="s">
        <v>163</v>
      </c>
      <c r="B8" s="8" t="s">
        <v>91</v>
      </c>
      <c r="C8" s="8" t="s">
        <v>92</v>
      </c>
      <c r="D8" s="8" t="s">
        <v>85</v>
      </c>
      <c r="G8" s="1" t="s">
        <v>79</v>
      </c>
      <c r="H8" s="1" t="s">
        <v>86</v>
      </c>
    </row>
    <row r="9" spans="1:8" ht="26.4" x14ac:dyDescent="0.25">
      <c r="A9" s="3" t="s">
        <v>163</v>
      </c>
      <c r="B9" s="8" t="s">
        <v>5</v>
      </c>
      <c r="C9" s="8" t="s">
        <v>93</v>
      </c>
      <c r="D9" s="8" t="s">
        <v>85</v>
      </c>
      <c r="G9" s="1" t="s">
        <v>79</v>
      </c>
      <c r="H9" s="1" t="s">
        <v>86</v>
      </c>
    </row>
    <row r="10" spans="1:8" ht="26.4" x14ac:dyDescent="0.25">
      <c r="A10" s="3" t="s">
        <v>163</v>
      </c>
      <c r="B10" s="8" t="s">
        <v>6</v>
      </c>
      <c r="C10" s="8" t="s">
        <v>94</v>
      </c>
      <c r="D10" s="8" t="s">
        <v>85</v>
      </c>
      <c r="G10" s="1" t="s">
        <v>79</v>
      </c>
      <c r="H10" s="1" t="s">
        <v>86</v>
      </c>
    </row>
    <row r="11" spans="1:8" ht="26.4" x14ac:dyDescent="0.25">
      <c r="A11" s="3" t="s">
        <v>163</v>
      </c>
      <c r="B11" s="8" t="s">
        <v>7</v>
      </c>
      <c r="C11" s="8" t="s">
        <v>95</v>
      </c>
      <c r="D11" s="8" t="s">
        <v>85</v>
      </c>
      <c r="G11" s="1" t="s">
        <v>79</v>
      </c>
      <c r="H11" s="1" t="s">
        <v>86</v>
      </c>
    </row>
    <row r="12" spans="1:8" ht="26.4" x14ac:dyDescent="0.25">
      <c r="A12" s="3" t="s">
        <v>163</v>
      </c>
      <c r="B12" s="8" t="s">
        <v>96</v>
      </c>
      <c r="C12" s="8" t="s">
        <v>97</v>
      </c>
      <c r="D12" s="8" t="s">
        <v>85</v>
      </c>
      <c r="G12" s="1" t="s">
        <v>79</v>
      </c>
      <c r="H12" s="1" t="s">
        <v>86</v>
      </c>
    </row>
    <row r="13" spans="1:8" ht="26.4" x14ac:dyDescent="0.25">
      <c r="A13" s="3" t="s">
        <v>163</v>
      </c>
      <c r="B13" s="8" t="s">
        <v>98</v>
      </c>
      <c r="C13" s="8" t="s">
        <v>99</v>
      </c>
      <c r="D13" s="8" t="s">
        <v>85</v>
      </c>
      <c r="G13" s="1" t="s">
        <v>79</v>
      </c>
      <c r="H13" s="1" t="s">
        <v>86</v>
      </c>
    </row>
    <row r="14" spans="1:8" ht="26.4" x14ac:dyDescent="0.25">
      <c r="A14" s="3" t="s">
        <v>163</v>
      </c>
      <c r="B14" s="8" t="s">
        <v>156</v>
      </c>
      <c r="C14" s="8" t="s">
        <v>157</v>
      </c>
      <c r="D14" s="8" t="s">
        <v>85</v>
      </c>
      <c r="G14" s="1" t="s">
        <v>79</v>
      </c>
      <c r="H14" s="1" t="s">
        <v>86</v>
      </c>
    </row>
    <row r="15" spans="1:8" ht="26.4" x14ac:dyDescent="0.25">
      <c r="A15" s="3" t="s">
        <v>163</v>
      </c>
      <c r="B15" s="8" t="s">
        <v>100</v>
      </c>
      <c r="C15" s="8" t="s">
        <v>101</v>
      </c>
      <c r="D15" s="8" t="s">
        <v>85</v>
      </c>
      <c r="G15" s="1" t="s">
        <v>79</v>
      </c>
      <c r="H15" s="1" t="s">
        <v>86</v>
      </c>
    </row>
    <row r="16" spans="1:8" ht="26.4" x14ac:dyDescent="0.25">
      <c r="A16" s="3" t="s">
        <v>163</v>
      </c>
      <c r="B16" s="8" t="s">
        <v>102</v>
      </c>
      <c r="C16" s="8" t="s">
        <v>103</v>
      </c>
      <c r="D16" s="8" t="s">
        <v>85</v>
      </c>
      <c r="G16" s="1" t="s">
        <v>79</v>
      </c>
      <c r="H16" s="1" t="s">
        <v>86</v>
      </c>
    </row>
    <row r="17" spans="1:8" ht="26.4" x14ac:dyDescent="0.25">
      <c r="A17" s="3" t="s">
        <v>163</v>
      </c>
      <c r="B17" s="8" t="s">
        <v>104</v>
      </c>
      <c r="C17" s="8" t="s">
        <v>105</v>
      </c>
      <c r="D17" s="8" t="s">
        <v>85</v>
      </c>
      <c r="G17" s="1" t="s">
        <v>79</v>
      </c>
      <c r="H17" s="1" t="s">
        <v>86</v>
      </c>
    </row>
    <row r="18" spans="1:8" ht="26.4" x14ac:dyDescent="0.25">
      <c r="A18" s="3" t="s">
        <v>163</v>
      </c>
      <c r="B18" s="8" t="s">
        <v>106</v>
      </c>
      <c r="C18" s="8" t="s">
        <v>107</v>
      </c>
      <c r="D18" s="8" t="s">
        <v>85</v>
      </c>
      <c r="G18" s="1" t="s">
        <v>79</v>
      </c>
      <c r="H18" s="1" t="s">
        <v>86</v>
      </c>
    </row>
    <row r="19" spans="1:8" ht="26.4" x14ac:dyDescent="0.25">
      <c r="A19" s="3" t="s">
        <v>163</v>
      </c>
      <c r="B19" s="8" t="s">
        <v>158</v>
      </c>
      <c r="C19" s="8" t="s">
        <v>159</v>
      </c>
      <c r="D19" s="8" t="s">
        <v>85</v>
      </c>
      <c r="G19" s="1" t="s">
        <v>79</v>
      </c>
      <c r="H19" s="1" t="s">
        <v>86</v>
      </c>
    </row>
    <row r="20" spans="1:8" ht="26.4" x14ac:dyDescent="0.25">
      <c r="A20" s="3" t="s">
        <v>163</v>
      </c>
      <c r="B20" s="8" t="s">
        <v>108</v>
      </c>
      <c r="C20" s="8" t="s">
        <v>109</v>
      </c>
      <c r="D20" s="8" t="s">
        <v>85</v>
      </c>
      <c r="G20" s="1" t="s">
        <v>79</v>
      </c>
      <c r="H20" s="1" t="s">
        <v>86</v>
      </c>
    </row>
    <row r="21" spans="1:8" ht="26.4" x14ac:dyDescent="0.25">
      <c r="A21" s="3" t="s">
        <v>163</v>
      </c>
      <c r="B21" s="8" t="s">
        <v>110</v>
      </c>
      <c r="C21" s="8" t="s">
        <v>111</v>
      </c>
      <c r="D21" s="8" t="s">
        <v>85</v>
      </c>
      <c r="G21" s="1" t="s">
        <v>79</v>
      </c>
      <c r="H21" s="1"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E877D-E0C9-46CA-A4C6-978082F85590}">
  <dimension ref="A1:T53"/>
  <sheetViews>
    <sheetView workbookViewId="0">
      <selection activeCell="O20" sqref="O20"/>
    </sheetView>
  </sheetViews>
  <sheetFormatPr defaultRowHeight="13.2" x14ac:dyDescent="0.25"/>
  <cols>
    <col min="1" max="1" width="10.33203125" style="1" bestFit="1" customWidth="1"/>
    <col min="2" max="16384" width="8.88671875" style="1"/>
  </cols>
  <sheetData>
    <row r="1" spans="1:20" ht="105.6" x14ac:dyDescent="0.25">
      <c r="A1" s="1" t="s">
        <v>125</v>
      </c>
      <c r="B1" s="8" t="s">
        <v>46</v>
      </c>
      <c r="C1" s="8" t="s">
        <v>4</v>
      </c>
      <c r="D1" s="8" t="s">
        <v>112</v>
      </c>
      <c r="E1" s="8" t="s">
        <v>113</v>
      </c>
      <c r="F1" s="8" t="s">
        <v>114</v>
      </c>
      <c r="G1" s="8" t="s">
        <v>115</v>
      </c>
      <c r="H1" s="8" t="s">
        <v>5</v>
      </c>
      <c r="I1" s="8" t="s">
        <v>6</v>
      </c>
      <c r="J1" s="8" t="s">
        <v>7</v>
      </c>
      <c r="K1" s="8" t="s">
        <v>116</v>
      </c>
      <c r="L1" s="8" t="s">
        <v>117</v>
      </c>
      <c r="M1" s="8" t="s">
        <v>160</v>
      </c>
      <c r="N1" s="8" t="s">
        <v>118</v>
      </c>
      <c r="O1" s="8" t="s">
        <v>119</v>
      </c>
      <c r="P1" s="8" t="s">
        <v>120</v>
      </c>
      <c r="Q1" s="8" t="s">
        <v>121</v>
      </c>
      <c r="R1" s="8" t="s">
        <v>161</v>
      </c>
      <c r="S1" s="8" t="s">
        <v>122</v>
      </c>
      <c r="T1" s="8" t="s">
        <v>123</v>
      </c>
    </row>
    <row r="2" spans="1:20" x14ac:dyDescent="0.25">
      <c r="A2" s="15">
        <v>42496</v>
      </c>
      <c r="B2" s="1">
        <f>C2-131</f>
        <v>-4</v>
      </c>
      <c r="C2" s="8">
        <v>127</v>
      </c>
      <c r="D2" s="8">
        <v>483.59100695408893</v>
      </c>
      <c r="E2" s="8" t="e">
        <v>#N/A</v>
      </c>
      <c r="F2" s="8">
        <v>470.92207128972211</v>
      </c>
      <c r="G2" s="8" t="e">
        <v>#N/A</v>
      </c>
      <c r="H2" s="1">
        <v>495</v>
      </c>
      <c r="I2" s="1">
        <v>270</v>
      </c>
      <c r="J2" s="1">
        <v>360</v>
      </c>
      <c r="K2" s="8" t="e">
        <v>#N/A</v>
      </c>
      <c r="L2" s="8" t="e">
        <v>#N/A</v>
      </c>
      <c r="M2" s="8">
        <v>648.46860134311225</v>
      </c>
      <c r="N2" s="8" t="e">
        <v>#N/A</v>
      </c>
      <c r="O2" s="8" t="e">
        <v>#N/A</v>
      </c>
      <c r="P2" s="8" t="e">
        <v>#N/A</v>
      </c>
      <c r="Q2" s="8" t="e">
        <v>#N/A</v>
      </c>
      <c r="R2" s="8">
        <v>632.58412944369513</v>
      </c>
      <c r="S2" s="8" t="e">
        <v>#N/A</v>
      </c>
      <c r="T2" s="8" t="e">
        <v>#N/A</v>
      </c>
    </row>
    <row r="3" spans="1:20" x14ac:dyDescent="0.25">
      <c r="A3" s="15">
        <v>42515</v>
      </c>
      <c r="B3" s="1">
        <f t="shared" ref="B3:B18" si="0">C3-131</f>
        <v>15</v>
      </c>
      <c r="C3" s="1">
        <v>146</v>
      </c>
      <c r="D3" s="1">
        <v>478.07456131223734</v>
      </c>
      <c r="E3" s="1" t="e">
        <v>#N/A</v>
      </c>
      <c r="F3" s="1">
        <v>469.63694256885532</v>
      </c>
      <c r="G3" s="1" t="e">
        <v>#N/A</v>
      </c>
      <c r="H3" s="1">
        <v>495</v>
      </c>
      <c r="I3" s="1">
        <v>270</v>
      </c>
      <c r="J3" s="1">
        <v>360</v>
      </c>
      <c r="K3" s="1" t="e">
        <v>#N/A</v>
      </c>
      <c r="L3" s="1" t="e">
        <v>#N/A</v>
      </c>
      <c r="M3" s="1">
        <v>644.98522325423278</v>
      </c>
      <c r="N3" s="1" t="e">
        <v>#N/A</v>
      </c>
      <c r="O3" s="1" t="e">
        <v>#N/A</v>
      </c>
      <c r="P3" s="1" t="e">
        <v>#N/A</v>
      </c>
      <c r="Q3" s="1" t="e">
        <v>#N/A</v>
      </c>
      <c r="R3" s="1">
        <v>632.89411691206794</v>
      </c>
      <c r="S3" s="1" t="e">
        <v>#N/A</v>
      </c>
      <c r="T3" s="1" t="e">
        <v>#N/A</v>
      </c>
    </row>
    <row r="4" spans="1:20" x14ac:dyDescent="0.25">
      <c r="A4" s="15">
        <v>42530</v>
      </c>
      <c r="B4" s="1">
        <f t="shared" si="0"/>
        <v>30</v>
      </c>
      <c r="C4" s="1">
        <v>161</v>
      </c>
      <c r="D4" s="1">
        <v>483.51502436606211</v>
      </c>
      <c r="E4" s="1">
        <v>478.26975738293748</v>
      </c>
      <c r="F4" s="1">
        <v>466.67061003600219</v>
      </c>
      <c r="G4" s="1">
        <v>461.33498111352918</v>
      </c>
      <c r="H4" s="1">
        <v>495</v>
      </c>
      <c r="I4" s="1">
        <v>270</v>
      </c>
      <c r="J4" s="1">
        <v>360</v>
      </c>
      <c r="K4" s="1">
        <v>740.78354979658263</v>
      </c>
      <c r="L4" s="1">
        <v>727.12301099122828</v>
      </c>
      <c r="M4" s="1">
        <v>651.36776835270928</v>
      </c>
      <c r="N4" s="1">
        <v>746.52819474347109</v>
      </c>
      <c r="O4" s="1">
        <v>748.78383501900419</v>
      </c>
      <c r="P4" s="1">
        <v>741.59186696501229</v>
      </c>
      <c r="Q4" s="1">
        <v>688.98875395855873</v>
      </c>
      <c r="R4" s="1">
        <v>628.60906416175305</v>
      </c>
      <c r="S4" s="1">
        <v>751.99848572957194</v>
      </c>
      <c r="T4" s="1">
        <v>743.91998730006605</v>
      </c>
    </row>
    <row r="5" spans="1:20" x14ac:dyDescent="0.25">
      <c r="A5" s="15">
        <v>42536</v>
      </c>
      <c r="B5" s="1">
        <f t="shared" si="0"/>
        <v>36</v>
      </c>
      <c r="C5" s="1">
        <v>167</v>
      </c>
      <c r="D5" s="1">
        <v>483.99924965558364</v>
      </c>
      <c r="E5" s="1">
        <v>483.86715530975209</v>
      </c>
      <c r="F5" s="1">
        <v>467.75502413589396</v>
      </c>
      <c r="G5" s="1">
        <v>463.15942854712603</v>
      </c>
      <c r="H5" s="1">
        <v>495</v>
      </c>
      <c r="I5" s="1">
        <v>270</v>
      </c>
      <c r="J5" s="1">
        <v>360</v>
      </c>
      <c r="K5" s="1">
        <v>755.79470329480466</v>
      </c>
      <c r="L5" s="1">
        <v>738.99171850262508</v>
      </c>
      <c r="M5" s="1">
        <v>653.00429234147373</v>
      </c>
      <c r="N5" s="1">
        <v>754.47288844143259</v>
      </c>
      <c r="O5" s="1">
        <v>757.70532696478926</v>
      </c>
      <c r="P5" s="1">
        <v>749.86994041708931</v>
      </c>
      <c r="Q5" s="1">
        <v>701.51987581506296</v>
      </c>
      <c r="R5" s="1">
        <v>632.89344289265136</v>
      </c>
      <c r="S5" s="1">
        <v>759.44339132160019</v>
      </c>
      <c r="T5" s="1">
        <v>751.22419102288325</v>
      </c>
    </row>
    <row r="6" spans="1:20" x14ac:dyDescent="0.25">
      <c r="A6" s="15">
        <v>42542</v>
      </c>
      <c r="B6" s="1">
        <f t="shared" si="0"/>
        <v>42</v>
      </c>
      <c r="C6" s="1">
        <v>173</v>
      </c>
      <c r="D6" s="1">
        <v>469.57229555992728</v>
      </c>
      <c r="E6" s="1">
        <v>473.40160216054375</v>
      </c>
      <c r="F6" s="1">
        <v>453.1180995296321</v>
      </c>
      <c r="G6" s="1">
        <v>452.6032934304535</v>
      </c>
      <c r="H6" s="1">
        <v>495</v>
      </c>
      <c r="I6" s="1">
        <v>270</v>
      </c>
      <c r="J6" s="1">
        <v>360</v>
      </c>
      <c r="K6" s="1">
        <v>744.90152621465279</v>
      </c>
      <c r="L6" s="1">
        <v>734.60264180478634</v>
      </c>
      <c r="M6" s="1">
        <v>640.16953475929859</v>
      </c>
      <c r="N6" s="1">
        <v>749.95769393314561</v>
      </c>
      <c r="O6" s="1">
        <v>749.83116006442469</v>
      </c>
      <c r="P6" s="1">
        <v>733.50856215210058</v>
      </c>
      <c r="Q6" s="1">
        <v>706.04695383037779</v>
      </c>
      <c r="R6" s="1">
        <v>619.27840480176565</v>
      </c>
      <c r="S6" s="1">
        <v>749.27822329547348</v>
      </c>
      <c r="T6" s="1">
        <v>742.59315126787567</v>
      </c>
    </row>
    <row r="7" spans="1:20" x14ac:dyDescent="0.25">
      <c r="A7" s="15">
        <v>42549</v>
      </c>
      <c r="B7" s="1">
        <f t="shared" si="0"/>
        <v>49</v>
      </c>
      <c r="C7" s="1">
        <v>180</v>
      </c>
      <c r="D7" s="1">
        <v>450.18567959305381</v>
      </c>
      <c r="E7" s="1">
        <v>451.61177011672822</v>
      </c>
      <c r="F7" s="1">
        <v>435.97058877971835</v>
      </c>
      <c r="G7" s="1">
        <v>433.45411122710851</v>
      </c>
      <c r="H7" s="1">
        <v>495</v>
      </c>
      <c r="I7" s="1">
        <v>270</v>
      </c>
      <c r="J7" s="1">
        <v>360</v>
      </c>
      <c r="K7" s="1">
        <v>724.28256588940792</v>
      </c>
      <c r="L7" s="1">
        <v>706.01805714636021</v>
      </c>
      <c r="M7" s="1">
        <v>621.76976919870276</v>
      </c>
      <c r="N7" s="1">
        <v>725.45278125661821</v>
      </c>
      <c r="O7" s="1">
        <v>729.08110015381715</v>
      </c>
      <c r="P7" s="1">
        <v>714.03389286645802</v>
      </c>
      <c r="Q7" s="1">
        <v>685.73483515164344</v>
      </c>
      <c r="R7" s="1">
        <v>602.50753222466199</v>
      </c>
      <c r="S7" s="1">
        <v>731.57736651470736</v>
      </c>
      <c r="T7" s="1">
        <v>722.21984759633074</v>
      </c>
    </row>
    <row r="8" spans="1:20" x14ac:dyDescent="0.25">
      <c r="A8" s="15">
        <v>42562</v>
      </c>
      <c r="B8" s="1">
        <f t="shared" si="0"/>
        <v>62</v>
      </c>
      <c r="C8" s="1">
        <v>193</v>
      </c>
      <c r="D8" s="1">
        <v>429.22899670798182</v>
      </c>
      <c r="E8" s="1">
        <v>441.03425173782557</v>
      </c>
      <c r="F8" s="1">
        <v>425.65229484768781</v>
      </c>
      <c r="G8" s="1">
        <v>422.07789346235933</v>
      </c>
      <c r="H8" s="1">
        <v>495</v>
      </c>
      <c r="I8" s="1">
        <v>270</v>
      </c>
      <c r="J8" s="1">
        <v>360</v>
      </c>
      <c r="K8" s="1">
        <v>717.58122272813421</v>
      </c>
      <c r="L8" s="1">
        <v>695.65331978554786</v>
      </c>
      <c r="M8" s="1">
        <v>606.88990479173412</v>
      </c>
      <c r="N8" s="1">
        <v>716.87062519366452</v>
      </c>
      <c r="O8" s="1">
        <v>712.28885103937944</v>
      </c>
      <c r="P8" s="1">
        <v>708.49425502301665</v>
      </c>
      <c r="Q8" s="1">
        <v>671.40500485638177</v>
      </c>
      <c r="R8" s="1">
        <v>596.32349916626731</v>
      </c>
      <c r="S8" s="1">
        <v>717.99726657489657</v>
      </c>
      <c r="T8" s="1">
        <v>706.26385780286921</v>
      </c>
    </row>
    <row r="9" spans="1:20" x14ac:dyDescent="0.25">
      <c r="A9" s="15">
        <v>42569</v>
      </c>
      <c r="B9" s="1">
        <f t="shared" si="0"/>
        <v>69</v>
      </c>
      <c r="C9" s="1">
        <v>200</v>
      </c>
      <c r="D9" s="1">
        <v>425.51180774881021</v>
      </c>
      <c r="E9" s="1">
        <v>442.23594561496151</v>
      </c>
      <c r="F9" s="1">
        <v>424.69098325178061</v>
      </c>
      <c r="G9" s="1">
        <v>423.94435528411572</v>
      </c>
      <c r="H9" s="1">
        <v>495</v>
      </c>
      <c r="I9" s="1">
        <v>270</v>
      </c>
      <c r="J9" s="1">
        <v>360</v>
      </c>
      <c r="K9" s="1">
        <v>715.62978878250487</v>
      </c>
      <c r="L9" s="1">
        <v>692.93744377431267</v>
      </c>
      <c r="M9" s="1">
        <v>601.00339674420695</v>
      </c>
      <c r="N9" s="1">
        <v>718.67497375748189</v>
      </c>
      <c r="O9" s="1">
        <v>712.79954298182065</v>
      </c>
      <c r="P9" s="1">
        <v>707.74108990715263</v>
      </c>
      <c r="Q9" s="1">
        <v>671.39478681632249</v>
      </c>
      <c r="R9" s="1">
        <v>594.36073878529169</v>
      </c>
      <c r="S9" s="1">
        <v>725.48626334919811</v>
      </c>
      <c r="T9" s="1">
        <v>705.4323326883424</v>
      </c>
    </row>
    <row r="10" spans="1:20" x14ac:dyDescent="0.25">
      <c r="A10" s="15">
        <v>42577</v>
      </c>
      <c r="B10" s="1">
        <f t="shared" si="0"/>
        <v>77</v>
      </c>
      <c r="C10" s="1">
        <v>208</v>
      </c>
      <c r="D10" s="1">
        <v>416.27500389725463</v>
      </c>
      <c r="E10" s="1">
        <v>434.80188926401905</v>
      </c>
      <c r="F10" s="1">
        <v>415.2454735863883</v>
      </c>
      <c r="G10" s="1">
        <v>415.59231107259512</v>
      </c>
      <c r="H10" s="1">
        <v>495</v>
      </c>
      <c r="I10" s="1">
        <v>270</v>
      </c>
      <c r="J10" s="1">
        <v>360</v>
      </c>
      <c r="K10" s="1">
        <v>705.58137339857581</v>
      </c>
      <c r="L10" s="1">
        <v>686.52571979446498</v>
      </c>
      <c r="M10" s="1">
        <v>589.95931359831479</v>
      </c>
      <c r="N10" s="1">
        <v>708.32962309707193</v>
      </c>
      <c r="O10" s="1">
        <v>703.00270344416344</v>
      </c>
      <c r="P10" s="1">
        <v>691.69786383405585</v>
      </c>
      <c r="Q10" s="1">
        <v>668.3855468785182</v>
      </c>
      <c r="R10" s="1">
        <v>584.70209278954928</v>
      </c>
      <c r="S10" s="1">
        <v>711.61580061972631</v>
      </c>
      <c r="T10" s="1">
        <v>695.05327666328594</v>
      </c>
    </row>
    <row r="11" spans="1:20" x14ac:dyDescent="0.25">
      <c r="A11" s="15">
        <v>42584</v>
      </c>
      <c r="B11" s="1">
        <f t="shared" si="0"/>
        <v>84</v>
      </c>
      <c r="C11" s="1">
        <v>215</v>
      </c>
      <c r="D11" s="1">
        <v>445.63454025825661</v>
      </c>
      <c r="E11" s="1">
        <v>458.35753456702736</v>
      </c>
      <c r="F11" s="1">
        <v>448.34886946565314</v>
      </c>
      <c r="G11" s="1">
        <v>440.33287504778917</v>
      </c>
      <c r="H11" s="1">
        <v>495</v>
      </c>
      <c r="I11" s="1">
        <v>270</v>
      </c>
      <c r="J11" s="1">
        <v>360</v>
      </c>
      <c r="K11" s="1">
        <v>743.23246202503458</v>
      </c>
      <c r="L11" s="1">
        <v>702.86660827045046</v>
      </c>
      <c r="M11" s="1">
        <v>620.27261070700115</v>
      </c>
      <c r="N11" s="1">
        <v>729.77330340849562</v>
      </c>
      <c r="O11" s="1">
        <v>726.99832879498865</v>
      </c>
      <c r="P11" s="1">
        <v>720.3123405764793</v>
      </c>
      <c r="Q11" s="1">
        <v>692.43221876233054</v>
      </c>
      <c r="R11" s="1">
        <v>618.49647859825905</v>
      </c>
      <c r="S11" s="1">
        <v>736.1759161485561</v>
      </c>
      <c r="T11" s="1">
        <v>718.04291640826148</v>
      </c>
    </row>
    <row r="12" spans="1:20" x14ac:dyDescent="0.25">
      <c r="A12" s="15">
        <v>42593</v>
      </c>
      <c r="B12" s="1">
        <f t="shared" si="0"/>
        <v>93</v>
      </c>
      <c r="C12" s="1">
        <v>224</v>
      </c>
      <c r="D12" s="1">
        <v>480.73658022281177</v>
      </c>
      <c r="E12" s="1">
        <v>477.94907941387925</v>
      </c>
      <c r="F12" s="1">
        <v>473.85544939420618</v>
      </c>
      <c r="G12" s="1">
        <v>452.18308211431503</v>
      </c>
      <c r="H12" s="1">
        <v>495</v>
      </c>
      <c r="I12" s="1">
        <v>270</v>
      </c>
      <c r="J12" s="1">
        <v>360</v>
      </c>
      <c r="K12" s="1">
        <v>754.10088992275701</v>
      </c>
      <c r="L12" s="1">
        <v>731.0768791198991</v>
      </c>
      <c r="M12" s="1">
        <v>655.91187101106823</v>
      </c>
      <c r="N12" s="1">
        <v>748.86807585964755</v>
      </c>
      <c r="O12" s="1">
        <v>751.59390802746418</v>
      </c>
      <c r="P12" s="1">
        <v>734.29122032725127</v>
      </c>
      <c r="Q12" s="1">
        <v>696.67056061281585</v>
      </c>
      <c r="R12" s="1">
        <v>647.96505853071312</v>
      </c>
      <c r="S12" s="1">
        <v>759.42945462844261</v>
      </c>
      <c r="T12" s="1">
        <v>740.60053803626977</v>
      </c>
    </row>
    <row r="13" spans="1:20" x14ac:dyDescent="0.25">
      <c r="A13" s="15">
        <v>42605</v>
      </c>
      <c r="B13" s="1">
        <f t="shared" si="0"/>
        <v>105</v>
      </c>
      <c r="C13" s="1">
        <v>236</v>
      </c>
      <c r="D13" s="1">
        <v>479.62585154820152</v>
      </c>
      <c r="E13" s="1">
        <v>478.39261704080593</v>
      </c>
      <c r="F13" s="1">
        <v>475.28822357301289</v>
      </c>
      <c r="G13" s="1">
        <v>452.22585049461094</v>
      </c>
      <c r="H13" s="1">
        <v>495</v>
      </c>
      <c r="I13" s="1">
        <v>270</v>
      </c>
      <c r="J13" s="1">
        <v>360</v>
      </c>
      <c r="K13" s="1">
        <v>749.62022375692482</v>
      </c>
      <c r="L13" s="1">
        <v>719.26429218654209</v>
      </c>
      <c r="M13" s="1">
        <v>648.80412832907905</v>
      </c>
      <c r="N13" s="1">
        <v>742.34749572767726</v>
      </c>
      <c r="O13" s="1">
        <v>740.2328973806525</v>
      </c>
      <c r="P13" s="1">
        <v>729.03846693603225</v>
      </c>
      <c r="Q13" s="1">
        <v>695.91196110882015</v>
      </c>
      <c r="R13" s="1">
        <v>643.85823457092874</v>
      </c>
      <c r="S13" s="1">
        <v>744.89027451430604</v>
      </c>
      <c r="T13" s="1">
        <v>725.83835185193459</v>
      </c>
    </row>
    <row r="14" spans="1:20" x14ac:dyDescent="0.25">
      <c r="A14" s="15">
        <v>42625</v>
      </c>
      <c r="B14" s="1">
        <f t="shared" si="0"/>
        <v>125</v>
      </c>
      <c r="C14" s="1">
        <v>256</v>
      </c>
      <c r="D14" s="1">
        <v>488.17402484423241</v>
      </c>
      <c r="E14" s="1">
        <v>480.50244371356598</v>
      </c>
      <c r="F14" s="1">
        <v>477.34039483152588</v>
      </c>
      <c r="G14" s="1">
        <v>452.27110444188378</v>
      </c>
      <c r="H14" s="1">
        <v>495</v>
      </c>
      <c r="I14" s="1">
        <v>270</v>
      </c>
      <c r="J14" s="1">
        <v>360</v>
      </c>
      <c r="K14" s="1">
        <v>738.43231407648489</v>
      </c>
      <c r="L14" s="1">
        <v>715.72484544289262</v>
      </c>
      <c r="M14" s="1">
        <v>655.39806531760996</v>
      </c>
      <c r="N14" s="1">
        <v>745.15803138089791</v>
      </c>
      <c r="O14" s="1">
        <v>742.11915599607664</v>
      </c>
      <c r="P14" s="1">
        <v>720.52362990403162</v>
      </c>
      <c r="Q14" s="1">
        <v>687.95055809935707</v>
      </c>
      <c r="R14" s="1">
        <v>636.66281947791401</v>
      </c>
      <c r="S14" s="1">
        <v>748.04124540722512</v>
      </c>
      <c r="T14" s="1">
        <v>727.22700916771635</v>
      </c>
    </row>
    <row r="15" spans="1:20" x14ac:dyDescent="0.25">
      <c r="A15" s="15">
        <v>42632</v>
      </c>
      <c r="B15" s="1">
        <f t="shared" si="0"/>
        <v>132</v>
      </c>
      <c r="C15" s="1">
        <v>263</v>
      </c>
      <c r="D15" s="1">
        <v>467.05821528918716</v>
      </c>
      <c r="E15" s="1">
        <v>466.27337076794277</v>
      </c>
      <c r="F15" s="1">
        <v>467.67266822229897</v>
      </c>
      <c r="G15" s="1">
        <v>437.19299459188335</v>
      </c>
      <c r="H15" s="1">
        <v>495</v>
      </c>
      <c r="I15" s="1">
        <v>270</v>
      </c>
      <c r="J15" s="1">
        <v>360</v>
      </c>
      <c r="K15" s="1">
        <v>718.16250626191254</v>
      </c>
      <c r="L15" s="1">
        <v>701.15956589052246</v>
      </c>
      <c r="M15" s="1">
        <v>633.98931496148998</v>
      </c>
      <c r="N15" s="1">
        <v>742.10005454261727</v>
      </c>
      <c r="O15" s="1">
        <v>721.15823694060214</v>
      </c>
      <c r="P15" s="1">
        <v>701.43561024666462</v>
      </c>
      <c r="Q15" s="1">
        <v>673.15479336914962</v>
      </c>
      <c r="R15" s="1">
        <v>633.08748295083433</v>
      </c>
      <c r="S15" s="1">
        <v>731.28182899339038</v>
      </c>
      <c r="T15" s="1">
        <v>714.46972684218144</v>
      </c>
    </row>
    <row r="16" spans="1:20" s="8" customFormat="1" x14ac:dyDescent="0.25">
      <c r="A16" s="22">
        <v>42639</v>
      </c>
      <c r="B16" s="1">
        <f t="shared" si="0"/>
        <v>139</v>
      </c>
      <c r="C16" s="1">
        <v>270</v>
      </c>
      <c r="D16" s="1">
        <v>460.17067241325492</v>
      </c>
      <c r="E16" s="1">
        <v>450.87921330503144</v>
      </c>
      <c r="F16" s="1">
        <v>457.62337783196057</v>
      </c>
      <c r="G16" s="1">
        <v>422.2202984995875</v>
      </c>
      <c r="H16" s="1">
        <v>495</v>
      </c>
      <c r="I16" s="1">
        <v>270</v>
      </c>
      <c r="J16" s="1">
        <v>360</v>
      </c>
      <c r="K16" s="1">
        <v>702.42458605615434</v>
      </c>
      <c r="L16" s="1">
        <v>684.90046729828248</v>
      </c>
      <c r="M16" s="1">
        <v>626.1188145802912</v>
      </c>
      <c r="N16" s="1">
        <v>714.97471377553882</v>
      </c>
      <c r="O16" s="1">
        <v>709.56732798131918</v>
      </c>
      <c r="P16" s="1">
        <v>690.2476759588485</v>
      </c>
      <c r="Q16" s="1">
        <v>655.99890844210154</v>
      </c>
      <c r="R16" s="1">
        <v>622.63819698162013</v>
      </c>
      <c r="S16" s="1">
        <v>712.53102821204459</v>
      </c>
      <c r="T16" s="1">
        <v>694.79188670709016</v>
      </c>
    </row>
    <row r="17" spans="1:20" x14ac:dyDescent="0.25">
      <c r="A17" s="15">
        <v>42655</v>
      </c>
      <c r="B17" s="1">
        <f t="shared" si="0"/>
        <v>155</v>
      </c>
      <c r="C17" s="1">
        <v>286</v>
      </c>
      <c r="D17" s="1">
        <v>456.1161847570695</v>
      </c>
      <c r="E17" s="1">
        <v>439.65244110982309</v>
      </c>
      <c r="F17" s="1">
        <v>447.11625720989338</v>
      </c>
      <c r="G17" s="1">
        <v>416.82060489678668</v>
      </c>
      <c r="H17" s="1">
        <v>495</v>
      </c>
      <c r="I17" s="1">
        <v>270</v>
      </c>
      <c r="J17" s="1">
        <v>360</v>
      </c>
      <c r="K17" s="1">
        <v>689.57768123766959</v>
      </c>
      <c r="L17" s="1">
        <v>673.7366234816144</v>
      </c>
      <c r="M17" s="1">
        <v>621.88817315336007</v>
      </c>
      <c r="N17" s="1">
        <v>701.64644226623739</v>
      </c>
      <c r="O17" s="1">
        <v>694.15214413210435</v>
      </c>
      <c r="P17" s="1">
        <v>676.76095381031462</v>
      </c>
      <c r="Q17" s="1">
        <v>643.08709962660373</v>
      </c>
      <c r="R17" s="1">
        <v>612.86196852436001</v>
      </c>
      <c r="S17" s="1">
        <v>712.09435339233369</v>
      </c>
      <c r="T17" s="1">
        <v>694.82448265323171</v>
      </c>
    </row>
    <row r="18" spans="1:20" x14ac:dyDescent="0.25">
      <c r="A18" s="15">
        <v>42671</v>
      </c>
      <c r="B18" s="1">
        <f t="shared" si="0"/>
        <v>171</v>
      </c>
      <c r="C18" s="1">
        <v>302</v>
      </c>
      <c r="D18" s="1">
        <v>456.10632000289809</v>
      </c>
      <c r="E18" s="1">
        <v>433.69470290427108</v>
      </c>
      <c r="F18" s="1" t="e">
        <v>#N/A</v>
      </c>
      <c r="G18" s="1" t="e">
        <v>#N/A</v>
      </c>
      <c r="H18" s="1">
        <v>495</v>
      </c>
      <c r="I18" s="1">
        <v>270</v>
      </c>
      <c r="J18" s="1">
        <v>360</v>
      </c>
      <c r="K18" s="1">
        <v>683.30735251736019</v>
      </c>
      <c r="L18" s="1">
        <v>666.19838923280997</v>
      </c>
      <c r="M18" s="1">
        <v>621.45690186475269</v>
      </c>
      <c r="N18" s="1">
        <v>696.48495956061834</v>
      </c>
      <c r="O18" s="1">
        <v>684.90296432002867</v>
      </c>
      <c r="P18" s="1" t="e">
        <v>#N/A</v>
      </c>
      <c r="Q18" s="1" t="e">
        <v>#N/A</v>
      </c>
      <c r="R18" s="1" t="e">
        <v>#N/A</v>
      </c>
      <c r="S18" s="1" t="e">
        <v>#N/A</v>
      </c>
      <c r="T18" s="1" t="e">
        <v>#N/A</v>
      </c>
    </row>
    <row r="53" s="8" customFormat="1"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8E11E-7115-4B81-BB53-43149DFD64F7}">
  <dimension ref="A1:H9"/>
  <sheetViews>
    <sheetView workbookViewId="0"/>
  </sheetViews>
  <sheetFormatPr defaultRowHeight="13.2" x14ac:dyDescent="0.25"/>
  <cols>
    <col min="1" max="1" width="21.21875" style="1" customWidth="1"/>
    <col min="2" max="2" width="18.77734375" style="1" customWidth="1"/>
    <col min="3" max="3" width="49.5546875" style="8" customWidth="1"/>
    <col min="4" max="4" width="29.77734375" style="8" customWidth="1"/>
    <col min="5" max="5" width="18.77734375" style="1" customWidth="1"/>
    <col min="6" max="6" width="20.44140625" style="1" customWidth="1"/>
    <col min="7" max="7" width="12" style="1" customWidth="1"/>
    <col min="8" max="8" width="22.21875" style="1" customWidth="1"/>
    <col min="9" max="16384" width="8.88671875" style="1"/>
  </cols>
  <sheetData>
    <row r="1" spans="1:8" ht="34.200000000000003" customHeight="1" x14ac:dyDescent="0.25">
      <c r="A1" s="7" t="s">
        <v>69</v>
      </c>
      <c r="B1" s="7" t="s">
        <v>70</v>
      </c>
      <c r="C1" s="7" t="s">
        <v>71</v>
      </c>
      <c r="D1" s="7" t="s">
        <v>72</v>
      </c>
      <c r="E1" s="7" t="s">
        <v>73</v>
      </c>
      <c r="F1" s="7" t="s">
        <v>74</v>
      </c>
      <c r="G1" s="7" t="s">
        <v>75</v>
      </c>
      <c r="H1" s="7" t="s">
        <v>76</v>
      </c>
    </row>
    <row r="2" spans="1:8" x14ac:dyDescent="0.25">
      <c r="A2" s="1" t="s">
        <v>166</v>
      </c>
      <c r="B2" s="9" t="s">
        <v>77</v>
      </c>
      <c r="C2" s="8" t="s">
        <v>77</v>
      </c>
      <c r="D2" s="8" t="s">
        <v>124</v>
      </c>
      <c r="E2" s="1">
        <v>4</v>
      </c>
      <c r="G2" s="1" t="s">
        <v>79</v>
      </c>
      <c r="H2" s="1" t="s">
        <v>80</v>
      </c>
    </row>
    <row r="3" spans="1:8" x14ac:dyDescent="0.25">
      <c r="A3" s="1" t="s">
        <v>166</v>
      </c>
      <c r="B3" s="9" t="s">
        <v>4</v>
      </c>
      <c r="C3" s="8" t="s">
        <v>81</v>
      </c>
      <c r="D3" s="8" t="s">
        <v>78</v>
      </c>
      <c r="E3" s="1">
        <v>3</v>
      </c>
      <c r="F3" s="1" t="s">
        <v>82</v>
      </c>
      <c r="G3" s="1" t="s">
        <v>79</v>
      </c>
      <c r="H3" s="1" t="s">
        <v>80</v>
      </c>
    </row>
    <row r="4" spans="1:8" ht="28.8" x14ac:dyDescent="0.25">
      <c r="A4" s="1" t="s">
        <v>166</v>
      </c>
      <c r="B4" s="10" t="s">
        <v>125</v>
      </c>
      <c r="C4" s="8" t="s">
        <v>126</v>
      </c>
      <c r="D4" s="11" t="s">
        <v>127</v>
      </c>
      <c r="E4" s="1">
        <v>10</v>
      </c>
      <c r="G4" s="1" t="s">
        <v>79</v>
      </c>
      <c r="H4" s="1" t="s">
        <v>80</v>
      </c>
    </row>
    <row r="5" spans="1:8" ht="14.4" x14ac:dyDescent="0.25">
      <c r="A5" s="1" t="s">
        <v>166</v>
      </c>
      <c r="B5" s="10" t="s">
        <v>128</v>
      </c>
      <c r="C5" s="8" t="s">
        <v>129</v>
      </c>
      <c r="D5" s="11" t="s">
        <v>130</v>
      </c>
      <c r="F5" s="1" t="s">
        <v>131</v>
      </c>
      <c r="G5" s="1" t="s">
        <v>79</v>
      </c>
      <c r="H5" s="1" t="s">
        <v>86</v>
      </c>
    </row>
    <row r="6" spans="1:8" ht="26.4" x14ac:dyDescent="0.25">
      <c r="A6" s="1" t="s">
        <v>166</v>
      </c>
      <c r="B6" s="9" t="s">
        <v>132</v>
      </c>
      <c r="C6" s="8" t="s">
        <v>133</v>
      </c>
      <c r="D6" s="8" t="s">
        <v>85</v>
      </c>
      <c r="G6" s="1" t="s">
        <v>79</v>
      </c>
      <c r="H6" s="1" t="s">
        <v>80</v>
      </c>
    </row>
    <row r="7" spans="1:8" ht="52.8" x14ac:dyDescent="0.25">
      <c r="A7" s="1" t="s">
        <v>166</v>
      </c>
      <c r="B7" s="9" t="s">
        <v>134</v>
      </c>
      <c r="C7" s="8" t="s">
        <v>135</v>
      </c>
      <c r="D7" s="8" t="s">
        <v>78</v>
      </c>
      <c r="F7" s="1" t="s">
        <v>136</v>
      </c>
      <c r="G7" s="1" t="s">
        <v>79</v>
      </c>
      <c r="H7" s="1" t="s">
        <v>80</v>
      </c>
    </row>
    <row r="8" spans="1:8" x14ac:dyDescent="0.25">
      <c r="A8" s="1" t="s">
        <v>166</v>
      </c>
      <c r="B8" s="12" t="s">
        <v>137</v>
      </c>
      <c r="C8" s="8" t="s">
        <v>138</v>
      </c>
      <c r="D8" s="8" t="s">
        <v>85</v>
      </c>
      <c r="F8" s="1" t="s">
        <v>139</v>
      </c>
      <c r="G8" s="1" t="s">
        <v>79</v>
      </c>
      <c r="H8" s="1" t="s">
        <v>86</v>
      </c>
    </row>
    <row r="9" spans="1:8" ht="52.8" x14ac:dyDescent="0.25">
      <c r="A9" s="1" t="s">
        <v>166</v>
      </c>
      <c r="B9" s="9" t="s">
        <v>140</v>
      </c>
      <c r="C9" s="8" t="s">
        <v>141</v>
      </c>
      <c r="D9" s="13" t="s">
        <v>142</v>
      </c>
      <c r="E9" s="1">
        <v>6</v>
      </c>
      <c r="H9" s="1" t="s">
        <v>80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4C56-DCD1-429E-BA23-5D2F84C28BA0}">
  <dimension ref="A1:Z4081"/>
  <sheetViews>
    <sheetView workbookViewId="0"/>
  </sheetViews>
  <sheetFormatPr defaultRowHeight="13.2" x14ac:dyDescent="0.25"/>
  <cols>
    <col min="1" max="2" width="8.88671875" style="1"/>
    <col min="3" max="3" width="11.109375" style="15" customWidth="1"/>
    <col min="4" max="4" width="11.109375" style="16" customWidth="1"/>
    <col min="5" max="5" width="11.6640625" style="1" customWidth="1"/>
    <col min="6" max="9" width="8.88671875" style="1"/>
    <col min="10" max="10" width="10.109375" style="1" bestFit="1" customWidth="1"/>
    <col min="11" max="11" width="10.109375" style="1" customWidth="1"/>
    <col min="12" max="16" width="8.88671875" style="1"/>
    <col min="17" max="17" width="10.109375" style="1" bestFit="1" customWidth="1"/>
    <col min="18" max="23" width="10.109375" style="1" customWidth="1"/>
    <col min="24" max="16384" width="8.88671875" style="1"/>
  </cols>
  <sheetData>
    <row r="1" spans="1:26" x14ac:dyDescent="0.25">
      <c r="A1" s="23" t="s">
        <v>77</v>
      </c>
      <c r="B1" s="23" t="s">
        <v>4</v>
      </c>
      <c r="C1" s="21" t="s">
        <v>125</v>
      </c>
      <c r="D1" s="24" t="s">
        <v>128</v>
      </c>
      <c r="E1" s="23" t="s">
        <v>132</v>
      </c>
      <c r="F1" s="23" t="s">
        <v>134</v>
      </c>
      <c r="G1" s="25" t="s">
        <v>137</v>
      </c>
      <c r="H1" s="26" t="s">
        <v>140</v>
      </c>
      <c r="I1" s="14"/>
      <c r="O1" s="14"/>
      <c r="P1" s="14"/>
    </row>
    <row r="2" spans="1:26" x14ac:dyDescent="0.25">
      <c r="A2" s="14">
        <v>2016</v>
      </c>
      <c r="B2" s="14">
        <v>127</v>
      </c>
      <c r="C2" s="15">
        <v>42496</v>
      </c>
      <c r="D2" s="16" t="e">
        <v>#N/A</v>
      </c>
      <c r="E2" s="14">
        <v>230</v>
      </c>
      <c r="F2" s="14">
        <v>1</v>
      </c>
      <c r="G2" s="17" t="e">
        <v>#N/A</v>
      </c>
      <c r="H2" s="1" t="s">
        <v>143</v>
      </c>
      <c r="I2" s="14"/>
      <c r="O2" s="14"/>
      <c r="P2" s="14"/>
      <c r="Q2" s="18"/>
    </row>
    <row r="3" spans="1:26" x14ac:dyDescent="0.25">
      <c r="A3" s="14">
        <v>2016</v>
      </c>
      <c r="B3" s="14">
        <v>127</v>
      </c>
      <c r="C3" s="15">
        <v>42496</v>
      </c>
      <c r="D3" s="16" t="e">
        <v>#N/A</v>
      </c>
      <c r="E3" s="14">
        <v>230</v>
      </c>
      <c r="F3" s="14">
        <v>2</v>
      </c>
      <c r="G3" s="17" t="e">
        <v>#N/A</v>
      </c>
      <c r="H3" s="1" t="s">
        <v>143</v>
      </c>
      <c r="I3" s="14"/>
      <c r="O3" s="14"/>
      <c r="P3" s="14"/>
      <c r="Q3" s="18"/>
    </row>
    <row r="4" spans="1:26" x14ac:dyDescent="0.25">
      <c r="A4" s="14">
        <v>2016</v>
      </c>
      <c r="B4" s="14">
        <v>127</v>
      </c>
      <c r="C4" s="15">
        <v>42496</v>
      </c>
      <c r="D4" s="16" t="e">
        <v>#N/A</v>
      </c>
      <c r="E4" s="14">
        <v>230</v>
      </c>
      <c r="F4" s="14">
        <v>3</v>
      </c>
      <c r="G4" s="17" t="e">
        <v>#N/A</v>
      </c>
      <c r="H4" s="1" t="s">
        <v>143</v>
      </c>
      <c r="I4" s="14"/>
      <c r="Y4" s="14"/>
    </row>
    <row r="5" spans="1:26" x14ac:dyDescent="0.25">
      <c r="A5" s="14">
        <v>2016</v>
      </c>
      <c r="B5" s="14">
        <v>127</v>
      </c>
      <c r="C5" s="15">
        <v>42496</v>
      </c>
      <c r="D5" s="16" t="e">
        <v>#N/A</v>
      </c>
      <c r="E5" s="14">
        <v>230</v>
      </c>
      <c r="F5" s="14">
        <v>4</v>
      </c>
      <c r="G5" s="17" t="e">
        <v>#N/A</v>
      </c>
      <c r="H5" s="1" t="s">
        <v>143</v>
      </c>
      <c r="I5" s="14"/>
      <c r="Z5" s="14"/>
    </row>
    <row r="6" spans="1:26" x14ac:dyDescent="0.25">
      <c r="A6" s="14">
        <v>2016</v>
      </c>
      <c r="B6" s="14">
        <v>127</v>
      </c>
      <c r="C6" s="15">
        <v>42496</v>
      </c>
      <c r="D6" s="16">
        <v>0.36805555555555558</v>
      </c>
      <c r="E6" s="14">
        <v>230</v>
      </c>
      <c r="F6" s="14">
        <v>5</v>
      </c>
      <c r="G6" s="17" t="e">
        <v>#N/A</v>
      </c>
      <c r="H6" s="1" t="s">
        <v>0</v>
      </c>
      <c r="I6" s="14"/>
    </row>
    <row r="7" spans="1:26" x14ac:dyDescent="0.25">
      <c r="A7" s="14">
        <v>2016</v>
      </c>
      <c r="B7" s="14">
        <v>127</v>
      </c>
      <c r="C7" s="15">
        <v>42496</v>
      </c>
      <c r="D7" s="16">
        <v>0.36874999999999997</v>
      </c>
      <c r="E7" s="14">
        <v>230</v>
      </c>
      <c r="F7" s="14">
        <v>6</v>
      </c>
      <c r="G7" s="17" t="e">
        <v>#N/A</v>
      </c>
      <c r="H7" s="1" t="s">
        <v>0</v>
      </c>
      <c r="I7" s="14"/>
    </row>
    <row r="8" spans="1:26" x14ac:dyDescent="0.25">
      <c r="A8" s="14">
        <v>2016</v>
      </c>
      <c r="B8" s="14">
        <v>127</v>
      </c>
      <c r="C8" s="15">
        <v>42496</v>
      </c>
      <c r="D8" s="16" t="e">
        <v>#N/A</v>
      </c>
      <c r="E8" s="14">
        <v>230</v>
      </c>
      <c r="F8" s="14">
        <v>7</v>
      </c>
      <c r="G8" s="17" t="e">
        <v>#N/A</v>
      </c>
      <c r="H8" s="1" t="s">
        <v>143</v>
      </c>
      <c r="I8" s="14"/>
    </row>
    <row r="9" spans="1:26" x14ac:dyDescent="0.25">
      <c r="A9" s="14">
        <v>2016</v>
      </c>
      <c r="B9" s="14">
        <v>127</v>
      </c>
      <c r="C9" s="15">
        <v>42496</v>
      </c>
      <c r="D9" s="16" t="e">
        <v>#N/A</v>
      </c>
      <c r="E9" s="14">
        <v>230</v>
      </c>
      <c r="F9" s="14">
        <v>8</v>
      </c>
      <c r="G9" s="17" t="e">
        <v>#N/A</v>
      </c>
      <c r="H9" s="1" t="s">
        <v>143</v>
      </c>
      <c r="I9" s="14"/>
    </row>
    <row r="10" spans="1:26" x14ac:dyDescent="0.25">
      <c r="A10" s="14">
        <v>2016</v>
      </c>
      <c r="B10" s="14">
        <v>127</v>
      </c>
      <c r="C10" s="15">
        <v>42496</v>
      </c>
      <c r="D10" s="16" t="e">
        <v>#N/A</v>
      </c>
      <c r="E10" s="14">
        <v>230</v>
      </c>
      <c r="F10" s="14">
        <v>9</v>
      </c>
      <c r="G10" s="17" t="e">
        <v>#N/A</v>
      </c>
      <c r="H10" s="1" t="s">
        <v>143</v>
      </c>
      <c r="I10" s="14"/>
    </row>
    <row r="11" spans="1:26" x14ac:dyDescent="0.25">
      <c r="A11" s="14">
        <v>2016</v>
      </c>
      <c r="B11" s="14">
        <v>127</v>
      </c>
      <c r="C11" s="15">
        <v>42496</v>
      </c>
      <c r="D11" s="16" t="e">
        <v>#N/A</v>
      </c>
      <c r="E11" s="14">
        <v>230</v>
      </c>
      <c r="F11" s="14">
        <v>10</v>
      </c>
      <c r="G11" s="17" t="e">
        <v>#N/A</v>
      </c>
      <c r="H11" s="1" t="s">
        <v>143</v>
      </c>
      <c r="I11" s="14"/>
    </row>
    <row r="12" spans="1:26" x14ac:dyDescent="0.25">
      <c r="A12" s="14">
        <v>2016</v>
      </c>
      <c r="B12" s="14">
        <v>127</v>
      </c>
      <c r="C12" s="15">
        <v>42496</v>
      </c>
      <c r="D12" s="16" t="e">
        <v>#N/A</v>
      </c>
      <c r="E12" s="14">
        <v>230</v>
      </c>
      <c r="F12" s="14">
        <v>11</v>
      </c>
      <c r="G12" s="17" t="e">
        <v>#N/A</v>
      </c>
      <c r="H12" s="1" t="s">
        <v>144</v>
      </c>
      <c r="I12" s="14"/>
    </row>
    <row r="13" spans="1:26" x14ac:dyDescent="0.25">
      <c r="A13" s="14">
        <v>2016</v>
      </c>
      <c r="B13" s="14">
        <v>127</v>
      </c>
      <c r="C13" s="15">
        <v>42496</v>
      </c>
      <c r="D13" s="16" t="e">
        <v>#N/A</v>
      </c>
      <c r="E13" s="14">
        <v>230</v>
      </c>
      <c r="F13" s="14">
        <v>12</v>
      </c>
      <c r="G13" s="17" t="e">
        <v>#N/A</v>
      </c>
      <c r="H13" s="1" t="s">
        <v>144</v>
      </c>
      <c r="I13" s="14"/>
    </row>
    <row r="14" spans="1:26" x14ac:dyDescent="0.25">
      <c r="A14" s="14">
        <v>2016</v>
      </c>
      <c r="B14" s="14">
        <v>127</v>
      </c>
      <c r="C14" s="15">
        <v>42496</v>
      </c>
      <c r="D14" s="16" t="e">
        <v>#N/A</v>
      </c>
      <c r="E14" s="14">
        <v>230</v>
      </c>
      <c r="F14" s="14">
        <v>13</v>
      </c>
      <c r="G14" s="17" t="e">
        <v>#N/A</v>
      </c>
      <c r="H14" s="1" t="s">
        <v>144</v>
      </c>
      <c r="I14" s="14"/>
    </row>
    <row r="15" spans="1:26" x14ac:dyDescent="0.25">
      <c r="A15" s="14">
        <v>2016</v>
      </c>
      <c r="B15" s="14">
        <v>127</v>
      </c>
      <c r="C15" s="15">
        <v>42496</v>
      </c>
      <c r="D15" s="16" t="e">
        <v>#N/A</v>
      </c>
      <c r="E15" s="14">
        <v>230</v>
      </c>
      <c r="F15" s="14">
        <v>14</v>
      </c>
      <c r="G15" s="17" t="e">
        <v>#N/A</v>
      </c>
      <c r="H15" s="1" t="s">
        <v>144</v>
      </c>
      <c r="I15" s="14"/>
    </row>
    <row r="16" spans="1:26" x14ac:dyDescent="0.25">
      <c r="A16" s="14">
        <v>2016</v>
      </c>
      <c r="B16" s="14">
        <v>127</v>
      </c>
      <c r="C16" s="15">
        <v>42496</v>
      </c>
      <c r="D16" s="16">
        <v>0.34722222222222227</v>
      </c>
      <c r="E16" s="14">
        <v>230</v>
      </c>
      <c r="F16" s="14">
        <v>15</v>
      </c>
      <c r="G16" s="17" t="e">
        <v>#N/A</v>
      </c>
      <c r="H16" s="1" t="s">
        <v>1</v>
      </c>
      <c r="I16" s="14"/>
    </row>
    <row r="17" spans="1:9" x14ac:dyDescent="0.25">
      <c r="A17" s="14">
        <v>2016</v>
      </c>
      <c r="B17" s="14">
        <v>127</v>
      </c>
      <c r="C17" s="15">
        <v>42496</v>
      </c>
      <c r="D17" s="16">
        <v>0.34722222222222227</v>
      </c>
      <c r="E17" s="14">
        <v>230</v>
      </c>
      <c r="F17" s="14">
        <v>16</v>
      </c>
      <c r="G17" s="17" t="e">
        <v>#N/A</v>
      </c>
      <c r="H17" s="1" t="s">
        <v>1</v>
      </c>
      <c r="I17" s="14"/>
    </row>
    <row r="18" spans="1:9" x14ac:dyDescent="0.25">
      <c r="A18" s="14">
        <v>2016</v>
      </c>
      <c r="B18" s="14">
        <v>127</v>
      </c>
      <c r="C18" s="15">
        <v>42496</v>
      </c>
      <c r="D18" s="16" t="e">
        <v>#N/A</v>
      </c>
      <c r="E18" s="14">
        <v>230</v>
      </c>
      <c r="F18" s="14">
        <v>17</v>
      </c>
      <c r="G18" s="17" t="e">
        <v>#N/A</v>
      </c>
      <c r="H18" s="1" t="s">
        <v>144</v>
      </c>
      <c r="I18" s="14"/>
    </row>
    <row r="19" spans="1:9" x14ac:dyDescent="0.25">
      <c r="A19" s="14">
        <v>2016</v>
      </c>
      <c r="B19" s="14">
        <v>127</v>
      </c>
      <c r="C19" s="15">
        <v>42496</v>
      </c>
      <c r="D19" s="16" t="e">
        <v>#N/A</v>
      </c>
      <c r="E19" s="14">
        <v>230</v>
      </c>
      <c r="F19" s="14">
        <v>18</v>
      </c>
      <c r="G19" s="17" t="e">
        <v>#N/A</v>
      </c>
      <c r="H19" s="1" t="s">
        <v>144</v>
      </c>
      <c r="I19" s="14"/>
    </row>
    <row r="20" spans="1:9" x14ac:dyDescent="0.25">
      <c r="A20" s="14">
        <v>2016</v>
      </c>
      <c r="B20" s="14">
        <v>127</v>
      </c>
      <c r="C20" s="15">
        <v>42496</v>
      </c>
      <c r="D20" s="16" t="e">
        <v>#N/A</v>
      </c>
      <c r="E20" s="14">
        <v>230</v>
      </c>
      <c r="F20" s="14">
        <v>19</v>
      </c>
      <c r="G20" s="17" t="e">
        <v>#N/A</v>
      </c>
      <c r="H20" s="1" t="s">
        <v>144</v>
      </c>
      <c r="I20" s="14"/>
    </row>
    <row r="21" spans="1:9" x14ac:dyDescent="0.25">
      <c r="A21" s="14">
        <v>2016</v>
      </c>
      <c r="B21" s="14">
        <v>127</v>
      </c>
      <c r="C21" s="15">
        <v>42496</v>
      </c>
      <c r="D21" s="16" t="e">
        <v>#N/A</v>
      </c>
      <c r="E21" s="14">
        <v>230</v>
      </c>
      <c r="F21" s="14">
        <v>20</v>
      </c>
      <c r="G21" s="17" t="e">
        <v>#N/A</v>
      </c>
      <c r="H21" s="1" t="s">
        <v>144</v>
      </c>
      <c r="I21" s="14"/>
    </row>
    <row r="22" spans="1:9" x14ac:dyDescent="0.25">
      <c r="A22" s="14">
        <v>2016</v>
      </c>
      <c r="B22" s="14">
        <v>127</v>
      </c>
      <c r="C22" s="15">
        <v>42496</v>
      </c>
      <c r="D22" s="16" t="e">
        <v>#N/A</v>
      </c>
      <c r="E22" s="14">
        <v>210</v>
      </c>
      <c r="F22" s="14">
        <v>1</v>
      </c>
      <c r="G22" s="17" t="e">
        <v>#N/A</v>
      </c>
      <c r="H22" s="1" t="s">
        <v>143</v>
      </c>
      <c r="I22" s="14"/>
    </row>
    <row r="23" spans="1:9" x14ac:dyDescent="0.25">
      <c r="A23" s="14">
        <v>2016</v>
      </c>
      <c r="B23" s="14">
        <v>127</v>
      </c>
      <c r="C23" s="15">
        <v>42496</v>
      </c>
      <c r="D23" s="16" t="e">
        <v>#N/A</v>
      </c>
      <c r="E23" s="14">
        <v>210</v>
      </c>
      <c r="F23" s="14">
        <v>2</v>
      </c>
      <c r="G23" s="17" t="e">
        <v>#N/A</v>
      </c>
      <c r="H23" s="1" t="s">
        <v>143</v>
      </c>
      <c r="I23" s="14"/>
    </row>
    <row r="24" spans="1:9" x14ac:dyDescent="0.25">
      <c r="A24" s="14">
        <v>2016</v>
      </c>
      <c r="B24" s="14">
        <v>127</v>
      </c>
      <c r="C24" s="15">
        <v>42496</v>
      </c>
      <c r="D24" s="16" t="e">
        <v>#N/A</v>
      </c>
      <c r="E24" s="14">
        <v>210</v>
      </c>
      <c r="F24" s="14">
        <v>3</v>
      </c>
      <c r="G24" s="17" t="e">
        <v>#N/A</v>
      </c>
      <c r="H24" s="1" t="s">
        <v>143</v>
      </c>
      <c r="I24" s="14"/>
    </row>
    <row r="25" spans="1:9" x14ac:dyDescent="0.25">
      <c r="A25" s="14">
        <v>2016</v>
      </c>
      <c r="B25" s="14">
        <v>127</v>
      </c>
      <c r="C25" s="15">
        <v>42496</v>
      </c>
      <c r="D25" s="16" t="e">
        <v>#N/A</v>
      </c>
      <c r="E25" s="14">
        <v>210</v>
      </c>
      <c r="F25" s="14">
        <v>4</v>
      </c>
      <c r="G25" s="17" t="e">
        <v>#N/A</v>
      </c>
      <c r="H25" s="1" t="s">
        <v>143</v>
      </c>
      <c r="I25" s="14"/>
    </row>
    <row r="26" spans="1:9" x14ac:dyDescent="0.25">
      <c r="A26" s="14">
        <v>2016</v>
      </c>
      <c r="B26" s="14">
        <v>127</v>
      </c>
      <c r="C26" s="15">
        <v>42496</v>
      </c>
      <c r="D26" s="16">
        <v>0.36805555555555558</v>
      </c>
      <c r="E26" s="14">
        <v>210</v>
      </c>
      <c r="F26" s="14">
        <v>5</v>
      </c>
      <c r="G26" s="17" t="e">
        <v>#N/A</v>
      </c>
      <c r="H26" s="1" t="s">
        <v>0</v>
      </c>
      <c r="I26" s="14"/>
    </row>
    <row r="27" spans="1:9" x14ac:dyDescent="0.25">
      <c r="A27" s="14">
        <v>2016</v>
      </c>
      <c r="B27" s="14">
        <v>127</v>
      </c>
      <c r="C27" s="15">
        <v>42496</v>
      </c>
      <c r="D27" s="16">
        <v>0.36874999999999997</v>
      </c>
      <c r="E27" s="14">
        <v>210</v>
      </c>
      <c r="F27" s="14">
        <v>6</v>
      </c>
      <c r="G27" s="17" t="e">
        <v>#N/A</v>
      </c>
      <c r="H27" s="1" t="s">
        <v>0</v>
      </c>
      <c r="I27" s="14"/>
    </row>
    <row r="28" spans="1:9" x14ac:dyDescent="0.25">
      <c r="A28" s="14">
        <v>2016</v>
      </c>
      <c r="B28" s="14">
        <v>127</v>
      </c>
      <c r="C28" s="15">
        <v>42496</v>
      </c>
      <c r="D28" s="16" t="e">
        <v>#N/A</v>
      </c>
      <c r="E28" s="14">
        <v>210</v>
      </c>
      <c r="F28" s="14">
        <v>7</v>
      </c>
      <c r="G28" s="17" t="e">
        <v>#N/A</v>
      </c>
      <c r="H28" s="1" t="s">
        <v>143</v>
      </c>
      <c r="I28" s="14"/>
    </row>
    <row r="29" spans="1:9" x14ac:dyDescent="0.25">
      <c r="A29" s="14">
        <v>2016</v>
      </c>
      <c r="B29" s="14">
        <v>127</v>
      </c>
      <c r="C29" s="15">
        <v>42496</v>
      </c>
      <c r="D29" s="16" t="e">
        <v>#N/A</v>
      </c>
      <c r="E29" s="14">
        <v>210</v>
      </c>
      <c r="F29" s="14">
        <v>8</v>
      </c>
      <c r="G29" s="17" t="e">
        <v>#N/A</v>
      </c>
      <c r="H29" s="1" t="s">
        <v>143</v>
      </c>
      <c r="I29" s="14"/>
    </row>
    <row r="30" spans="1:9" x14ac:dyDescent="0.25">
      <c r="A30" s="14">
        <v>2016</v>
      </c>
      <c r="B30" s="14">
        <v>127</v>
      </c>
      <c r="C30" s="15">
        <v>42496</v>
      </c>
      <c r="D30" s="16" t="e">
        <v>#N/A</v>
      </c>
      <c r="E30" s="14">
        <v>210</v>
      </c>
      <c r="F30" s="14">
        <v>9</v>
      </c>
      <c r="G30" s="17" t="e">
        <v>#N/A</v>
      </c>
      <c r="H30" s="1" t="s">
        <v>143</v>
      </c>
      <c r="I30" s="14"/>
    </row>
    <row r="31" spans="1:9" x14ac:dyDescent="0.25">
      <c r="A31" s="14">
        <v>2016</v>
      </c>
      <c r="B31" s="14">
        <v>127</v>
      </c>
      <c r="C31" s="15">
        <v>42496</v>
      </c>
      <c r="D31" s="16" t="e">
        <v>#N/A</v>
      </c>
      <c r="E31" s="14">
        <v>210</v>
      </c>
      <c r="F31" s="14">
        <v>10</v>
      </c>
      <c r="G31" s="17" t="e">
        <v>#N/A</v>
      </c>
      <c r="H31" s="1" t="s">
        <v>143</v>
      </c>
      <c r="I31" s="14"/>
    </row>
    <row r="32" spans="1:9" x14ac:dyDescent="0.25">
      <c r="A32" s="14">
        <v>2016</v>
      </c>
      <c r="B32" s="14">
        <v>127</v>
      </c>
      <c r="C32" s="15">
        <v>42496</v>
      </c>
      <c r="D32" s="16" t="e">
        <v>#N/A</v>
      </c>
      <c r="E32" s="14">
        <v>210</v>
      </c>
      <c r="F32" s="14">
        <v>11</v>
      </c>
      <c r="G32" s="17" t="e">
        <v>#N/A</v>
      </c>
      <c r="H32" s="1" t="s">
        <v>144</v>
      </c>
      <c r="I32" s="14"/>
    </row>
    <row r="33" spans="1:9" x14ac:dyDescent="0.25">
      <c r="A33" s="14">
        <v>2016</v>
      </c>
      <c r="B33" s="14">
        <v>127</v>
      </c>
      <c r="C33" s="15">
        <v>42496</v>
      </c>
      <c r="D33" s="16" t="e">
        <v>#N/A</v>
      </c>
      <c r="E33" s="14">
        <v>210</v>
      </c>
      <c r="F33" s="14">
        <v>12</v>
      </c>
      <c r="G33" s="17" t="e">
        <v>#N/A</v>
      </c>
      <c r="H33" s="1" t="s">
        <v>144</v>
      </c>
      <c r="I33" s="14"/>
    </row>
    <row r="34" spans="1:9" x14ac:dyDescent="0.25">
      <c r="A34" s="14">
        <v>2016</v>
      </c>
      <c r="B34" s="14">
        <v>127</v>
      </c>
      <c r="C34" s="15">
        <v>42496</v>
      </c>
      <c r="D34" s="16" t="e">
        <v>#N/A</v>
      </c>
      <c r="E34" s="14">
        <v>210</v>
      </c>
      <c r="F34" s="14">
        <v>13</v>
      </c>
      <c r="G34" s="17" t="e">
        <v>#N/A</v>
      </c>
      <c r="H34" s="1" t="s">
        <v>144</v>
      </c>
      <c r="I34" s="14"/>
    </row>
    <row r="35" spans="1:9" x14ac:dyDescent="0.25">
      <c r="A35" s="14">
        <v>2016</v>
      </c>
      <c r="B35" s="14">
        <v>127</v>
      </c>
      <c r="C35" s="15">
        <v>42496</v>
      </c>
      <c r="D35" s="16" t="e">
        <v>#N/A</v>
      </c>
      <c r="E35" s="14">
        <v>210</v>
      </c>
      <c r="F35" s="14">
        <v>14</v>
      </c>
      <c r="G35" s="17" t="e">
        <v>#N/A</v>
      </c>
      <c r="H35" s="1" t="s">
        <v>144</v>
      </c>
      <c r="I35" s="14"/>
    </row>
    <row r="36" spans="1:9" x14ac:dyDescent="0.25">
      <c r="A36" s="14">
        <v>2016</v>
      </c>
      <c r="B36" s="14">
        <v>127</v>
      </c>
      <c r="C36" s="15">
        <v>42496</v>
      </c>
      <c r="D36" s="16">
        <v>0.34722222222222227</v>
      </c>
      <c r="E36" s="14">
        <v>210</v>
      </c>
      <c r="F36" s="14">
        <v>15</v>
      </c>
      <c r="G36" s="17" t="e">
        <v>#N/A</v>
      </c>
      <c r="H36" s="1" t="s">
        <v>1</v>
      </c>
      <c r="I36" s="14"/>
    </row>
    <row r="37" spans="1:9" x14ac:dyDescent="0.25">
      <c r="A37" s="14">
        <v>2016</v>
      </c>
      <c r="B37" s="14">
        <v>127</v>
      </c>
      <c r="C37" s="15">
        <v>42496</v>
      </c>
      <c r="D37" s="16">
        <v>0.34722222222222227</v>
      </c>
      <c r="E37" s="14">
        <v>210</v>
      </c>
      <c r="F37" s="14">
        <v>16</v>
      </c>
      <c r="G37" s="17" t="e">
        <v>#N/A</v>
      </c>
      <c r="H37" s="1" t="s">
        <v>1</v>
      </c>
      <c r="I37" s="14"/>
    </row>
    <row r="38" spans="1:9" x14ac:dyDescent="0.25">
      <c r="A38" s="14">
        <v>2016</v>
      </c>
      <c r="B38" s="14">
        <v>127</v>
      </c>
      <c r="C38" s="15">
        <v>42496</v>
      </c>
      <c r="D38" s="16" t="e">
        <v>#N/A</v>
      </c>
      <c r="E38" s="14">
        <v>210</v>
      </c>
      <c r="F38" s="14">
        <v>17</v>
      </c>
      <c r="G38" s="17" t="e">
        <v>#N/A</v>
      </c>
      <c r="H38" s="1" t="s">
        <v>144</v>
      </c>
      <c r="I38" s="14"/>
    </row>
    <row r="39" spans="1:9" x14ac:dyDescent="0.25">
      <c r="A39" s="14">
        <v>2016</v>
      </c>
      <c r="B39" s="14">
        <v>127</v>
      </c>
      <c r="C39" s="15">
        <v>42496</v>
      </c>
      <c r="D39" s="16" t="e">
        <v>#N/A</v>
      </c>
      <c r="E39" s="14">
        <v>210</v>
      </c>
      <c r="F39" s="14">
        <v>18</v>
      </c>
      <c r="G39" s="17" t="e">
        <v>#N/A</v>
      </c>
      <c r="H39" s="1" t="s">
        <v>144</v>
      </c>
      <c r="I39" s="14"/>
    </row>
    <row r="40" spans="1:9" x14ac:dyDescent="0.25">
      <c r="A40" s="14">
        <v>2016</v>
      </c>
      <c r="B40" s="14">
        <v>127</v>
      </c>
      <c r="C40" s="15">
        <v>42496</v>
      </c>
      <c r="D40" s="16" t="e">
        <v>#N/A</v>
      </c>
      <c r="E40" s="14">
        <v>210</v>
      </c>
      <c r="F40" s="14">
        <v>19</v>
      </c>
      <c r="G40" s="17" t="e">
        <v>#N/A</v>
      </c>
      <c r="H40" s="1" t="s">
        <v>144</v>
      </c>
      <c r="I40" s="14"/>
    </row>
    <row r="41" spans="1:9" x14ac:dyDescent="0.25">
      <c r="A41" s="14">
        <v>2016</v>
      </c>
      <c r="B41" s="14">
        <v>127</v>
      </c>
      <c r="C41" s="15">
        <v>42496</v>
      </c>
      <c r="D41" s="16" t="e">
        <v>#N/A</v>
      </c>
      <c r="E41" s="14">
        <v>210</v>
      </c>
      <c r="F41" s="14">
        <v>20</v>
      </c>
      <c r="G41" s="17" t="e">
        <v>#N/A</v>
      </c>
      <c r="H41" s="1" t="s">
        <v>144</v>
      </c>
      <c r="I41" s="14"/>
    </row>
    <row r="42" spans="1:9" x14ac:dyDescent="0.25">
      <c r="A42" s="14">
        <v>2016</v>
      </c>
      <c r="B42" s="14">
        <v>127</v>
      </c>
      <c r="C42" s="15">
        <v>42496</v>
      </c>
      <c r="D42" s="16" t="e">
        <v>#N/A</v>
      </c>
      <c r="E42" s="14">
        <v>190</v>
      </c>
      <c r="F42" s="14">
        <v>1</v>
      </c>
      <c r="G42" s="17" t="e">
        <v>#N/A</v>
      </c>
      <c r="H42" s="1" t="s">
        <v>143</v>
      </c>
      <c r="I42" s="14"/>
    </row>
    <row r="43" spans="1:9" x14ac:dyDescent="0.25">
      <c r="A43" s="14">
        <v>2016</v>
      </c>
      <c r="B43" s="14">
        <v>127</v>
      </c>
      <c r="C43" s="15">
        <v>42496</v>
      </c>
      <c r="D43" s="16" t="e">
        <v>#N/A</v>
      </c>
      <c r="E43" s="14">
        <v>190</v>
      </c>
      <c r="F43" s="14">
        <v>2</v>
      </c>
      <c r="G43" s="17" t="e">
        <v>#N/A</v>
      </c>
      <c r="H43" s="1" t="s">
        <v>143</v>
      </c>
      <c r="I43" s="14"/>
    </row>
    <row r="44" spans="1:9" x14ac:dyDescent="0.25">
      <c r="A44" s="14">
        <v>2016</v>
      </c>
      <c r="B44" s="14">
        <v>127</v>
      </c>
      <c r="C44" s="15">
        <v>42496</v>
      </c>
      <c r="D44" s="16" t="e">
        <v>#N/A</v>
      </c>
      <c r="E44" s="14">
        <v>190</v>
      </c>
      <c r="F44" s="14">
        <v>3</v>
      </c>
      <c r="G44" s="17" t="e">
        <v>#N/A</v>
      </c>
      <c r="H44" s="1" t="s">
        <v>143</v>
      </c>
      <c r="I44" s="14"/>
    </row>
    <row r="45" spans="1:9" x14ac:dyDescent="0.25">
      <c r="A45" s="14">
        <v>2016</v>
      </c>
      <c r="B45" s="14">
        <v>127</v>
      </c>
      <c r="C45" s="15">
        <v>42496</v>
      </c>
      <c r="D45" s="16" t="e">
        <v>#N/A</v>
      </c>
      <c r="E45" s="14">
        <v>190</v>
      </c>
      <c r="F45" s="14">
        <v>4</v>
      </c>
      <c r="G45" s="17" t="e">
        <v>#N/A</v>
      </c>
      <c r="H45" s="1" t="s">
        <v>143</v>
      </c>
      <c r="I45" s="14"/>
    </row>
    <row r="46" spans="1:9" x14ac:dyDescent="0.25">
      <c r="A46" s="14">
        <v>2016</v>
      </c>
      <c r="B46" s="14">
        <v>127</v>
      </c>
      <c r="C46" s="15">
        <v>42496</v>
      </c>
      <c r="D46" s="16">
        <v>0.36805555555555558</v>
      </c>
      <c r="E46" s="14">
        <v>190</v>
      </c>
      <c r="F46" s="14">
        <v>5</v>
      </c>
      <c r="G46" s="17">
        <v>0.32259614381889723</v>
      </c>
      <c r="H46" s="1" t="s">
        <v>0</v>
      </c>
      <c r="I46" s="14"/>
    </row>
    <row r="47" spans="1:9" x14ac:dyDescent="0.25">
      <c r="A47" s="14">
        <v>2016</v>
      </c>
      <c r="B47" s="14">
        <v>127</v>
      </c>
      <c r="C47" s="15">
        <v>42496</v>
      </c>
      <c r="D47" s="16">
        <v>0.36874999999999997</v>
      </c>
      <c r="E47" s="14">
        <v>190</v>
      </c>
      <c r="F47" s="14">
        <v>6</v>
      </c>
      <c r="G47" s="17">
        <v>0.33446949190231506</v>
      </c>
      <c r="H47" s="1" t="s">
        <v>0</v>
      </c>
      <c r="I47" s="14"/>
    </row>
    <row r="48" spans="1:9" x14ac:dyDescent="0.25">
      <c r="A48" s="14">
        <v>2016</v>
      </c>
      <c r="B48" s="14">
        <v>127</v>
      </c>
      <c r="C48" s="15">
        <v>42496</v>
      </c>
      <c r="D48" s="16" t="e">
        <v>#N/A</v>
      </c>
      <c r="E48" s="14">
        <v>190</v>
      </c>
      <c r="F48" s="14">
        <v>7</v>
      </c>
      <c r="G48" s="17" t="e">
        <v>#N/A</v>
      </c>
      <c r="H48" s="1" t="s">
        <v>143</v>
      </c>
      <c r="I48" s="14"/>
    </row>
    <row r="49" spans="1:9" x14ac:dyDescent="0.25">
      <c r="A49" s="14">
        <v>2016</v>
      </c>
      <c r="B49" s="14">
        <v>127</v>
      </c>
      <c r="C49" s="15">
        <v>42496</v>
      </c>
      <c r="D49" s="16" t="e">
        <v>#N/A</v>
      </c>
      <c r="E49" s="14">
        <v>190</v>
      </c>
      <c r="F49" s="14">
        <v>8</v>
      </c>
      <c r="G49" s="17" t="e">
        <v>#N/A</v>
      </c>
      <c r="H49" s="1" t="s">
        <v>143</v>
      </c>
      <c r="I49" s="14"/>
    </row>
    <row r="50" spans="1:9" x14ac:dyDescent="0.25">
      <c r="A50" s="14">
        <v>2016</v>
      </c>
      <c r="B50" s="14">
        <v>127</v>
      </c>
      <c r="C50" s="15">
        <v>42496</v>
      </c>
      <c r="D50" s="16" t="e">
        <v>#N/A</v>
      </c>
      <c r="E50" s="14">
        <v>190</v>
      </c>
      <c r="F50" s="14">
        <v>9</v>
      </c>
      <c r="G50" s="17" t="e">
        <v>#N/A</v>
      </c>
      <c r="H50" s="1" t="s">
        <v>143</v>
      </c>
      <c r="I50" s="14"/>
    </row>
    <row r="51" spans="1:9" x14ac:dyDescent="0.25">
      <c r="A51" s="14">
        <v>2016</v>
      </c>
      <c r="B51" s="14">
        <v>127</v>
      </c>
      <c r="C51" s="15">
        <v>42496</v>
      </c>
      <c r="D51" s="16" t="e">
        <v>#N/A</v>
      </c>
      <c r="E51" s="14">
        <v>190</v>
      </c>
      <c r="F51" s="14">
        <v>10</v>
      </c>
      <c r="G51" s="17" t="e">
        <v>#N/A</v>
      </c>
      <c r="H51" s="1" t="s">
        <v>143</v>
      </c>
      <c r="I51" s="14"/>
    </row>
    <row r="52" spans="1:9" x14ac:dyDescent="0.25">
      <c r="A52" s="14">
        <v>2016</v>
      </c>
      <c r="B52" s="14">
        <v>127</v>
      </c>
      <c r="C52" s="15">
        <v>42496</v>
      </c>
      <c r="D52" s="16" t="e">
        <v>#N/A</v>
      </c>
      <c r="E52" s="14">
        <v>190</v>
      </c>
      <c r="F52" s="14">
        <v>11</v>
      </c>
      <c r="G52" s="17" t="e">
        <v>#N/A</v>
      </c>
      <c r="H52" s="1" t="s">
        <v>144</v>
      </c>
      <c r="I52" s="14"/>
    </row>
    <row r="53" spans="1:9" x14ac:dyDescent="0.25">
      <c r="A53" s="14">
        <v>2016</v>
      </c>
      <c r="B53" s="14">
        <v>127</v>
      </c>
      <c r="C53" s="15">
        <v>42496</v>
      </c>
      <c r="D53" s="16" t="e">
        <v>#N/A</v>
      </c>
      <c r="E53" s="14">
        <v>190</v>
      </c>
      <c r="F53" s="14">
        <v>12</v>
      </c>
      <c r="G53" s="17" t="e">
        <v>#N/A</v>
      </c>
      <c r="H53" s="1" t="s">
        <v>144</v>
      </c>
      <c r="I53" s="14"/>
    </row>
    <row r="54" spans="1:9" x14ac:dyDescent="0.25">
      <c r="A54" s="14">
        <v>2016</v>
      </c>
      <c r="B54" s="14">
        <v>127</v>
      </c>
      <c r="C54" s="15">
        <v>42496</v>
      </c>
      <c r="D54" s="16" t="e">
        <v>#N/A</v>
      </c>
      <c r="E54" s="14">
        <v>190</v>
      </c>
      <c r="F54" s="14">
        <v>13</v>
      </c>
      <c r="G54" s="17" t="e">
        <v>#N/A</v>
      </c>
      <c r="H54" s="1" t="s">
        <v>144</v>
      </c>
      <c r="I54" s="14"/>
    </row>
    <row r="55" spans="1:9" x14ac:dyDescent="0.25">
      <c r="A55" s="14">
        <v>2016</v>
      </c>
      <c r="B55" s="14">
        <v>127</v>
      </c>
      <c r="C55" s="15">
        <v>42496</v>
      </c>
      <c r="D55" s="16" t="e">
        <v>#N/A</v>
      </c>
      <c r="E55" s="14">
        <v>190</v>
      </c>
      <c r="F55" s="14">
        <v>14</v>
      </c>
      <c r="G55" s="17" t="e">
        <v>#N/A</v>
      </c>
      <c r="H55" s="1" t="s">
        <v>144</v>
      </c>
      <c r="I55" s="14"/>
    </row>
    <row r="56" spans="1:9" x14ac:dyDescent="0.25">
      <c r="A56" s="14">
        <v>2016</v>
      </c>
      <c r="B56" s="14">
        <v>127</v>
      </c>
      <c r="C56" s="15">
        <v>42496</v>
      </c>
      <c r="D56" s="16">
        <v>0.34722222222222227</v>
      </c>
      <c r="E56" s="14">
        <v>190</v>
      </c>
      <c r="F56" s="14">
        <v>15</v>
      </c>
      <c r="G56" s="17">
        <v>0.33020676529531756</v>
      </c>
      <c r="H56" s="1" t="s">
        <v>1</v>
      </c>
      <c r="I56" s="14"/>
    </row>
    <row r="57" spans="1:9" x14ac:dyDescent="0.25">
      <c r="A57" s="14">
        <v>2016</v>
      </c>
      <c r="B57" s="14">
        <v>127</v>
      </c>
      <c r="C57" s="15">
        <v>42496</v>
      </c>
      <c r="D57" s="16">
        <v>0.34722222222222227</v>
      </c>
      <c r="E57" s="14">
        <v>190</v>
      </c>
      <c r="F57" s="14">
        <v>16</v>
      </c>
      <c r="G57" s="17">
        <v>0.31782734008047531</v>
      </c>
      <c r="H57" s="1" t="s">
        <v>1</v>
      </c>
      <c r="I57" s="14"/>
    </row>
    <row r="58" spans="1:9" x14ac:dyDescent="0.25">
      <c r="A58" s="14">
        <v>2016</v>
      </c>
      <c r="B58" s="14">
        <v>127</v>
      </c>
      <c r="C58" s="15">
        <v>42496</v>
      </c>
      <c r="D58" s="16" t="e">
        <v>#N/A</v>
      </c>
      <c r="E58" s="14">
        <v>190</v>
      </c>
      <c r="F58" s="14">
        <v>17</v>
      </c>
      <c r="G58" s="17" t="e">
        <v>#N/A</v>
      </c>
      <c r="H58" s="1" t="s">
        <v>144</v>
      </c>
      <c r="I58" s="14"/>
    </row>
    <row r="59" spans="1:9" x14ac:dyDescent="0.25">
      <c r="A59" s="14">
        <v>2016</v>
      </c>
      <c r="B59" s="14">
        <v>127</v>
      </c>
      <c r="C59" s="15">
        <v>42496</v>
      </c>
      <c r="D59" s="16" t="e">
        <v>#N/A</v>
      </c>
      <c r="E59" s="14">
        <v>190</v>
      </c>
      <c r="F59" s="14">
        <v>18</v>
      </c>
      <c r="G59" s="17" t="e">
        <v>#N/A</v>
      </c>
      <c r="H59" s="1" t="s">
        <v>144</v>
      </c>
      <c r="I59" s="14"/>
    </row>
    <row r="60" spans="1:9" x14ac:dyDescent="0.25">
      <c r="A60" s="14">
        <v>2016</v>
      </c>
      <c r="B60" s="14">
        <v>127</v>
      </c>
      <c r="C60" s="15">
        <v>42496</v>
      </c>
      <c r="D60" s="16" t="e">
        <v>#N/A</v>
      </c>
      <c r="E60" s="14">
        <v>190</v>
      </c>
      <c r="F60" s="14">
        <v>19</v>
      </c>
      <c r="G60" s="17" t="e">
        <v>#N/A</v>
      </c>
      <c r="H60" s="1" t="s">
        <v>144</v>
      </c>
      <c r="I60" s="14"/>
    </row>
    <row r="61" spans="1:9" x14ac:dyDescent="0.25">
      <c r="A61" s="14">
        <v>2016</v>
      </c>
      <c r="B61" s="14">
        <v>127</v>
      </c>
      <c r="C61" s="15">
        <v>42496</v>
      </c>
      <c r="D61" s="16" t="e">
        <v>#N/A</v>
      </c>
      <c r="E61" s="14">
        <v>190</v>
      </c>
      <c r="F61" s="14">
        <v>20</v>
      </c>
      <c r="G61" s="17" t="e">
        <v>#N/A</v>
      </c>
      <c r="H61" s="1" t="s">
        <v>144</v>
      </c>
      <c r="I61" s="14"/>
    </row>
    <row r="62" spans="1:9" x14ac:dyDescent="0.25">
      <c r="A62" s="14">
        <v>2016</v>
      </c>
      <c r="B62" s="14">
        <v>127</v>
      </c>
      <c r="C62" s="15">
        <v>42496</v>
      </c>
      <c r="D62" s="16" t="e">
        <v>#N/A</v>
      </c>
      <c r="E62" s="14">
        <v>170</v>
      </c>
      <c r="F62" s="14">
        <v>1</v>
      </c>
      <c r="G62" s="17" t="e">
        <v>#N/A</v>
      </c>
      <c r="H62" s="1" t="s">
        <v>143</v>
      </c>
      <c r="I62" s="14"/>
    </row>
    <row r="63" spans="1:9" x14ac:dyDescent="0.25">
      <c r="A63" s="14">
        <v>2016</v>
      </c>
      <c r="B63" s="14">
        <v>127</v>
      </c>
      <c r="C63" s="15">
        <v>42496</v>
      </c>
      <c r="D63" s="16" t="e">
        <v>#N/A</v>
      </c>
      <c r="E63" s="14">
        <v>170</v>
      </c>
      <c r="F63" s="14">
        <v>2</v>
      </c>
      <c r="G63" s="17" t="e">
        <v>#N/A</v>
      </c>
      <c r="H63" s="1" t="s">
        <v>143</v>
      </c>
      <c r="I63" s="14"/>
    </row>
    <row r="64" spans="1:9" x14ac:dyDescent="0.25">
      <c r="A64" s="14">
        <v>2016</v>
      </c>
      <c r="B64" s="14">
        <v>127</v>
      </c>
      <c r="C64" s="15">
        <v>42496</v>
      </c>
      <c r="D64" s="16" t="e">
        <v>#N/A</v>
      </c>
      <c r="E64" s="14">
        <v>170</v>
      </c>
      <c r="F64" s="14">
        <v>3</v>
      </c>
      <c r="G64" s="17" t="e">
        <v>#N/A</v>
      </c>
      <c r="H64" s="1" t="s">
        <v>143</v>
      </c>
      <c r="I64" s="14"/>
    </row>
    <row r="65" spans="1:9" x14ac:dyDescent="0.25">
      <c r="A65" s="14">
        <v>2016</v>
      </c>
      <c r="B65" s="14">
        <v>127</v>
      </c>
      <c r="C65" s="15">
        <v>42496</v>
      </c>
      <c r="D65" s="16" t="e">
        <v>#N/A</v>
      </c>
      <c r="E65" s="14">
        <v>170</v>
      </c>
      <c r="F65" s="14">
        <v>4</v>
      </c>
      <c r="G65" s="17" t="e">
        <v>#N/A</v>
      </c>
      <c r="H65" s="1" t="s">
        <v>143</v>
      </c>
      <c r="I65" s="14"/>
    </row>
    <row r="66" spans="1:9" x14ac:dyDescent="0.25">
      <c r="A66" s="14">
        <v>2016</v>
      </c>
      <c r="B66" s="14">
        <v>127</v>
      </c>
      <c r="C66" s="15">
        <v>42496</v>
      </c>
      <c r="D66" s="16">
        <v>0.36805555555555558</v>
      </c>
      <c r="E66" s="14">
        <v>170</v>
      </c>
      <c r="F66" s="14">
        <v>5</v>
      </c>
      <c r="G66" s="17">
        <v>0.31739912096927009</v>
      </c>
      <c r="H66" s="1" t="s">
        <v>0</v>
      </c>
      <c r="I66" s="14"/>
    </row>
    <row r="67" spans="1:9" x14ac:dyDescent="0.25">
      <c r="A67" s="14">
        <v>2016</v>
      </c>
      <c r="B67" s="14">
        <v>127</v>
      </c>
      <c r="C67" s="15">
        <v>42496</v>
      </c>
      <c r="D67" s="16">
        <v>0.36874999999999997</v>
      </c>
      <c r="E67" s="14">
        <v>170</v>
      </c>
      <c r="F67" s="14">
        <v>6</v>
      </c>
      <c r="G67" s="17">
        <v>0.32631386428436088</v>
      </c>
      <c r="H67" s="1" t="s">
        <v>0</v>
      </c>
      <c r="I67" s="14"/>
    </row>
    <row r="68" spans="1:9" x14ac:dyDescent="0.25">
      <c r="A68" s="14">
        <v>2016</v>
      </c>
      <c r="B68" s="14">
        <v>127</v>
      </c>
      <c r="C68" s="15">
        <v>42496</v>
      </c>
      <c r="D68" s="16" t="e">
        <v>#N/A</v>
      </c>
      <c r="E68" s="14">
        <v>170</v>
      </c>
      <c r="F68" s="14">
        <v>7</v>
      </c>
      <c r="G68" s="17" t="e">
        <v>#N/A</v>
      </c>
      <c r="H68" s="1" t="s">
        <v>143</v>
      </c>
      <c r="I68" s="14"/>
    </row>
    <row r="69" spans="1:9" x14ac:dyDescent="0.25">
      <c r="A69" s="14">
        <v>2016</v>
      </c>
      <c r="B69" s="14">
        <v>127</v>
      </c>
      <c r="C69" s="15">
        <v>42496</v>
      </c>
      <c r="D69" s="16" t="e">
        <v>#N/A</v>
      </c>
      <c r="E69" s="14">
        <v>170</v>
      </c>
      <c r="F69" s="14">
        <v>8</v>
      </c>
      <c r="G69" s="17" t="e">
        <v>#N/A</v>
      </c>
      <c r="H69" s="1" t="s">
        <v>143</v>
      </c>
      <c r="I69" s="14"/>
    </row>
    <row r="70" spans="1:9" x14ac:dyDescent="0.25">
      <c r="A70" s="14">
        <v>2016</v>
      </c>
      <c r="B70" s="14">
        <v>127</v>
      </c>
      <c r="C70" s="15">
        <v>42496</v>
      </c>
      <c r="D70" s="16" t="e">
        <v>#N/A</v>
      </c>
      <c r="E70" s="14">
        <v>170</v>
      </c>
      <c r="F70" s="14">
        <v>9</v>
      </c>
      <c r="G70" s="17" t="e">
        <v>#N/A</v>
      </c>
      <c r="H70" s="1" t="s">
        <v>143</v>
      </c>
      <c r="I70" s="14"/>
    </row>
    <row r="71" spans="1:9" x14ac:dyDescent="0.25">
      <c r="A71" s="14">
        <v>2016</v>
      </c>
      <c r="B71" s="14">
        <v>127</v>
      </c>
      <c r="C71" s="15">
        <v>42496</v>
      </c>
      <c r="D71" s="16" t="e">
        <v>#N/A</v>
      </c>
      <c r="E71" s="14">
        <v>170</v>
      </c>
      <c r="F71" s="14">
        <v>10</v>
      </c>
      <c r="G71" s="17" t="e">
        <v>#N/A</v>
      </c>
      <c r="H71" s="1" t="s">
        <v>143</v>
      </c>
      <c r="I71" s="14"/>
    </row>
    <row r="72" spans="1:9" x14ac:dyDescent="0.25">
      <c r="A72" s="14">
        <v>2016</v>
      </c>
      <c r="B72" s="14">
        <v>127</v>
      </c>
      <c r="C72" s="15">
        <v>42496</v>
      </c>
      <c r="D72" s="16" t="e">
        <v>#N/A</v>
      </c>
      <c r="E72" s="14">
        <v>170</v>
      </c>
      <c r="F72" s="14">
        <v>11</v>
      </c>
      <c r="G72" s="17" t="e">
        <v>#N/A</v>
      </c>
      <c r="H72" s="1" t="s">
        <v>144</v>
      </c>
      <c r="I72" s="14"/>
    </row>
    <row r="73" spans="1:9" x14ac:dyDescent="0.25">
      <c r="A73" s="14">
        <v>2016</v>
      </c>
      <c r="B73" s="14">
        <v>127</v>
      </c>
      <c r="C73" s="15">
        <v>42496</v>
      </c>
      <c r="D73" s="16" t="e">
        <v>#N/A</v>
      </c>
      <c r="E73" s="14">
        <v>170</v>
      </c>
      <c r="F73" s="14">
        <v>12</v>
      </c>
      <c r="G73" s="17" t="e">
        <v>#N/A</v>
      </c>
      <c r="H73" s="1" t="s">
        <v>144</v>
      </c>
      <c r="I73" s="14"/>
    </row>
    <row r="74" spans="1:9" x14ac:dyDescent="0.25">
      <c r="A74" s="14">
        <v>2016</v>
      </c>
      <c r="B74" s="14">
        <v>127</v>
      </c>
      <c r="C74" s="15">
        <v>42496</v>
      </c>
      <c r="D74" s="16" t="e">
        <v>#N/A</v>
      </c>
      <c r="E74" s="14">
        <v>170</v>
      </c>
      <c r="F74" s="14">
        <v>13</v>
      </c>
      <c r="G74" s="17" t="e">
        <v>#N/A</v>
      </c>
      <c r="H74" s="1" t="s">
        <v>144</v>
      </c>
      <c r="I74" s="14"/>
    </row>
    <row r="75" spans="1:9" x14ac:dyDescent="0.25">
      <c r="A75" s="14">
        <v>2016</v>
      </c>
      <c r="B75" s="14">
        <v>127</v>
      </c>
      <c r="C75" s="15">
        <v>42496</v>
      </c>
      <c r="D75" s="16" t="e">
        <v>#N/A</v>
      </c>
      <c r="E75" s="14">
        <v>170</v>
      </c>
      <c r="F75" s="14">
        <v>14</v>
      </c>
      <c r="G75" s="17" t="e">
        <v>#N/A</v>
      </c>
      <c r="H75" s="1" t="s">
        <v>144</v>
      </c>
      <c r="I75" s="14"/>
    </row>
    <row r="76" spans="1:9" x14ac:dyDescent="0.25">
      <c r="A76" s="14">
        <v>2016</v>
      </c>
      <c r="B76" s="14">
        <v>127</v>
      </c>
      <c r="C76" s="15">
        <v>42496</v>
      </c>
      <c r="D76" s="16">
        <v>0.34722222222222227</v>
      </c>
      <c r="E76" s="14">
        <v>170</v>
      </c>
      <c r="F76" s="14">
        <v>15</v>
      </c>
      <c r="G76" s="17">
        <v>0.32479563289008778</v>
      </c>
      <c r="H76" s="1" t="s">
        <v>1</v>
      </c>
      <c r="I76" s="14"/>
    </row>
    <row r="77" spans="1:9" x14ac:dyDescent="0.25">
      <c r="A77" s="14">
        <v>2016</v>
      </c>
      <c r="B77" s="14">
        <v>127</v>
      </c>
      <c r="C77" s="15">
        <v>42496</v>
      </c>
      <c r="D77" s="16">
        <v>0.34722222222222227</v>
      </c>
      <c r="E77" s="14">
        <v>170</v>
      </c>
      <c r="F77" s="14">
        <v>16</v>
      </c>
      <c r="G77" s="17">
        <v>0.3171266178985031</v>
      </c>
      <c r="H77" s="1" t="s">
        <v>1</v>
      </c>
      <c r="I77" s="14"/>
    </row>
    <row r="78" spans="1:9" x14ac:dyDescent="0.25">
      <c r="A78" s="14">
        <v>2016</v>
      </c>
      <c r="B78" s="14">
        <v>127</v>
      </c>
      <c r="C78" s="15">
        <v>42496</v>
      </c>
      <c r="D78" s="16" t="e">
        <v>#N/A</v>
      </c>
      <c r="E78" s="14">
        <v>170</v>
      </c>
      <c r="F78" s="14">
        <v>17</v>
      </c>
      <c r="G78" s="17" t="e">
        <v>#N/A</v>
      </c>
      <c r="H78" s="1" t="s">
        <v>144</v>
      </c>
      <c r="I78" s="14"/>
    </row>
    <row r="79" spans="1:9" x14ac:dyDescent="0.25">
      <c r="A79" s="14">
        <v>2016</v>
      </c>
      <c r="B79" s="14">
        <v>127</v>
      </c>
      <c r="C79" s="15">
        <v>42496</v>
      </c>
      <c r="D79" s="16" t="e">
        <v>#N/A</v>
      </c>
      <c r="E79" s="14">
        <v>170</v>
      </c>
      <c r="F79" s="14">
        <v>18</v>
      </c>
      <c r="G79" s="17" t="e">
        <v>#N/A</v>
      </c>
      <c r="H79" s="1" t="s">
        <v>144</v>
      </c>
      <c r="I79" s="14"/>
    </row>
    <row r="80" spans="1:9" x14ac:dyDescent="0.25">
      <c r="A80" s="14">
        <v>2016</v>
      </c>
      <c r="B80" s="14">
        <v>127</v>
      </c>
      <c r="C80" s="15">
        <v>42496</v>
      </c>
      <c r="D80" s="16" t="e">
        <v>#N/A</v>
      </c>
      <c r="E80" s="14">
        <v>170</v>
      </c>
      <c r="F80" s="14">
        <v>19</v>
      </c>
      <c r="G80" s="17" t="e">
        <v>#N/A</v>
      </c>
      <c r="H80" s="1" t="s">
        <v>144</v>
      </c>
      <c r="I80" s="14"/>
    </row>
    <row r="81" spans="1:9" x14ac:dyDescent="0.25">
      <c r="A81" s="14">
        <v>2016</v>
      </c>
      <c r="B81" s="14">
        <v>127</v>
      </c>
      <c r="C81" s="15">
        <v>42496</v>
      </c>
      <c r="D81" s="16" t="e">
        <v>#N/A</v>
      </c>
      <c r="E81" s="14">
        <v>170</v>
      </c>
      <c r="F81" s="14">
        <v>20</v>
      </c>
      <c r="G81" s="17" t="e">
        <v>#N/A</v>
      </c>
      <c r="H81" s="1" t="s">
        <v>144</v>
      </c>
      <c r="I81" s="14"/>
    </row>
    <row r="82" spans="1:9" x14ac:dyDescent="0.25">
      <c r="A82" s="14">
        <v>2016</v>
      </c>
      <c r="B82" s="14">
        <v>127</v>
      </c>
      <c r="C82" s="15">
        <v>42496</v>
      </c>
      <c r="D82" s="16" t="e">
        <v>#N/A</v>
      </c>
      <c r="E82" s="14">
        <v>150</v>
      </c>
      <c r="F82" s="14">
        <v>1</v>
      </c>
      <c r="G82" s="17" t="e">
        <v>#N/A</v>
      </c>
      <c r="H82" s="1" t="s">
        <v>143</v>
      </c>
      <c r="I82" s="14"/>
    </row>
    <row r="83" spans="1:9" x14ac:dyDescent="0.25">
      <c r="A83" s="14">
        <v>2016</v>
      </c>
      <c r="B83" s="14">
        <v>127</v>
      </c>
      <c r="C83" s="15">
        <v>42496</v>
      </c>
      <c r="D83" s="16" t="e">
        <v>#N/A</v>
      </c>
      <c r="E83" s="14">
        <v>150</v>
      </c>
      <c r="F83" s="14">
        <v>2</v>
      </c>
      <c r="G83" s="17" t="e">
        <v>#N/A</v>
      </c>
      <c r="H83" s="1" t="s">
        <v>143</v>
      </c>
      <c r="I83" s="14"/>
    </row>
    <row r="84" spans="1:9" x14ac:dyDescent="0.25">
      <c r="A84" s="14">
        <v>2016</v>
      </c>
      <c r="B84" s="14">
        <v>127</v>
      </c>
      <c r="C84" s="15">
        <v>42496</v>
      </c>
      <c r="D84" s="16" t="e">
        <v>#N/A</v>
      </c>
      <c r="E84" s="14">
        <v>150</v>
      </c>
      <c r="F84" s="14">
        <v>3</v>
      </c>
      <c r="G84" s="17" t="e">
        <v>#N/A</v>
      </c>
      <c r="H84" s="1" t="s">
        <v>143</v>
      </c>
      <c r="I84" s="14"/>
    </row>
    <row r="85" spans="1:9" x14ac:dyDescent="0.25">
      <c r="A85" s="14">
        <v>2016</v>
      </c>
      <c r="B85" s="14">
        <v>127</v>
      </c>
      <c r="C85" s="15">
        <v>42496</v>
      </c>
      <c r="D85" s="16" t="e">
        <v>#N/A</v>
      </c>
      <c r="E85" s="14">
        <v>150</v>
      </c>
      <c r="F85" s="14">
        <v>4</v>
      </c>
      <c r="G85" s="17" t="e">
        <v>#N/A</v>
      </c>
      <c r="H85" s="1" t="s">
        <v>143</v>
      </c>
      <c r="I85" s="14"/>
    </row>
    <row r="86" spans="1:9" x14ac:dyDescent="0.25">
      <c r="A86" s="14">
        <v>2016</v>
      </c>
      <c r="B86" s="14">
        <v>127</v>
      </c>
      <c r="C86" s="15">
        <v>42496</v>
      </c>
      <c r="D86" s="16">
        <v>0.36805555555555558</v>
      </c>
      <c r="E86" s="14">
        <v>150</v>
      </c>
      <c r="F86" s="14">
        <v>5</v>
      </c>
      <c r="G86" s="17">
        <v>0.35531597681598814</v>
      </c>
      <c r="H86" s="1" t="s">
        <v>0</v>
      </c>
      <c r="I86" s="14"/>
    </row>
    <row r="87" spans="1:9" x14ac:dyDescent="0.25">
      <c r="A87" s="14">
        <v>2016</v>
      </c>
      <c r="B87" s="14">
        <v>127</v>
      </c>
      <c r="C87" s="15">
        <v>42496</v>
      </c>
      <c r="D87" s="16">
        <v>0.36874999999999997</v>
      </c>
      <c r="E87" s="14">
        <v>150</v>
      </c>
      <c r="F87" s="14">
        <v>6</v>
      </c>
      <c r="G87" s="17">
        <v>0.34067866901479105</v>
      </c>
      <c r="H87" s="1" t="s">
        <v>0</v>
      </c>
      <c r="I87" s="14"/>
    </row>
    <row r="88" spans="1:9" x14ac:dyDescent="0.25">
      <c r="A88" s="14">
        <v>2016</v>
      </c>
      <c r="B88" s="14">
        <v>127</v>
      </c>
      <c r="C88" s="15">
        <v>42496</v>
      </c>
      <c r="D88" s="16" t="e">
        <v>#N/A</v>
      </c>
      <c r="E88" s="14">
        <v>150</v>
      </c>
      <c r="F88" s="14">
        <v>7</v>
      </c>
      <c r="G88" s="17" t="e">
        <v>#N/A</v>
      </c>
      <c r="H88" s="1" t="s">
        <v>143</v>
      </c>
      <c r="I88" s="14"/>
    </row>
    <row r="89" spans="1:9" x14ac:dyDescent="0.25">
      <c r="A89" s="14">
        <v>2016</v>
      </c>
      <c r="B89" s="14">
        <v>127</v>
      </c>
      <c r="C89" s="15">
        <v>42496</v>
      </c>
      <c r="D89" s="16" t="e">
        <v>#N/A</v>
      </c>
      <c r="E89" s="14">
        <v>150</v>
      </c>
      <c r="F89" s="14">
        <v>8</v>
      </c>
      <c r="G89" s="17" t="e">
        <v>#N/A</v>
      </c>
      <c r="H89" s="1" t="s">
        <v>143</v>
      </c>
      <c r="I89" s="14"/>
    </row>
    <row r="90" spans="1:9" x14ac:dyDescent="0.25">
      <c r="A90" s="14">
        <v>2016</v>
      </c>
      <c r="B90" s="14">
        <v>127</v>
      </c>
      <c r="C90" s="15">
        <v>42496</v>
      </c>
      <c r="D90" s="16" t="e">
        <v>#N/A</v>
      </c>
      <c r="E90" s="14">
        <v>150</v>
      </c>
      <c r="F90" s="14">
        <v>9</v>
      </c>
      <c r="G90" s="17" t="e">
        <v>#N/A</v>
      </c>
      <c r="H90" s="1" t="s">
        <v>143</v>
      </c>
      <c r="I90" s="14"/>
    </row>
    <row r="91" spans="1:9" x14ac:dyDescent="0.25">
      <c r="A91" s="14">
        <v>2016</v>
      </c>
      <c r="B91" s="14">
        <v>127</v>
      </c>
      <c r="C91" s="15">
        <v>42496</v>
      </c>
      <c r="D91" s="16" t="e">
        <v>#N/A</v>
      </c>
      <c r="E91" s="14">
        <v>150</v>
      </c>
      <c r="F91" s="14">
        <v>10</v>
      </c>
      <c r="G91" s="17" t="e">
        <v>#N/A</v>
      </c>
      <c r="H91" s="1" t="s">
        <v>143</v>
      </c>
      <c r="I91" s="14"/>
    </row>
    <row r="92" spans="1:9" x14ac:dyDescent="0.25">
      <c r="A92" s="14">
        <v>2016</v>
      </c>
      <c r="B92" s="14">
        <v>127</v>
      </c>
      <c r="C92" s="15">
        <v>42496</v>
      </c>
      <c r="D92" s="16" t="e">
        <v>#N/A</v>
      </c>
      <c r="E92" s="14">
        <v>150</v>
      </c>
      <c r="F92" s="14">
        <v>11</v>
      </c>
      <c r="G92" s="17" t="e">
        <v>#N/A</v>
      </c>
      <c r="H92" s="1" t="s">
        <v>144</v>
      </c>
      <c r="I92" s="14"/>
    </row>
    <row r="93" spans="1:9" x14ac:dyDescent="0.25">
      <c r="A93" s="14">
        <v>2016</v>
      </c>
      <c r="B93" s="14">
        <v>127</v>
      </c>
      <c r="C93" s="15">
        <v>42496</v>
      </c>
      <c r="D93" s="16" t="e">
        <v>#N/A</v>
      </c>
      <c r="E93" s="14">
        <v>150</v>
      </c>
      <c r="F93" s="14">
        <v>12</v>
      </c>
      <c r="G93" s="17" t="e">
        <v>#N/A</v>
      </c>
      <c r="H93" s="1" t="s">
        <v>144</v>
      </c>
      <c r="I93" s="14"/>
    </row>
    <row r="94" spans="1:9" x14ac:dyDescent="0.25">
      <c r="A94" s="14">
        <v>2016</v>
      </c>
      <c r="B94" s="14">
        <v>127</v>
      </c>
      <c r="C94" s="15">
        <v>42496</v>
      </c>
      <c r="D94" s="16" t="e">
        <v>#N/A</v>
      </c>
      <c r="E94" s="14">
        <v>150</v>
      </c>
      <c r="F94" s="14">
        <v>13</v>
      </c>
      <c r="G94" s="17" t="e">
        <v>#N/A</v>
      </c>
      <c r="H94" s="1" t="s">
        <v>144</v>
      </c>
      <c r="I94" s="14"/>
    </row>
    <row r="95" spans="1:9" x14ac:dyDescent="0.25">
      <c r="A95" s="14">
        <v>2016</v>
      </c>
      <c r="B95" s="14">
        <v>127</v>
      </c>
      <c r="C95" s="15">
        <v>42496</v>
      </c>
      <c r="D95" s="16" t="e">
        <v>#N/A</v>
      </c>
      <c r="E95" s="14">
        <v>150</v>
      </c>
      <c r="F95" s="14">
        <v>14</v>
      </c>
      <c r="G95" s="17" t="e">
        <v>#N/A</v>
      </c>
      <c r="H95" s="1" t="s">
        <v>144</v>
      </c>
      <c r="I95" s="14"/>
    </row>
    <row r="96" spans="1:9" x14ac:dyDescent="0.25">
      <c r="A96" s="14">
        <v>2016</v>
      </c>
      <c r="B96" s="14">
        <v>127</v>
      </c>
      <c r="C96" s="15">
        <v>42496</v>
      </c>
      <c r="D96" s="16">
        <v>0.34722222222222227</v>
      </c>
      <c r="E96" s="14">
        <v>150</v>
      </c>
      <c r="F96" s="14">
        <v>15</v>
      </c>
      <c r="G96" s="17">
        <v>0.33647433592295778</v>
      </c>
      <c r="H96" s="1" t="s">
        <v>1</v>
      </c>
      <c r="I96" s="14"/>
    </row>
    <row r="97" spans="1:9" x14ac:dyDescent="0.25">
      <c r="A97" s="14">
        <v>2016</v>
      </c>
      <c r="B97" s="14">
        <v>127</v>
      </c>
      <c r="C97" s="15">
        <v>42496</v>
      </c>
      <c r="D97" s="16">
        <v>0.34722222222222227</v>
      </c>
      <c r="E97" s="14">
        <v>150</v>
      </c>
      <c r="F97" s="14">
        <v>16</v>
      </c>
      <c r="G97" s="17">
        <v>0.31685411482773612</v>
      </c>
      <c r="H97" s="1" t="s">
        <v>1</v>
      </c>
      <c r="I97" s="14"/>
    </row>
    <row r="98" spans="1:9" x14ac:dyDescent="0.25">
      <c r="A98" s="14">
        <v>2016</v>
      </c>
      <c r="B98" s="14">
        <v>127</v>
      </c>
      <c r="C98" s="15">
        <v>42496</v>
      </c>
      <c r="D98" s="16" t="e">
        <v>#N/A</v>
      </c>
      <c r="E98" s="14">
        <v>150</v>
      </c>
      <c r="F98" s="14">
        <v>17</v>
      </c>
      <c r="G98" s="17" t="e">
        <v>#N/A</v>
      </c>
      <c r="H98" s="1" t="s">
        <v>144</v>
      </c>
      <c r="I98" s="14"/>
    </row>
    <row r="99" spans="1:9" x14ac:dyDescent="0.25">
      <c r="A99" s="14">
        <v>2016</v>
      </c>
      <c r="B99" s="14">
        <v>127</v>
      </c>
      <c r="C99" s="15">
        <v>42496</v>
      </c>
      <c r="D99" s="16" t="e">
        <v>#N/A</v>
      </c>
      <c r="E99" s="14">
        <v>150</v>
      </c>
      <c r="F99" s="14">
        <v>18</v>
      </c>
      <c r="G99" s="17" t="e">
        <v>#N/A</v>
      </c>
      <c r="H99" s="1" t="s">
        <v>144</v>
      </c>
      <c r="I99" s="14"/>
    </row>
    <row r="100" spans="1:9" x14ac:dyDescent="0.25">
      <c r="A100" s="14">
        <v>2016</v>
      </c>
      <c r="B100" s="14">
        <v>127</v>
      </c>
      <c r="C100" s="15">
        <v>42496</v>
      </c>
      <c r="D100" s="16" t="e">
        <v>#N/A</v>
      </c>
      <c r="E100" s="14">
        <v>150</v>
      </c>
      <c r="F100" s="14">
        <v>19</v>
      </c>
      <c r="G100" s="17" t="e">
        <v>#N/A</v>
      </c>
      <c r="H100" s="1" t="s">
        <v>144</v>
      </c>
      <c r="I100" s="14"/>
    </row>
    <row r="101" spans="1:9" x14ac:dyDescent="0.25">
      <c r="A101" s="14">
        <v>2016</v>
      </c>
      <c r="B101" s="14">
        <v>127</v>
      </c>
      <c r="C101" s="15">
        <v>42496</v>
      </c>
      <c r="D101" s="16" t="e">
        <v>#N/A</v>
      </c>
      <c r="E101" s="14">
        <v>150</v>
      </c>
      <c r="F101" s="14">
        <v>20</v>
      </c>
      <c r="G101" s="17" t="e">
        <v>#N/A</v>
      </c>
      <c r="H101" s="1" t="s">
        <v>144</v>
      </c>
      <c r="I101" s="14"/>
    </row>
    <row r="102" spans="1:9" x14ac:dyDescent="0.25">
      <c r="A102" s="14">
        <v>2016</v>
      </c>
      <c r="B102" s="14">
        <v>127</v>
      </c>
      <c r="C102" s="15">
        <v>42496</v>
      </c>
      <c r="D102" s="16" t="e">
        <v>#N/A</v>
      </c>
      <c r="E102" s="14">
        <v>130</v>
      </c>
      <c r="F102" s="14">
        <v>1</v>
      </c>
      <c r="G102" s="17" t="e">
        <v>#N/A</v>
      </c>
      <c r="H102" s="1" t="s">
        <v>143</v>
      </c>
      <c r="I102" s="14"/>
    </row>
    <row r="103" spans="1:9" x14ac:dyDescent="0.25">
      <c r="A103" s="14">
        <v>2016</v>
      </c>
      <c r="B103" s="14">
        <v>127</v>
      </c>
      <c r="C103" s="15">
        <v>42496</v>
      </c>
      <c r="D103" s="16" t="e">
        <v>#N/A</v>
      </c>
      <c r="E103" s="14">
        <v>130</v>
      </c>
      <c r="F103" s="14">
        <v>2</v>
      </c>
      <c r="G103" s="17" t="e">
        <v>#N/A</v>
      </c>
      <c r="H103" s="1" t="s">
        <v>143</v>
      </c>
      <c r="I103" s="14"/>
    </row>
    <row r="104" spans="1:9" x14ac:dyDescent="0.25">
      <c r="A104" s="14">
        <v>2016</v>
      </c>
      <c r="B104" s="14">
        <v>127</v>
      </c>
      <c r="C104" s="15">
        <v>42496</v>
      </c>
      <c r="D104" s="16" t="e">
        <v>#N/A</v>
      </c>
      <c r="E104" s="14">
        <v>130</v>
      </c>
      <c r="F104" s="14">
        <v>3</v>
      </c>
      <c r="G104" s="17" t="e">
        <v>#N/A</v>
      </c>
      <c r="H104" s="1" t="s">
        <v>143</v>
      </c>
      <c r="I104" s="14"/>
    </row>
    <row r="105" spans="1:9" x14ac:dyDescent="0.25">
      <c r="A105" s="14">
        <v>2016</v>
      </c>
      <c r="B105" s="14">
        <v>127</v>
      </c>
      <c r="C105" s="15">
        <v>42496</v>
      </c>
      <c r="D105" s="16" t="e">
        <v>#N/A</v>
      </c>
      <c r="E105" s="14">
        <v>130</v>
      </c>
      <c r="F105" s="14">
        <v>4</v>
      </c>
      <c r="G105" s="17" t="e">
        <v>#N/A</v>
      </c>
      <c r="H105" s="1" t="s">
        <v>143</v>
      </c>
      <c r="I105" s="14"/>
    </row>
    <row r="106" spans="1:9" x14ac:dyDescent="0.25">
      <c r="A106" s="14">
        <v>2016</v>
      </c>
      <c r="B106" s="14">
        <v>127</v>
      </c>
      <c r="C106" s="15">
        <v>42496</v>
      </c>
      <c r="D106" s="16">
        <v>0.36805555555555558</v>
      </c>
      <c r="E106" s="14">
        <v>130</v>
      </c>
      <c r="F106" s="14">
        <v>5</v>
      </c>
      <c r="G106" s="17">
        <v>0.30716079131045404</v>
      </c>
      <c r="H106" s="1" t="s">
        <v>0</v>
      </c>
      <c r="I106" s="14"/>
    </row>
    <row r="107" spans="1:9" x14ac:dyDescent="0.25">
      <c r="A107" s="14">
        <v>2016</v>
      </c>
      <c r="B107" s="14">
        <v>127</v>
      </c>
      <c r="C107" s="15">
        <v>42496</v>
      </c>
      <c r="D107" s="16">
        <v>0.36874999999999997</v>
      </c>
      <c r="E107" s="14">
        <v>130</v>
      </c>
      <c r="F107" s="14">
        <v>6</v>
      </c>
      <c r="G107" s="17">
        <v>0.30500023124937309</v>
      </c>
      <c r="H107" s="1" t="s">
        <v>0</v>
      </c>
      <c r="I107" s="14"/>
    </row>
    <row r="108" spans="1:9" x14ac:dyDescent="0.25">
      <c r="A108" s="14">
        <v>2016</v>
      </c>
      <c r="B108" s="14">
        <v>127</v>
      </c>
      <c r="C108" s="15">
        <v>42496</v>
      </c>
      <c r="D108" s="16" t="e">
        <v>#N/A</v>
      </c>
      <c r="E108" s="14">
        <v>130</v>
      </c>
      <c r="F108" s="14">
        <v>7</v>
      </c>
      <c r="G108" s="17" t="e">
        <v>#N/A</v>
      </c>
      <c r="H108" s="1" t="s">
        <v>143</v>
      </c>
      <c r="I108" s="14"/>
    </row>
    <row r="109" spans="1:9" x14ac:dyDescent="0.25">
      <c r="A109" s="14">
        <v>2016</v>
      </c>
      <c r="B109" s="14">
        <v>127</v>
      </c>
      <c r="C109" s="15">
        <v>42496</v>
      </c>
      <c r="D109" s="16" t="e">
        <v>#N/A</v>
      </c>
      <c r="E109" s="14">
        <v>130</v>
      </c>
      <c r="F109" s="14">
        <v>8</v>
      </c>
      <c r="G109" s="17" t="e">
        <v>#N/A</v>
      </c>
      <c r="H109" s="1" t="s">
        <v>143</v>
      </c>
      <c r="I109" s="14"/>
    </row>
    <row r="110" spans="1:9" x14ac:dyDescent="0.25">
      <c r="A110" s="14">
        <v>2016</v>
      </c>
      <c r="B110" s="14">
        <v>127</v>
      </c>
      <c r="C110" s="15">
        <v>42496</v>
      </c>
      <c r="D110" s="16" t="e">
        <v>#N/A</v>
      </c>
      <c r="E110" s="14">
        <v>130</v>
      </c>
      <c r="F110" s="14">
        <v>9</v>
      </c>
      <c r="G110" s="17" t="e">
        <v>#N/A</v>
      </c>
      <c r="H110" s="1" t="s">
        <v>143</v>
      </c>
      <c r="I110" s="14"/>
    </row>
    <row r="111" spans="1:9" x14ac:dyDescent="0.25">
      <c r="A111" s="14">
        <v>2016</v>
      </c>
      <c r="B111" s="14">
        <v>127</v>
      </c>
      <c r="C111" s="15">
        <v>42496</v>
      </c>
      <c r="D111" s="16" t="e">
        <v>#N/A</v>
      </c>
      <c r="E111" s="14">
        <v>130</v>
      </c>
      <c r="F111" s="14">
        <v>10</v>
      </c>
      <c r="G111" s="17" t="e">
        <v>#N/A</v>
      </c>
      <c r="H111" s="1" t="s">
        <v>143</v>
      </c>
      <c r="I111" s="14"/>
    </row>
    <row r="112" spans="1:9" x14ac:dyDescent="0.25">
      <c r="A112" s="14">
        <v>2016</v>
      </c>
      <c r="B112" s="14">
        <v>127</v>
      </c>
      <c r="C112" s="15">
        <v>42496</v>
      </c>
      <c r="D112" s="16" t="e">
        <v>#N/A</v>
      </c>
      <c r="E112" s="14">
        <v>130</v>
      </c>
      <c r="F112" s="14">
        <v>11</v>
      </c>
      <c r="G112" s="17" t="e">
        <v>#N/A</v>
      </c>
      <c r="H112" s="1" t="s">
        <v>144</v>
      </c>
      <c r="I112" s="14"/>
    </row>
    <row r="113" spans="1:9" x14ac:dyDescent="0.25">
      <c r="A113" s="14">
        <v>2016</v>
      </c>
      <c r="B113" s="14">
        <v>127</v>
      </c>
      <c r="C113" s="15">
        <v>42496</v>
      </c>
      <c r="D113" s="16" t="e">
        <v>#N/A</v>
      </c>
      <c r="E113" s="14">
        <v>130</v>
      </c>
      <c r="F113" s="14">
        <v>12</v>
      </c>
      <c r="G113" s="17" t="e">
        <v>#N/A</v>
      </c>
      <c r="H113" s="1" t="s">
        <v>144</v>
      </c>
      <c r="I113" s="14"/>
    </row>
    <row r="114" spans="1:9" x14ac:dyDescent="0.25">
      <c r="A114" s="14">
        <v>2016</v>
      </c>
      <c r="B114" s="14">
        <v>127</v>
      </c>
      <c r="C114" s="15">
        <v>42496</v>
      </c>
      <c r="D114" s="16" t="e">
        <v>#N/A</v>
      </c>
      <c r="E114" s="14">
        <v>130</v>
      </c>
      <c r="F114" s="14">
        <v>13</v>
      </c>
      <c r="G114" s="17" t="e">
        <v>#N/A</v>
      </c>
      <c r="H114" s="1" t="s">
        <v>144</v>
      </c>
      <c r="I114" s="14"/>
    </row>
    <row r="115" spans="1:9" x14ac:dyDescent="0.25">
      <c r="A115" s="14">
        <v>2016</v>
      </c>
      <c r="B115" s="14">
        <v>127</v>
      </c>
      <c r="C115" s="15">
        <v>42496</v>
      </c>
      <c r="D115" s="16" t="e">
        <v>#N/A</v>
      </c>
      <c r="E115" s="14">
        <v>130</v>
      </c>
      <c r="F115" s="14">
        <v>14</v>
      </c>
      <c r="G115" s="17" t="e">
        <v>#N/A</v>
      </c>
      <c r="H115" s="1" t="s">
        <v>144</v>
      </c>
      <c r="I115" s="14"/>
    </row>
    <row r="116" spans="1:9" x14ac:dyDescent="0.25">
      <c r="A116" s="14">
        <v>2016</v>
      </c>
      <c r="B116" s="14">
        <v>127</v>
      </c>
      <c r="C116" s="15">
        <v>42496</v>
      </c>
      <c r="D116" s="16">
        <v>0.34722222222222227</v>
      </c>
      <c r="E116" s="14">
        <v>130</v>
      </c>
      <c r="F116" s="14">
        <v>15</v>
      </c>
      <c r="G116" s="17">
        <v>0.2967667456111997</v>
      </c>
      <c r="H116" s="1" t="s">
        <v>1</v>
      </c>
      <c r="I116" s="14"/>
    </row>
    <row r="117" spans="1:9" x14ac:dyDescent="0.25">
      <c r="A117" s="14">
        <v>2016</v>
      </c>
      <c r="B117" s="14">
        <v>127</v>
      </c>
      <c r="C117" s="15">
        <v>42496</v>
      </c>
      <c r="D117" s="16">
        <v>0.34722222222222227</v>
      </c>
      <c r="E117" s="14">
        <v>130</v>
      </c>
      <c r="F117" s="14">
        <v>16</v>
      </c>
      <c r="G117" s="17">
        <v>0.29046024597344988</v>
      </c>
      <c r="H117" s="1" t="s">
        <v>1</v>
      </c>
      <c r="I117" s="14"/>
    </row>
    <row r="118" spans="1:9" x14ac:dyDescent="0.25">
      <c r="A118" s="14">
        <v>2016</v>
      </c>
      <c r="B118" s="14">
        <v>127</v>
      </c>
      <c r="C118" s="15">
        <v>42496</v>
      </c>
      <c r="D118" s="16" t="e">
        <v>#N/A</v>
      </c>
      <c r="E118" s="14">
        <v>130</v>
      </c>
      <c r="F118" s="14">
        <v>17</v>
      </c>
      <c r="G118" s="17" t="e">
        <v>#N/A</v>
      </c>
      <c r="H118" s="1" t="s">
        <v>144</v>
      </c>
      <c r="I118" s="14"/>
    </row>
    <row r="119" spans="1:9" x14ac:dyDescent="0.25">
      <c r="A119" s="14">
        <v>2016</v>
      </c>
      <c r="B119" s="14">
        <v>127</v>
      </c>
      <c r="C119" s="15">
        <v>42496</v>
      </c>
      <c r="D119" s="16" t="e">
        <v>#N/A</v>
      </c>
      <c r="E119" s="14">
        <v>130</v>
      </c>
      <c r="F119" s="14">
        <v>18</v>
      </c>
      <c r="G119" s="17" t="e">
        <v>#N/A</v>
      </c>
      <c r="H119" s="1" t="s">
        <v>144</v>
      </c>
      <c r="I119" s="14"/>
    </row>
    <row r="120" spans="1:9" x14ac:dyDescent="0.25">
      <c r="A120" s="14">
        <v>2016</v>
      </c>
      <c r="B120" s="14">
        <v>127</v>
      </c>
      <c r="C120" s="15">
        <v>42496</v>
      </c>
      <c r="D120" s="16" t="e">
        <v>#N/A</v>
      </c>
      <c r="E120" s="14">
        <v>130</v>
      </c>
      <c r="F120" s="14">
        <v>19</v>
      </c>
      <c r="G120" s="17" t="e">
        <v>#N/A</v>
      </c>
      <c r="H120" s="1" t="s">
        <v>144</v>
      </c>
      <c r="I120" s="14"/>
    </row>
    <row r="121" spans="1:9" x14ac:dyDescent="0.25">
      <c r="A121" s="14">
        <v>2016</v>
      </c>
      <c r="B121" s="14">
        <v>127</v>
      </c>
      <c r="C121" s="15">
        <v>42496</v>
      </c>
      <c r="D121" s="16" t="e">
        <v>#N/A</v>
      </c>
      <c r="E121" s="14">
        <v>130</v>
      </c>
      <c r="F121" s="14">
        <v>20</v>
      </c>
      <c r="G121" s="17" t="e">
        <v>#N/A</v>
      </c>
      <c r="H121" s="1" t="s">
        <v>144</v>
      </c>
      <c r="I121" s="14"/>
    </row>
    <row r="122" spans="1:9" x14ac:dyDescent="0.25">
      <c r="A122" s="14">
        <v>2016</v>
      </c>
      <c r="B122" s="14">
        <v>127</v>
      </c>
      <c r="C122" s="15">
        <v>42496</v>
      </c>
      <c r="D122" s="16" t="e">
        <v>#N/A</v>
      </c>
      <c r="E122" s="14">
        <v>110</v>
      </c>
      <c r="F122" s="14">
        <v>1</v>
      </c>
      <c r="G122" s="17" t="e">
        <v>#N/A</v>
      </c>
      <c r="H122" s="1" t="s">
        <v>143</v>
      </c>
      <c r="I122" s="14"/>
    </row>
    <row r="123" spans="1:9" x14ac:dyDescent="0.25">
      <c r="A123" s="14">
        <v>2016</v>
      </c>
      <c r="B123" s="14">
        <v>127</v>
      </c>
      <c r="C123" s="15">
        <v>42496</v>
      </c>
      <c r="D123" s="16" t="e">
        <v>#N/A</v>
      </c>
      <c r="E123" s="14">
        <v>110</v>
      </c>
      <c r="F123" s="14">
        <v>2</v>
      </c>
      <c r="G123" s="17" t="e">
        <v>#N/A</v>
      </c>
      <c r="H123" s="1" t="s">
        <v>143</v>
      </c>
      <c r="I123" s="14"/>
    </row>
    <row r="124" spans="1:9" x14ac:dyDescent="0.25">
      <c r="A124" s="14">
        <v>2016</v>
      </c>
      <c r="B124" s="14">
        <v>127</v>
      </c>
      <c r="C124" s="15">
        <v>42496</v>
      </c>
      <c r="D124" s="16" t="e">
        <v>#N/A</v>
      </c>
      <c r="E124" s="14">
        <v>110</v>
      </c>
      <c r="F124" s="14">
        <v>3</v>
      </c>
      <c r="G124" s="17" t="e">
        <v>#N/A</v>
      </c>
      <c r="H124" s="1" t="s">
        <v>143</v>
      </c>
      <c r="I124" s="14"/>
    </row>
    <row r="125" spans="1:9" x14ac:dyDescent="0.25">
      <c r="A125" s="14">
        <v>2016</v>
      </c>
      <c r="B125" s="14">
        <v>127</v>
      </c>
      <c r="C125" s="15">
        <v>42496</v>
      </c>
      <c r="D125" s="16" t="e">
        <v>#N/A</v>
      </c>
      <c r="E125" s="14">
        <v>110</v>
      </c>
      <c r="F125" s="14">
        <v>4</v>
      </c>
      <c r="G125" s="17" t="e">
        <v>#N/A</v>
      </c>
      <c r="H125" s="1" t="s">
        <v>143</v>
      </c>
      <c r="I125" s="14"/>
    </row>
    <row r="126" spans="1:9" x14ac:dyDescent="0.25">
      <c r="A126" s="14">
        <v>2016</v>
      </c>
      <c r="B126" s="14">
        <v>127</v>
      </c>
      <c r="C126" s="15">
        <v>42496</v>
      </c>
      <c r="D126" s="16">
        <v>0.36805555555555558</v>
      </c>
      <c r="E126" s="14">
        <v>110</v>
      </c>
      <c r="F126" s="14">
        <v>5</v>
      </c>
      <c r="G126" s="17">
        <v>0.33189650979190122</v>
      </c>
      <c r="H126" s="1" t="s">
        <v>0</v>
      </c>
      <c r="I126" s="14"/>
    </row>
    <row r="127" spans="1:9" x14ac:dyDescent="0.25">
      <c r="A127" s="14">
        <v>2016</v>
      </c>
      <c r="B127" s="14">
        <v>127</v>
      </c>
      <c r="C127" s="15">
        <v>42496</v>
      </c>
      <c r="D127" s="16">
        <v>0.36874999999999997</v>
      </c>
      <c r="E127" s="14">
        <v>110</v>
      </c>
      <c r="F127" s="14">
        <v>6</v>
      </c>
      <c r="G127" s="17">
        <v>0.32358442600621962</v>
      </c>
      <c r="H127" s="1" t="s">
        <v>0</v>
      </c>
      <c r="I127" s="14"/>
    </row>
    <row r="128" spans="1:9" x14ac:dyDescent="0.25">
      <c r="A128" s="14">
        <v>2016</v>
      </c>
      <c r="B128" s="14">
        <v>127</v>
      </c>
      <c r="C128" s="15">
        <v>42496</v>
      </c>
      <c r="D128" s="16" t="e">
        <v>#N/A</v>
      </c>
      <c r="E128" s="14">
        <v>110</v>
      </c>
      <c r="F128" s="14">
        <v>7</v>
      </c>
      <c r="G128" s="17" t="e">
        <v>#N/A</v>
      </c>
      <c r="H128" s="1" t="s">
        <v>143</v>
      </c>
      <c r="I128" s="14"/>
    </row>
    <row r="129" spans="1:9" x14ac:dyDescent="0.25">
      <c r="A129" s="14">
        <v>2016</v>
      </c>
      <c r="B129" s="14">
        <v>127</v>
      </c>
      <c r="C129" s="15">
        <v>42496</v>
      </c>
      <c r="D129" s="16" t="e">
        <v>#N/A</v>
      </c>
      <c r="E129" s="14">
        <v>110</v>
      </c>
      <c r="F129" s="14">
        <v>8</v>
      </c>
      <c r="G129" s="17" t="e">
        <v>#N/A</v>
      </c>
      <c r="H129" s="1" t="s">
        <v>143</v>
      </c>
      <c r="I129" s="14"/>
    </row>
    <row r="130" spans="1:9" x14ac:dyDescent="0.25">
      <c r="A130" s="14">
        <v>2016</v>
      </c>
      <c r="B130" s="14">
        <v>127</v>
      </c>
      <c r="C130" s="15">
        <v>42496</v>
      </c>
      <c r="D130" s="16" t="e">
        <v>#N/A</v>
      </c>
      <c r="E130" s="14">
        <v>110</v>
      </c>
      <c r="F130" s="14">
        <v>9</v>
      </c>
      <c r="G130" s="17" t="e">
        <v>#N/A</v>
      </c>
      <c r="H130" s="1" t="s">
        <v>143</v>
      </c>
      <c r="I130" s="14"/>
    </row>
    <row r="131" spans="1:9" x14ac:dyDescent="0.25">
      <c r="A131" s="14">
        <v>2016</v>
      </c>
      <c r="B131" s="14">
        <v>127</v>
      </c>
      <c r="C131" s="15">
        <v>42496</v>
      </c>
      <c r="D131" s="16" t="e">
        <v>#N/A</v>
      </c>
      <c r="E131" s="14">
        <v>110</v>
      </c>
      <c r="F131" s="14">
        <v>10</v>
      </c>
      <c r="G131" s="17" t="e">
        <v>#N/A</v>
      </c>
      <c r="H131" s="1" t="s">
        <v>143</v>
      </c>
      <c r="I131" s="14"/>
    </row>
    <row r="132" spans="1:9" x14ac:dyDescent="0.25">
      <c r="A132" s="14">
        <v>2016</v>
      </c>
      <c r="B132" s="14">
        <v>127</v>
      </c>
      <c r="C132" s="15">
        <v>42496</v>
      </c>
      <c r="D132" s="16" t="e">
        <v>#N/A</v>
      </c>
      <c r="E132" s="14">
        <v>110</v>
      </c>
      <c r="F132" s="14">
        <v>11</v>
      </c>
      <c r="G132" s="17" t="e">
        <v>#N/A</v>
      </c>
      <c r="H132" s="1" t="s">
        <v>144</v>
      </c>
      <c r="I132" s="14"/>
    </row>
    <row r="133" spans="1:9" x14ac:dyDescent="0.25">
      <c r="A133" s="14">
        <v>2016</v>
      </c>
      <c r="B133" s="14">
        <v>127</v>
      </c>
      <c r="C133" s="15">
        <v>42496</v>
      </c>
      <c r="D133" s="16" t="e">
        <v>#N/A</v>
      </c>
      <c r="E133" s="14">
        <v>110</v>
      </c>
      <c r="F133" s="14">
        <v>12</v>
      </c>
      <c r="G133" s="17" t="e">
        <v>#N/A</v>
      </c>
      <c r="H133" s="1" t="s">
        <v>144</v>
      </c>
      <c r="I133" s="14"/>
    </row>
    <row r="134" spans="1:9" x14ac:dyDescent="0.25">
      <c r="A134" s="14">
        <v>2016</v>
      </c>
      <c r="B134" s="14">
        <v>127</v>
      </c>
      <c r="C134" s="15">
        <v>42496</v>
      </c>
      <c r="D134" s="16" t="e">
        <v>#N/A</v>
      </c>
      <c r="E134" s="14">
        <v>110</v>
      </c>
      <c r="F134" s="14">
        <v>13</v>
      </c>
      <c r="G134" s="17" t="e">
        <v>#N/A</v>
      </c>
      <c r="H134" s="1" t="s">
        <v>144</v>
      </c>
      <c r="I134" s="14"/>
    </row>
    <row r="135" spans="1:9" x14ac:dyDescent="0.25">
      <c r="A135" s="14">
        <v>2016</v>
      </c>
      <c r="B135" s="14">
        <v>127</v>
      </c>
      <c r="C135" s="15">
        <v>42496</v>
      </c>
      <c r="D135" s="16" t="e">
        <v>#N/A</v>
      </c>
      <c r="E135" s="14">
        <v>110</v>
      </c>
      <c r="F135" s="14">
        <v>14</v>
      </c>
      <c r="G135" s="17" t="e">
        <v>#N/A</v>
      </c>
      <c r="H135" s="1" t="s">
        <v>144</v>
      </c>
      <c r="I135" s="14"/>
    </row>
    <row r="136" spans="1:9" x14ac:dyDescent="0.25">
      <c r="A136" s="14">
        <v>2016</v>
      </c>
      <c r="B136" s="14">
        <v>127</v>
      </c>
      <c r="C136" s="15">
        <v>42496</v>
      </c>
      <c r="D136" s="16">
        <v>0.34722222222222227</v>
      </c>
      <c r="E136" s="14">
        <v>110</v>
      </c>
      <c r="F136" s="14">
        <v>15</v>
      </c>
      <c r="G136" s="17">
        <v>0.31994359591827637</v>
      </c>
      <c r="H136" s="1" t="s">
        <v>1</v>
      </c>
      <c r="I136" s="14"/>
    </row>
    <row r="137" spans="1:9" x14ac:dyDescent="0.25">
      <c r="A137" s="14">
        <v>2016</v>
      </c>
      <c r="B137" s="14">
        <v>127</v>
      </c>
      <c r="C137" s="15">
        <v>42496</v>
      </c>
      <c r="D137" s="16">
        <v>0.34722222222222227</v>
      </c>
      <c r="E137" s="14">
        <v>110</v>
      </c>
      <c r="F137" s="14">
        <v>16</v>
      </c>
      <c r="G137" s="17">
        <v>0.31607378280593423</v>
      </c>
      <c r="H137" s="1" t="s">
        <v>1</v>
      </c>
      <c r="I137" s="14"/>
    </row>
    <row r="138" spans="1:9" x14ac:dyDescent="0.25">
      <c r="A138" s="14">
        <v>2016</v>
      </c>
      <c r="B138" s="14">
        <v>127</v>
      </c>
      <c r="C138" s="15">
        <v>42496</v>
      </c>
      <c r="D138" s="16" t="e">
        <v>#N/A</v>
      </c>
      <c r="E138" s="14">
        <v>110</v>
      </c>
      <c r="F138" s="14">
        <v>17</v>
      </c>
      <c r="G138" s="17" t="e">
        <v>#N/A</v>
      </c>
      <c r="H138" s="1" t="s">
        <v>144</v>
      </c>
      <c r="I138" s="14"/>
    </row>
    <row r="139" spans="1:9" x14ac:dyDescent="0.25">
      <c r="A139" s="14">
        <v>2016</v>
      </c>
      <c r="B139" s="14">
        <v>127</v>
      </c>
      <c r="C139" s="15">
        <v>42496</v>
      </c>
      <c r="D139" s="16" t="e">
        <v>#N/A</v>
      </c>
      <c r="E139" s="14">
        <v>110</v>
      </c>
      <c r="F139" s="14">
        <v>18</v>
      </c>
      <c r="G139" s="17" t="e">
        <v>#N/A</v>
      </c>
      <c r="H139" s="1" t="s">
        <v>144</v>
      </c>
      <c r="I139" s="14"/>
    </row>
    <row r="140" spans="1:9" x14ac:dyDescent="0.25">
      <c r="A140" s="14">
        <v>2016</v>
      </c>
      <c r="B140" s="14">
        <v>127</v>
      </c>
      <c r="C140" s="15">
        <v>42496</v>
      </c>
      <c r="D140" s="16" t="e">
        <v>#N/A</v>
      </c>
      <c r="E140" s="14">
        <v>110</v>
      </c>
      <c r="F140" s="14">
        <v>19</v>
      </c>
      <c r="G140" s="17" t="e">
        <v>#N/A</v>
      </c>
      <c r="H140" s="1" t="s">
        <v>144</v>
      </c>
      <c r="I140" s="14"/>
    </row>
    <row r="141" spans="1:9" x14ac:dyDescent="0.25">
      <c r="A141" s="14">
        <v>2016</v>
      </c>
      <c r="B141" s="14">
        <v>127</v>
      </c>
      <c r="C141" s="15">
        <v>42496</v>
      </c>
      <c r="D141" s="16" t="e">
        <v>#N/A</v>
      </c>
      <c r="E141" s="14">
        <v>110</v>
      </c>
      <c r="F141" s="14">
        <v>20</v>
      </c>
      <c r="G141" s="17" t="e">
        <v>#N/A</v>
      </c>
      <c r="H141" s="1" t="s">
        <v>144</v>
      </c>
      <c r="I141" s="14"/>
    </row>
    <row r="142" spans="1:9" x14ac:dyDescent="0.25">
      <c r="A142" s="14">
        <v>2016</v>
      </c>
      <c r="B142" s="14">
        <v>127</v>
      </c>
      <c r="C142" s="15">
        <v>42496</v>
      </c>
      <c r="D142" s="16" t="e">
        <v>#N/A</v>
      </c>
      <c r="E142" s="14">
        <v>90</v>
      </c>
      <c r="F142" s="14">
        <v>1</v>
      </c>
      <c r="G142" s="17" t="e">
        <v>#N/A</v>
      </c>
      <c r="H142" s="1" t="s">
        <v>143</v>
      </c>
      <c r="I142" s="14"/>
    </row>
    <row r="143" spans="1:9" x14ac:dyDescent="0.25">
      <c r="A143" s="14">
        <v>2016</v>
      </c>
      <c r="B143" s="14">
        <v>127</v>
      </c>
      <c r="C143" s="15">
        <v>42496</v>
      </c>
      <c r="D143" s="16" t="e">
        <v>#N/A</v>
      </c>
      <c r="E143" s="14">
        <v>90</v>
      </c>
      <c r="F143" s="14">
        <v>2</v>
      </c>
      <c r="G143" s="17" t="e">
        <v>#N/A</v>
      </c>
      <c r="H143" s="1" t="s">
        <v>143</v>
      </c>
      <c r="I143" s="14"/>
    </row>
    <row r="144" spans="1:9" x14ac:dyDescent="0.25">
      <c r="A144" s="14">
        <v>2016</v>
      </c>
      <c r="B144" s="14">
        <v>127</v>
      </c>
      <c r="C144" s="15">
        <v>42496</v>
      </c>
      <c r="D144" s="16" t="e">
        <v>#N/A</v>
      </c>
      <c r="E144" s="14">
        <v>90</v>
      </c>
      <c r="F144" s="14">
        <v>3</v>
      </c>
      <c r="G144" s="17" t="e">
        <v>#N/A</v>
      </c>
      <c r="H144" s="1" t="s">
        <v>143</v>
      </c>
      <c r="I144" s="14"/>
    </row>
    <row r="145" spans="1:9" x14ac:dyDescent="0.25">
      <c r="A145" s="14">
        <v>2016</v>
      </c>
      <c r="B145" s="14">
        <v>127</v>
      </c>
      <c r="C145" s="15">
        <v>42496</v>
      </c>
      <c r="D145" s="16" t="e">
        <v>#N/A</v>
      </c>
      <c r="E145" s="14">
        <v>90</v>
      </c>
      <c r="F145" s="14">
        <v>4</v>
      </c>
      <c r="G145" s="17" t="e">
        <v>#N/A</v>
      </c>
      <c r="H145" s="1" t="s">
        <v>143</v>
      </c>
      <c r="I145" s="14"/>
    </row>
    <row r="146" spans="1:9" x14ac:dyDescent="0.25">
      <c r="A146" s="14">
        <v>2016</v>
      </c>
      <c r="B146" s="14">
        <v>127</v>
      </c>
      <c r="C146" s="15">
        <v>42496</v>
      </c>
      <c r="D146" s="16">
        <v>0.36805555555555558</v>
      </c>
      <c r="E146" s="14">
        <v>90</v>
      </c>
      <c r="F146" s="14">
        <v>5</v>
      </c>
      <c r="G146" s="17">
        <v>0.33159883186018257</v>
      </c>
      <c r="H146" s="1" t="s">
        <v>0</v>
      </c>
      <c r="I146" s="14"/>
    </row>
    <row r="147" spans="1:9" x14ac:dyDescent="0.25">
      <c r="A147" s="14">
        <v>2016</v>
      </c>
      <c r="B147" s="14">
        <v>127</v>
      </c>
      <c r="C147" s="15">
        <v>42496</v>
      </c>
      <c r="D147" s="16">
        <v>0.36874999999999997</v>
      </c>
      <c r="E147" s="14">
        <v>90</v>
      </c>
      <c r="F147" s="14">
        <v>6</v>
      </c>
      <c r="G147" s="17">
        <v>0.32360732430865946</v>
      </c>
      <c r="H147" s="1" t="s">
        <v>0</v>
      </c>
      <c r="I147" s="14"/>
    </row>
    <row r="148" spans="1:9" x14ac:dyDescent="0.25">
      <c r="A148" s="14">
        <v>2016</v>
      </c>
      <c r="B148" s="14">
        <v>127</v>
      </c>
      <c r="C148" s="15">
        <v>42496</v>
      </c>
      <c r="D148" s="16" t="e">
        <v>#N/A</v>
      </c>
      <c r="E148" s="14">
        <v>90</v>
      </c>
      <c r="F148" s="14">
        <v>7</v>
      </c>
      <c r="G148" s="17" t="e">
        <v>#N/A</v>
      </c>
      <c r="H148" s="1" t="s">
        <v>143</v>
      </c>
      <c r="I148" s="14"/>
    </row>
    <row r="149" spans="1:9" x14ac:dyDescent="0.25">
      <c r="A149" s="14">
        <v>2016</v>
      </c>
      <c r="B149" s="14">
        <v>127</v>
      </c>
      <c r="C149" s="15">
        <v>42496</v>
      </c>
      <c r="D149" s="16" t="e">
        <v>#N/A</v>
      </c>
      <c r="E149" s="14">
        <v>90</v>
      </c>
      <c r="F149" s="14">
        <v>8</v>
      </c>
      <c r="G149" s="17" t="e">
        <v>#N/A</v>
      </c>
      <c r="H149" s="1" t="s">
        <v>143</v>
      </c>
      <c r="I149" s="14"/>
    </row>
    <row r="150" spans="1:9" x14ac:dyDescent="0.25">
      <c r="A150" s="14">
        <v>2016</v>
      </c>
      <c r="B150" s="14">
        <v>127</v>
      </c>
      <c r="C150" s="15">
        <v>42496</v>
      </c>
      <c r="D150" s="16" t="e">
        <v>#N/A</v>
      </c>
      <c r="E150" s="14">
        <v>90</v>
      </c>
      <c r="F150" s="14">
        <v>9</v>
      </c>
      <c r="G150" s="17" t="e">
        <v>#N/A</v>
      </c>
      <c r="H150" s="1" t="s">
        <v>143</v>
      </c>
      <c r="I150" s="14"/>
    </row>
    <row r="151" spans="1:9" x14ac:dyDescent="0.25">
      <c r="A151" s="14">
        <v>2016</v>
      </c>
      <c r="B151" s="14">
        <v>127</v>
      </c>
      <c r="C151" s="15">
        <v>42496</v>
      </c>
      <c r="D151" s="16" t="e">
        <v>#N/A</v>
      </c>
      <c r="E151" s="14">
        <v>90</v>
      </c>
      <c r="F151" s="14">
        <v>10</v>
      </c>
      <c r="G151" s="17" t="e">
        <v>#N/A</v>
      </c>
      <c r="H151" s="1" t="s">
        <v>143</v>
      </c>
      <c r="I151" s="14"/>
    </row>
    <row r="152" spans="1:9" x14ac:dyDescent="0.25">
      <c r="A152" s="14">
        <v>2016</v>
      </c>
      <c r="B152" s="14">
        <v>127</v>
      </c>
      <c r="C152" s="15">
        <v>42496</v>
      </c>
      <c r="D152" s="16" t="e">
        <v>#N/A</v>
      </c>
      <c r="E152" s="14">
        <v>90</v>
      </c>
      <c r="F152" s="14">
        <v>11</v>
      </c>
      <c r="G152" s="17" t="e">
        <v>#N/A</v>
      </c>
      <c r="H152" s="1" t="s">
        <v>144</v>
      </c>
      <c r="I152" s="14"/>
    </row>
    <row r="153" spans="1:9" x14ac:dyDescent="0.25">
      <c r="A153" s="14">
        <v>2016</v>
      </c>
      <c r="B153" s="14">
        <v>127</v>
      </c>
      <c r="C153" s="15">
        <v>42496</v>
      </c>
      <c r="D153" s="16" t="e">
        <v>#N/A</v>
      </c>
      <c r="E153" s="14">
        <v>90</v>
      </c>
      <c r="F153" s="14">
        <v>12</v>
      </c>
      <c r="G153" s="17" t="e">
        <v>#N/A</v>
      </c>
      <c r="H153" s="1" t="s">
        <v>144</v>
      </c>
      <c r="I153" s="14"/>
    </row>
    <row r="154" spans="1:9" x14ac:dyDescent="0.25">
      <c r="A154" s="14">
        <v>2016</v>
      </c>
      <c r="B154" s="14">
        <v>127</v>
      </c>
      <c r="C154" s="15">
        <v>42496</v>
      </c>
      <c r="D154" s="16" t="e">
        <v>#N/A</v>
      </c>
      <c r="E154" s="14">
        <v>90</v>
      </c>
      <c r="F154" s="14">
        <v>13</v>
      </c>
      <c r="G154" s="17" t="e">
        <v>#N/A</v>
      </c>
      <c r="H154" s="1" t="s">
        <v>144</v>
      </c>
      <c r="I154" s="14"/>
    </row>
    <row r="155" spans="1:9" x14ac:dyDescent="0.25">
      <c r="A155" s="14">
        <v>2016</v>
      </c>
      <c r="B155" s="14">
        <v>127</v>
      </c>
      <c r="C155" s="15">
        <v>42496</v>
      </c>
      <c r="D155" s="16" t="e">
        <v>#N/A</v>
      </c>
      <c r="E155" s="14">
        <v>90</v>
      </c>
      <c r="F155" s="14">
        <v>14</v>
      </c>
      <c r="G155" s="17" t="e">
        <v>#N/A</v>
      </c>
      <c r="H155" s="1" t="s">
        <v>144</v>
      </c>
      <c r="I155" s="14"/>
    </row>
    <row r="156" spans="1:9" x14ac:dyDescent="0.25">
      <c r="A156" s="14">
        <v>2016</v>
      </c>
      <c r="B156" s="14">
        <v>127</v>
      </c>
      <c r="C156" s="15">
        <v>42496</v>
      </c>
      <c r="D156" s="16">
        <v>0.34722222222222227</v>
      </c>
      <c r="E156" s="14">
        <v>90</v>
      </c>
      <c r="F156" s="14">
        <v>15</v>
      </c>
      <c r="G156" s="17">
        <v>0.3206076466890333</v>
      </c>
      <c r="H156" s="1" t="s">
        <v>1</v>
      </c>
      <c r="I156" s="14"/>
    </row>
    <row r="157" spans="1:9" x14ac:dyDescent="0.25">
      <c r="A157" s="14">
        <v>2016</v>
      </c>
      <c r="B157" s="14">
        <v>127</v>
      </c>
      <c r="C157" s="15">
        <v>42496</v>
      </c>
      <c r="D157" s="16">
        <v>0.34722222222222227</v>
      </c>
      <c r="E157" s="14">
        <v>90</v>
      </c>
      <c r="F157" s="14">
        <v>16</v>
      </c>
      <c r="G157" s="17">
        <v>0.30805937695197122</v>
      </c>
      <c r="H157" s="1" t="s">
        <v>1</v>
      </c>
      <c r="I157" s="14"/>
    </row>
    <row r="158" spans="1:9" x14ac:dyDescent="0.25">
      <c r="A158" s="14">
        <v>2016</v>
      </c>
      <c r="B158" s="14">
        <v>127</v>
      </c>
      <c r="C158" s="15">
        <v>42496</v>
      </c>
      <c r="D158" s="16" t="e">
        <v>#N/A</v>
      </c>
      <c r="E158" s="14">
        <v>90</v>
      </c>
      <c r="F158" s="14">
        <v>17</v>
      </c>
      <c r="G158" s="17" t="e">
        <v>#N/A</v>
      </c>
      <c r="H158" s="1" t="s">
        <v>144</v>
      </c>
      <c r="I158" s="14"/>
    </row>
    <row r="159" spans="1:9" x14ac:dyDescent="0.25">
      <c r="A159" s="14">
        <v>2016</v>
      </c>
      <c r="B159" s="14">
        <v>127</v>
      </c>
      <c r="C159" s="15">
        <v>42496</v>
      </c>
      <c r="D159" s="16" t="e">
        <v>#N/A</v>
      </c>
      <c r="E159" s="14">
        <v>90</v>
      </c>
      <c r="F159" s="14">
        <v>18</v>
      </c>
      <c r="G159" s="17" t="e">
        <v>#N/A</v>
      </c>
      <c r="H159" s="1" t="s">
        <v>144</v>
      </c>
      <c r="I159" s="14"/>
    </row>
    <row r="160" spans="1:9" x14ac:dyDescent="0.25">
      <c r="A160" s="14">
        <v>2016</v>
      </c>
      <c r="B160" s="14">
        <v>127</v>
      </c>
      <c r="C160" s="15">
        <v>42496</v>
      </c>
      <c r="D160" s="16" t="e">
        <v>#N/A</v>
      </c>
      <c r="E160" s="14">
        <v>90</v>
      </c>
      <c r="F160" s="14">
        <v>19</v>
      </c>
      <c r="G160" s="17" t="e">
        <v>#N/A</v>
      </c>
      <c r="H160" s="1" t="s">
        <v>144</v>
      </c>
      <c r="I160" s="14"/>
    </row>
    <row r="161" spans="1:9" x14ac:dyDescent="0.25">
      <c r="A161" s="14">
        <v>2016</v>
      </c>
      <c r="B161" s="14">
        <v>127</v>
      </c>
      <c r="C161" s="15">
        <v>42496</v>
      </c>
      <c r="D161" s="16" t="e">
        <v>#N/A</v>
      </c>
      <c r="E161" s="14">
        <v>90</v>
      </c>
      <c r="F161" s="14">
        <v>20</v>
      </c>
      <c r="G161" s="17" t="e">
        <v>#N/A</v>
      </c>
      <c r="H161" s="1" t="s">
        <v>144</v>
      </c>
      <c r="I161" s="14"/>
    </row>
    <row r="162" spans="1:9" x14ac:dyDescent="0.25">
      <c r="A162" s="14">
        <v>2016</v>
      </c>
      <c r="B162" s="14">
        <v>127</v>
      </c>
      <c r="C162" s="15">
        <v>42496</v>
      </c>
      <c r="D162" s="16" t="e">
        <v>#N/A</v>
      </c>
      <c r="E162" s="14">
        <v>70</v>
      </c>
      <c r="F162" s="14">
        <v>1</v>
      </c>
      <c r="G162" s="17" t="e">
        <v>#N/A</v>
      </c>
      <c r="H162" s="1" t="s">
        <v>143</v>
      </c>
      <c r="I162" s="14"/>
    </row>
    <row r="163" spans="1:9" x14ac:dyDescent="0.25">
      <c r="A163" s="14">
        <v>2016</v>
      </c>
      <c r="B163" s="14">
        <v>127</v>
      </c>
      <c r="C163" s="15">
        <v>42496</v>
      </c>
      <c r="D163" s="16" t="e">
        <v>#N/A</v>
      </c>
      <c r="E163" s="14">
        <v>70</v>
      </c>
      <c r="F163" s="14">
        <v>2</v>
      </c>
      <c r="G163" s="17" t="e">
        <v>#N/A</v>
      </c>
      <c r="H163" s="1" t="s">
        <v>143</v>
      </c>
      <c r="I163" s="14"/>
    </row>
    <row r="164" spans="1:9" x14ac:dyDescent="0.25">
      <c r="A164" s="14">
        <v>2016</v>
      </c>
      <c r="B164" s="14">
        <v>127</v>
      </c>
      <c r="C164" s="15">
        <v>42496</v>
      </c>
      <c r="D164" s="16" t="e">
        <v>#N/A</v>
      </c>
      <c r="E164" s="14">
        <v>70</v>
      </c>
      <c r="F164" s="14">
        <v>3</v>
      </c>
      <c r="G164" s="17" t="e">
        <v>#N/A</v>
      </c>
      <c r="H164" s="1" t="s">
        <v>143</v>
      </c>
      <c r="I164" s="14"/>
    </row>
    <row r="165" spans="1:9" x14ac:dyDescent="0.25">
      <c r="A165" s="14">
        <v>2016</v>
      </c>
      <c r="B165" s="14">
        <v>127</v>
      </c>
      <c r="C165" s="15">
        <v>42496</v>
      </c>
      <c r="D165" s="16" t="e">
        <v>#N/A</v>
      </c>
      <c r="E165" s="14">
        <v>70</v>
      </c>
      <c r="F165" s="14">
        <v>4</v>
      </c>
      <c r="G165" s="17" t="e">
        <v>#N/A</v>
      </c>
      <c r="H165" s="1" t="s">
        <v>143</v>
      </c>
      <c r="I165" s="14"/>
    </row>
    <row r="166" spans="1:9" x14ac:dyDescent="0.25">
      <c r="A166" s="14">
        <v>2016</v>
      </c>
      <c r="B166" s="14">
        <v>127</v>
      </c>
      <c r="C166" s="15">
        <v>42496</v>
      </c>
      <c r="D166" s="16">
        <v>0.36805555555555558</v>
      </c>
      <c r="E166" s="14">
        <v>70</v>
      </c>
      <c r="F166" s="14">
        <v>5</v>
      </c>
      <c r="G166" s="17">
        <v>0.33627008555792104</v>
      </c>
      <c r="H166" s="1" t="s">
        <v>0</v>
      </c>
      <c r="I166" s="14"/>
    </row>
    <row r="167" spans="1:9" x14ac:dyDescent="0.25">
      <c r="A167" s="14">
        <v>2016</v>
      </c>
      <c r="B167" s="14">
        <v>127</v>
      </c>
      <c r="C167" s="15">
        <v>42496</v>
      </c>
      <c r="D167" s="16">
        <v>0.36874999999999997</v>
      </c>
      <c r="E167" s="14">
        <v>70</v>
      </c>
      <c r="F167" s="14">
        <v>6</v>
      </c>
      <c r="G167" s="17">
        <v>0.33395735701149171</v>
      </c>
      <c r="H167" s="1" t="s">
        <v>0</v>
      </c>
      <c r="I167" s="14"/>
    </row>
    <row r="168" spans="1:9" x14ac:dyDescent="0.25">
      <c r="A168" s="14">
        <v>2016</v>
      </c>
      <c r="B168" s="14">
        <v>127</v>
      </c>
      <c r="C168" s="15">
        <v>42496</v>
      </c>
      <c r="D168" s="16" t="e">
        <v>#N/A</v>
      </c>
      <c r="E168" s="14">
        <v>70</v>
      </c>
      <c r="F168" s="14">
        <v>7</v>
      </c>
      <c r="G168" s="17" t="e">
        <v>#N/A</v>
      </c>
      <c r="H168" s="1" t="s">
        <v>143</v>
      </c>
      <c r="I168" s="14"/>
    </row>
    <row r="169" spans="1:9" x14ac:dyDescent="0.25">
      <c r="A169" s="14">
        <v>2016</v>
      </c>
      <c r="B169" s="14">
        <v>127</v>
      </c>
      <c r="C169" s="15">
        <v>42496</v>
      </c>
      <c r="D169" s="16" t="e">
        <v>#N/A</v>
      </c>
      <c r="E169" s="14">
        <v>70</v>
      </c>
      <c r="F169" s="14">
        <v>8</v>
      </c>
      <c r="G169" s="17" t="e">
        <v>#N/A</v>
      </c>
      <c r="H169" s="1" t="s">
        <v>143</v>
      </c>
      <c r="I169" s="14"/>
    </row>
    <row r="170" spans="1:9" x14ac:dyDescent="0.25">
      <c r="A170" s="14">
        <v>2016</v>
      </c>
      <c r="B170" s="14">
        <v>127</v>
      </c>
      <c r="C170" s="15">
        <v>42496</v>
      </c>
      <c r="D170" s="16" t="e">
        <v>#N/A</v>
      </c>
      <c r="E170" s="14">
        <v>70</v>
      </c>
      <c r="F170" s="14">
        <v>9</v>
      </c>
      <c r="G170" s="17" t="e">
        <v>#N/A</v>
      </c>
      <c r="H170" s="1" t="s">
        <v>143</v>
      </c>
      <c r="I170" s="14"/>
    </row>
    <row r="171" spans="1:9" x14ac:dyDescent="0.25">
      <c r="A171" s="14">
        <v>2016</v>
      </c>
      <c r="B171" s="14">
        <v>127</v>
      </c>
      <c r="C171" s="15">
        <v>42496</v>
      </c>
      <c r="D171" s="16" t="e">
        <v>#N/A</v>
      </c>
      <c r="E171" s="14">
        <v>70</v>
      </c>
      <c r="F171" s="14">
        <v>10</v>
      </c>
      <c r="G171" s="17" t="e">
        <v>#N/A</v>
      </c>
      <c r="H171" s="1" t="s">
        <v>143</v>
      </c>
      <c r="I171" s="14"/>
    </row>
    <row r="172" spans="1:9" x14ac:dyDescent="0.25">
      <c r="A172" s="14">
        <v>2016</v>
      </c>
      <c r="B172" s="14">
        <v>127</v>
      </c>
      <c r="C172" s="15">
        <v>42496</v>
      </c>
      <c r="D172" s="16" t="e">
        <v>#N/A</v>
      </c>
      <c r="E172" s="14">
        <v>70</v>
      </c>
      <c r="F172" s="14">
        <v>11</v>
      </c>
      <c r="G172" s="17" t="e">
        <v>#N/A</v>
      </c>
      <c r="H172" s="1" t="s">
        <v>144</v>
      </c>
      <c r="I172" s="14"/>
    </row>
    <row r="173" spans="1:9" x14ac:dyDescent="0.25">
      <c r="A173" s="14">
        <v>2016</v>
      </c>
      <c r="B173" s="14">
        <v>127</v>
      </c>
      <c r="C173" s="15">
        <v>42496</v>
      </c>
      <c r="D173" s="16" t="e">
        <v>#N/A</v>
      </c>
      <c r="E173" s="14">
        <v>70</v>
      </c>
      <c r="F173" s="14">
        <v>12</v>
      </c>
      <c r="G173" s="17" t="e">
        <v>#N/A</v>
      </c>
      <c r="H173" s="1" t="s">
        <v>144</v>
      </c>
      <c r="I173" s="14"/>
    </row>
    <row r="174" spans="1:9" x14ac:dyDescent="0.25">
      <c r="A174" s="14">
        <v>2016</v>
      </c>
      <c r="B174" s="14">
        <v>127</v>
      </c>
      <c r="C174" s="15">
        <v>42496</v>
      </c>
      <c r="D174" s="16" t="e">
        <v>#N/A</v>
      </c>
      <c r="E174" s="14">
        <v>70</v>
      </c>
      <c r="F174" s="14">
        <v>13</v>
      </c>
      <c r="G174" s="17" t="e">
        <v>#N/A</v>
      </c>
      <c r="H174" s="1" t="s">
        <v>144</v>
      </c>
      <c r="I174" s="14"/>
    </row>
    <row r="175" spans="1:9" x14ac:dyDescent="0.25">
      <c r="A175" s="14">
        <v>2016</v>
      </c>
      <c r="B175" s="14">
        <v>127</v>
      </c>
      <c r="C175" s="15">
        <v>42496</v>
      </c>
      <c r="D175" s="16" t="e">
        <v>#N/A</v>
      </c>
      <c r="E175" s="14">
        <v>70</v>
      </c>
      <c r="F175" s="14">
        <v>14</v>
      </c>
      <c r="G175" s="17" t="e">
        <v>#N/A</v>
      </c>
      <c r="H175" s="1" t="s">
        <v>144</v>
      </c>
      <c r="I175" s="14"/>
    </row>
    <row r="176" spans="1:9" x14ac:dyDescent="0.25">
      <c r="A176" s="14">
        <v>2016</v>
      </c>
      <c r="B176" s="14">
        <v>127</v>
      </c>
      <c r="C176" s="15">
        <v>42496</v>
      </c>
      <c r="D176" s="16">
        <v>0.34722222222222227</v>
      </c>
      <c r="E176" s="14">
        <v>70</v>
      </c>
      <c r="F176" s="14">
        <v>15</v>
      </c>
      <c r="G176" s="17">
        <v>0.3239050022403781</v>
      </c>
      <c r="H176" s="1" t="s">
        <v>1</v>
      </c>
      <c r="I176" s="14"/>
    </row>
    <row r="177" spans="1:9" x14ac:dyDescent="0.25">
      <c r="A177" s="14">
        <v>2016</v>
      </c>
      <c r="B177" s="14">
        <v>127</v>
      </c>
      <c r="C177" s="15">
        <v>42496</v>
      </c>
      <c r="D177" s="16">
        <v>0.34722222222222227</v>
      </c>
      <c r="E177" s="14">
        <v>70</v>
      </c>
      <c r="F177" s="14">
        <v>16</v>
      </c>
      <c r="G177" s="17">
        <v>0.31806593511820502</v>
      </c>
      <c r="H177" s="1" t="s">
        <v>1</v>
      </c>
      <c r="I177" s="14"/>
    </row>
    <row r="178" spans="1:9" x14ac:dyDescent="0.25">
      <c r="A178" s="14">
        <v>2016</v>
      </c>
      <c r="B178" s="14">
        <v>127</v>
      </c>
      <c r="C178" s="15">
        <v>42496</v>
      </c>
      <c r="D178" s="16" t="e">
        <v>#N/A</v>
      </c>
      <c r="E178" s="14">
        <v>70</v>
      </c>
      <c r="F178" s="14">
        <v>17</v>
      </c>
      <c r="G178" s="17" t="e">
        <v>#N/A</v>
      </c>
      <c r="H178" s="1" t="s">
        <v>144</v>
      </c>
      <c r="I178" s="14"/>
    </row>
    <row r="179" spans="1:9" x14ac:dyDescent="0.25">
      <c r="A179" s="14">
        <v>2016</v>
      </c>
      <c r="B179" s="14">
        <v>127</v>
      </c>
      <c r="C179" s="15">
        <v>42496</v>
      </c>
      <c r="D179" s="16" t="e">
        <v>#N/A</v>
      </c>
      <c r="E179" s="14">
        <v>70</v>
      </c>
      <c r="F179" s="14">
        <v>18</v>
      </c>
      <c r="G179" s="17" t="e">
        <v>#N/A</v>
      </c>
      <c r="H179" s="1" t="s">
        <v>144</v>
      </c>
      <c r="I179" s="14"/>
    </row>
    <row r="180" spans="1:9" x14ac:dyDescent="0.25">
      <c r="A180" s="14">
        <v>2016</v>
      </c>
      <c r="B180" s="14">
        <v>127</v>
      </c>
      <c r="C180" s="15">
        <v>42496</v>
      </c>
      <c r="D180" s="16" t="e">
        <v>#N/A</v>
      </c>
      <c r="E180" s="14">
        <v>70</v>
      </c>
      <c r="F180" s="14">
        <v>19</v>
      </c>
      <c r="G180" s="17" t="e">
        <v>#N/A</v>
      </c>
      <c r="H180" s="1" t="s">
        <v>144</v>
      </c>
      <c r="I180" s="14"/>
    </row>
    <row r="181" spans="1:9" x14ac:dyDescent="0.25">
      <c r="A181" s="14">
        <v>2016</v>
      </c>
      <c r="B181" s="14">
        <v>127</v>
      </c>
      <c r="C181" s="15">
        <v>42496</v>
      </c>
      <c r="D181" s="16" t="e">
        <v>#N/A</v>
      </c>
      <c r="E181" s="14">
        <v>70</v>
      </c>
      <c r="F181" s="14">
        <v>20</v>
      </c>
      <c r="G181" s="17" t="e">
        <v>#N/A</v>
      </c>
      <c r="H181" s="1" t="s">
        <v>144</v>
      </c>
      <c r="I181" s="14"/>
    </row>
    <row r="182" spans="1:9" x14ac:dyDescent="0.25">
      <c r="A182" s="14">
        <v>2016</v>
      </c>
      <c r="B182" s="14">
        <v>127</v>
      </c>
      <c r="C182" s="15">
        <v>42496</v>
      </c>
      <c r="D182" s="16" t="e">
        <v>#N/A</v>
      </c>
      <c r="E182" s="14">
        <v>50</v>
      </c>
      <c r="F182" s="14">
        <v>1</v>
      </c>
      <c r="G182" s="17" t="e">
        <v>#N/A</v>
      </c>
      <c r="H182" s="1" t="s">
        <v>143</v>
      </c>
      <c r="I182" s="14"/>
    </row>
    <row r="183" spans="1:9" x14ac:dyDescent="0.25">
      <c r="A183" s="14">
        <v>2016</v>
      </c>
      <c r="B183" s="14">
        <v>127</v>
      </c>
      <c r="C183" s="15">
        <v>42496</v>
      </c>
      <c r="D183" s="16" t="e">
        <v>#N/A</v>
      </c>
      <c r="E183" s="14">
        <v>50</v>
      </c>
      <c r="F183" s="14">
        <v>2</v>
      </c>
      <c r="G183" s="17" t="e">
        <v>#N/A</v>
      </c>
      <c r="H183" s="1" t="s">
        <v>143</v>
      </c>
      <c r="I183" s="14"/>
    </row>
    <row r="184" spans="1:9" x14ac:dyDescent="0.25">
      <c r="A184" s="14">
        <v>2016</v>
      </c>
      <c r="B184" s="14">
        <v>127</v>
      </c>
      <c r="C184" s="15">
        <v>42496</v>
      </c>
      <c r="D184" s="16" t="e">
        <v>#N/A</v>
      </c>
      <c r="E184" s="14">
        <v>50</v>
      </c>
      <c r="F184" s="14">
        <v>3</v>
      </c>
      <c r="G184" s="17" t="e">
        <v>#N/A</v>
      </c>
      <c r="H184" s="1" t="s">
        <v>143</v>
      </c>
      <c r="I184" s="14"/>
    </row>
    <row r="185" spans="1:9" x14ac:dyDescent="0.25">
      <c r="A185" s="14">
        <v>2016</v>
      </c>
      <c r="B185" s="14">
        <v>127</v>
      </c>
      <c r="C185" s="15">
        <v>42496</v>
      </c>
      <c r="D185" s="16" t="e">
        <v>#N/A</v>
      </c>
      <c r="E185" s="14">
        <v>50</v>
      </c>
      <c r="F185" s="14">
        <v>4</v>
      </c>
      <c r="G185" s="17" t="e">
        <v>#N/A</v>
      </c>
      <c r="H185" s="1" t="s">
        <v>143</v>
      </c>
      <c r="I185" s="14"/>
    </row>
    <row r="186" spans="1:9" x14ac:dyDescent="0.25">
      <c r="A186" s="14">
        <v>2016</v>
      </c>
      <c r="B186" s="14">
        <v>127</v>
      </c>
      <c r="C186" s="15">
        <v>42496</v>
      </c>
      <c r="D186" s="16">
        <v>0.36805555555555558</v>
      </c>
      <c r="E186" s="14">
        <v>50</v>
      </c>
      <c r="F186" s="14">
        <v>5</v>
      </c>
      <c r="G186" s="17">
        <v>0.3493221179486608</v>
      </c>
      <c r="H186" s="1" t="s">
        <v>0</v>
      </c>
      <c r="I186" s="14"/>
    </row>
    <row r="187" spans="1:9" x14ac:dyDescent="0.25">
      <c r="A187" s="14">
        <v>2016</v>
      </c>
      <c r="B187" s="14">
        <v>127</v>
      </c>
      <c r="C187" s="15">
        <v>42496</v>
      </c>
      <c r="D187" s="16">
        <v>0.36874999999999997</v>
      </c>
      <c r="E187" s="14">
        <v>50</v>
      </c>
      <c r="F187" s="14">
        <v>6</v>
      </c>
      <c r="G187" s="17">
        <v>0.3460476606997559</v>
      </c>
      <c r="H187" s="1" t="s">
        <v>0</v>
      </c>
      <c r="I187" s="14"/>
    </row>
    <row r="188" spans="1:9" x14ac:dyDescent="0.25">
      <c r="A188" s="14">
        <v>2016</v>
      </c>
      <c r="B188" s="14">
        <v>127</v>
      </c>
      <c r="C188" s="15">
        <v>42496</v>
      </c>
      <c r="D188" s="16" t="e">
        <v>#N/A</v>
      </c>
      <c r="E188" s="14">
        <v>50</v>
      </c>
      <c r="F188" s="14">
        <v>7</v>
      </c>
      <c r="G188" s="17" t="e">
        <v>#N/A</v>
      </c>
      <c r="H188" s="1" t="s">
        <v>143</v>
      </c>
      <c r="I188" s="14"/>
    </row>
    <row r="189" spans="1:9" x14ac:dyDescent="0.25">
      <c r="A189" s="14">
        <v>2016</v>
      </c>
      <c r="B189" s="14">
        <v>127</v>
      </c>
      <c r="C189" s="15">
        <v>42496</v>
      </c>
      <c r="D189" s="16" t="e">
        <v>#N/A</v>
      </c>
      <c r="E189" s="14">
        <v>50</v>
      </c>
      <c r="F189" s="14">
        <v>8</v>
      </c>
      <c r="G189" s="17" t="e">
        <v>#N/A</v>
      </c>
      <c r="H189" s="1" t="s">
        <v>143</v>
      </c>
      <c r="I189" s="14"/>
    </row>
    <row r="190" spans="1:9" x14ac:dyDescent="0.25">
      <c r="A190" s="14">
        <v>2016</v>
      </c>
      <c r="B190" s="14">
        <v>127</v>
      </c>
      <c r="C190" s="15">
        <v>42496</v>
      </c>
      <c r="D190" s="16" t="e">
        <v>#N/A</v>
      </c>
      <c r="E190" s="14">
        <v>50</v>
      </c>
      <c r="F190" s="14">
        <v>9</v>
      </c>
      <c r="G190" s="17" t="e">
        <v>#N/A</v>
      </c>
      <c r="H190" s="1" t="s">
        <v>143</v>
      </c>
      <c r="I190" s="14"/>
    </row>
    <row r="191" spans="1:9" x14ac:dyDescent="0.25">
      <c r="A191" s="14">
        <v>2016</v>
      </c>
      <c r="B191" s="14">
        <v>127</v>
      </c>
      <c r="C191" s="15">
        <v>42496</v>
      </c>
      <c r="D191" s="16" t="e">
        <v>#N/A</v>
      </c>
      <c r="E191" s="14">
        <v>50</v>
      </c>
      <c r="F191" s="14">
        <v>10</v>
      </c>
      <c r="G191" s="17" t="e">
        <v>#N/A</v>
      </c>
      <c r="H191" s="1" t="s">
        <v>143</v>
      </c>
      <c r="I191" s="14"/>
    </row>
    <row r="192" spans="1:9" x14ac:dyDescent="0.25">
      <c r="A192" s="14">
        <v>2016</v>
      </c>
      <c r="B192" s="14">
        <v>127</v>
      </c>
      <c r="C192" s="15">
        <v>42496</v>
      </c>
      <c r="D192" s="16" t="e">
        <v>#N/A</v>
      </c>
      <c r="E192" s="14">
        <v>50</v>
      </c>
      <c r="F192" s="14">
        <v>11</v>
      </c>
      <c r="G192" s="17" t="e">
        <v>#N/A</v>
      </c>
      <c r="H192" s="1" t="s">
        <v>144</v>
      </c>
      <c r="I192" s="14"/>
    </row>
    <row r="193" spans="1:9" x14ac:dyDescent="0.25">
      <c r="A193" s="14">
        <v>2016</v>
      </c>
      <c r="B193" s="14">
        <v>127</v>
      </c>
      <c r="C193" s="15">
        <v>42496</v>
      </c>
      <c r="D193" s="16" t="e">
        <v>#N/A</v>
      </c>
      <c r="E193" s="14">
        <v>50</v>
      </c>
      <c r="F193" s="14">
        <v>12</v>
      </c>
      <c r="G193" s="17" t="e">
        <v>#N/A</v>
      </c>
      <c r="H193" s="1" t="s">
        <v>144</v>
      </c>
      <c r="I193" s="14"/>
    </row>
    <row r="194" spans="1:9" x14ac:dyDescent="0.25">
      <c r="A194" s="14">
        <v>2016</v>
      </c>
      <c r="B194" s="14">
        <v>127</v>
      </c>
      <c r="C194" s="15">
        <v>42496</v>
      </c>
      <c r="D194" s="16" t="e">
        <v>#N/A</v>
      </c>
      <c r="E194" s="14">
        <v>50</v>
      </c>
      <c r="F194" s="14">
        <v>13</v>
      </c>
      <c r="G194" s="17" t="e">
        <v>#N/A</v>
      </c>
      <c r="H194" s="1" t="s">
        <v>144</v>
      </c>
      <c r="I194" s="14"/>
    </row>
    <row r="195" spans="1:9" x14ac:dyDescent="0.25">
      <c r="A195" s="14">
        <v>2016</v>
      </c>
      <c r="B195" s="14">
        <v>127</v>
      </c>
      <c r="C195" s="15">
        <v>42496</v>
      </c>
      <c r="D195" s="16" t="e">
        <v>#N/A</v>
      </c>
      <c r="E195" s="14">
        <v>50</v>
      </c>
      <c r="F195" s="14">
        <v>14</v>
      </c>
      <c r="G195" s="17" t="e">
        <v>#N/A</v>
      </c>
      <c r="H195" s="1" t="s">
        <v>144</v>
      </c>
      <c r="I195" s="14"/>
    </row>
    <row r="196" spans="1:9" x14ac:dyDescent="0.25">
      <c r="A196" s="14">
        <v>2016</v>
      </c>
      <c r="B196" s="14">
        <v>127</v>
      </c>
      <c r="C196" s="15">
        <v>42496</v>
      </c>
      <c r="D196" s="16">
        <v>0.34722222222222227</v>
      </c>
      <c r="E196" s="14">
        <v>50</v>
      </c>
      <c r="F196" s="14">
        <v>15</v>
      </c>
      <c r="G196" s="17">
        <v>0.34039177999710202</v>
      </c>
      <c r="H196" s="1" t="s">
        <v>1</v>
      </c>
      <c r="I196" s="14"/>
    </row>
    <row r="197" spans="1:9" x14ac:dyDescent="0.25">
      <c r="A197" s="14">
        <v>2016</v>
      </c>
      <c r="B197" s="14">
        <v>127</v>
      </c>
      <c r="C197" s="15">
        <v>42496</v>
      </c>
      <c r="D197" s="16">
        <v>0.34722222222222227</v>
      </c>
      <c r="E197" s="14">
        <v>50</v>
      </c>
      <c r="F197" s="14">
        <v>16</v>
      </c>
      <c r="G197" s="17">
        <v>0.33329330624073478</v>
      </c>
      <c r="H197" s="1" t="s">
        <v>1</v>
      </c>
      <c r="I197" s="14"/>
    </row>
    <row r="198" spans="1:9" x14ac:dyDescent="0.25">
      <c r="A198" s="14">
        <v>2016</v>
      </c>
      <c r="B198" s="14">
        <v>127</v>
      </c>
      <c r="C198" s="15">
        <v>42496</v>
      </c>
      <c r="D198" s="16" t="e">
        <v>#N/A</v>
      </c>
      <c r="E198" s="14">
        <v>50</v>
      </c>
      <c r="F198" s="14">
        <v>17</v>
      </c>
      <c r="G198" s="17" t="e">
        <v>#N/A</v>
      </c>
      <c r="H198" s="1" t="s">
        <v>144</v>
      </c>
      <c r="I198" s="14"/>
    </row>
    <row r="199" spans="1:9" x14ac:dyDescent="0.25">
      <c r="A199" s="14">
        <v>2016</v>
      </c>
      <c r="B199" s="14">
        <v>127</v>
      </c>
      <c r="C199" s="15">
        <v>42496</v>
      </c>
      <c r="D199" s="16" t="e">
        <v>#N/A</v>
      </c>
      <c r="E199" s="14">
        <v>50</v>
      </c>
      <c r="F199" s="14">
        <v>18</v>
      </c>
      <c r="G199" s="17" t="e">
        <v>#N/A</v>
      </c>
      <c r="H199" s="1" t="s">
        <v>144</v>
      </c>
      <c r="I199" s="14"/>
    </row>
    <row r="200" spans="1:9" x14ac:dyDescent="0.25">
      <c r="A200" s="14">
        <v>2016</v>
      </c>
      <c r="B200" s="14">
        <v>127</v>
      </c>
      <c r="C200" s="15">
        <v>42496</v>
      </c>
      <c r="D200" s="16" t="e">
        <v>#N/A</v>
      </c>
      <c r="E200" s="14">
        <v>50</v>
      </c>
      <c r="F200" s="14">
        <v>19</v>
      </c>
      <c r="G200" s="17" t="e">
        <v>#N/A</v>
      </c>
      <c r="H200" s="1" t="s">
        <v>144</v>
      </c>
      <c r="I200" s="14"/>
    </row>
    <row r="201" spans="1:9" x14ac:dyDescent="0.25">
      <c r="A201" s="14">
        <v>2016</v>
      </c>
      <c r="B201" s="14">
        <v>127</v>
      </c>
      <c r="C201" s="15">
        <v>42496</v>
      </c>
      <c r="D201" s="16" t="e">
        <v>#N/A</v>
      </c>
      <c r="E201" s="14">
        <v>50</v>
      </c>
      <c r="F201" s="14">
        <v>20</v>
      </c>
      <c r="G201" s="17" t="e">
        <v>#N/A</v>
      </c>
      <c r="H201" s="1" t="s">
        <v>144</v>
      </c>
      <c r="I201" s="14"/>
    </row>
    <row r="202" spans="1:9" x14ac:dyDescent="0.25">
      <c r="A202" s="14">
        <v>2016</v>
      </c>
      <c r="B202" s="14">
        <v>127</v>
      </c>
      <c r="C202" s="15">
        <v>42496</v>
      </c>
      <c r="D202" s="16" t="e">
        <v>#N/A</v>
      </c>
      <c r="E202" s="14">
        <v>30</v>
      </c>
      <c r="F202" s="14">
        <v>1</v>
      </c>
      <c r="G202" s="17" t="e">
        <v>#N/A</v>
      </c>
      <c r="H202" s="1" t="s">
        <v>143</v>
      </c>
      <c r="I202" s="14"/>
    </row>
    <row r="203" spans="1:9" x14ac:dyDescent="0.25">
      <c r="A203" s="14">
        <v>2016</v>
      </c>
      <c r="B203" s="14">
        <v>127</v>
      </c>
      <c r="C203" s="15">
        <v>42496</v>
      </c>
      <c r="D203" s="16" t="e">
        <v>#N/A</v>
      </c>
      <c r="E203" s="14">
        <v>30</v>
      </c>
      <c r="F203" s="14">
        <v>2</v>
      </c>
      <c r="G203" s="17" t="e">
        <v>#N/A</v>
      </c>
      <c r="H203" s="1" t="s">
        <v>143</v>
      </c>
      <c r="I203" s="14"/>
    </row>
    <row r="204" spans="1:9" x14ac:dyDescent="0.25">
      <c r="A204" s="14">
        <v>2016</v>
      </c>
      <c r="B204" s="14">
        <v>127</v>
      </c>
      <c r="C204" s="15">
        <v>42496</v>
      </c>
      <c r="D204" s="16" t="e">
        <v>#N/A</v>
      </c>
      <c r="E204" s="14">
        <v>30</v>
      </c>
      <c r="F204" s="14">
        <v>3</v>
      </c>
      <c r="G204" s="17" t="e">
        <v>#N/A</v>
      </c>
      <c r="H204" s="1" t="s">
        <v>143</v>
      </c>
      <c r="I204" s="14"/>
    </row>
    <row r="205" spans="1:9" x14ac:dyDescent="0.25">
      <c r="A205" s="14">
        <v>2016</v>
      </c>
      <c r="B205" s="14">
        <v>127</v>
      </c>
      <c r="C205" s="15">
        <v>42496</v>
      </c>
      <c r="D205" s="16" t="e">
        <v>#N/A</v>
      </c>
      <c r="E205" s="14">
        <v>30</v>
      </c>
      <c r="F205" s="14">
        <v>4</v>
      </c>
      <c r="G205" s="17" t="e">
        <v>#N/A</v>
      </c>
      <c r="H205" s="1" t="s">
        <v>143</v>
      </c>
      <c r="I205" s="14"/>
    </row>
    <row r="206" spans="1:9" x14ac:dyDescent="0.25">
      <c r="A206" s="14">
        <v>2016</v>
      </c>
      <c r="B206" s="14">
        <v>127</v>
      </c>
      <c r="C206" s="15">
        <v>42496</v>
      </c>
      <c r="D206" s="16">
        <v>0.36805555555555558</v>
      </c>
      <c r="E206" s="14">
        <v>30</v>
      </c>
      <c r="F206" s="14">
        <v>5</v>
      </c>
      <c r="G206" s="17">
        <v>0.35042123646577572</v>
      </c>
      <c r="H206" s="1" t="s">
        <v>0</v>
      </c>
      <c r="I206" s="14"/>
    </row>
    <row r="207" spans="1:9" x14ac:dyDescent="0.25">
      <c r="A207" s="14">
        <v>2016</v>
      </c>
      <c r="B207" s="14">
        <v>127</v>
      </c>
      <c r="C207" s="15">
        <v>42496</v>
      </c>
      <c r="D207" s="16">
        <v>0.36874999999999997</v>
      </c>
      <c r="E207" s="14">
        <v>30</v>
      </c>
      <c r="F207" s="14">
        <v>6</v>
      </c>
      <c r="G207" s="17">
        <v>0.3274084425136819</v>
      </c>
      <c r="H207" s="1" t="s">
        <v>0</v>
      </c>
      <c r="I207" s="14"/>
    </row>
    <row r="208" spans="1:9" x14ac:dyDescent="0.25">
      <c r="A208" s="14">
        <v>2016</v>
      </c>
      <c r="B208" s="14">
        <v>127</v>
      </c>
      <c r="C208" s="15">
        <v>42496</v>
      </c>
      <c r="D208" s="16" t="e">
        <v>#N/A</v>
      </c>
      <c r="E208" s="14">
        <v>30</v>
      </c>
      <c r="F208" s="14">
        <v>7</v>
      </c>
      <c r="G208" s="17" t="e">
        <v>#N/A</v>
      </c>
      <c r="H208" s="1" t="s">
        <v>143</v>
      </c>
      <c r="I208" s="14"/>
    </row>
    <row r="209" spans="1:9" x14ac:dyDescent="0.25">
      <c r="A209" s="14">
        <v>2016</v>
      </c>
      <c r="B209" s="14">
        <v>127</v>
      </c>
      <c r="C209" s="15">
        <v>42496</v>
      </c>
      <c r="D209" s="16" t="e">
        <v>#N/A</v>
      </c>
      <c r="E209" s="14">
        <v>30</v>
      </c>
      <c r="F209" s="14">
        <v>8</v>
      </c>
      <c r="G209" s="17" t="e">
        <v>#N/A</v>
      </c>
      <c r="H209" s="1" t="s">
        <v>143</v>
      </c>
      <c r="I209" s="14"/>
    </row>
    <row r="210" spans="1:9" x14ac:dyDescent="0.25">
      <c r="A210" s="14">
        <v>2016</v>
      </c>
      <c r="B210" s="14">
        <v>127</v>
      </c>
      <c r="C210" s="15">
        <v>42496</v>
      </c>
      <c r="D210" s="16" t="e">
        <v>#N/A</v>
      </c>
      <c r="E210" s="14">
        <v>30</v>
      </c>
      <c r="F210" s="14">
        <v>9</v>
      </c>
      <c r="G210" s="17" t="e">
        <v>#N/A</v>
      </c>
      <c r="H210" s="1" t="s">
        <v>143</v>
      </c>
      <c r="I210" s="14"/>
    </row>
    <row r="211" spans="1:9" x14ac:dyDescent="0.25">
      <c r="A211" s="14">
        <v>2016</v>
      </c>
      <c r="B211" s="14">
        <v>127</v>
      </c>
      <c r="C211" s="15">
        <v>42496</v>
      </c>
      <c r="D211" s="16" t="e">
        <v>#N/A</v>
      </c>
      <c r="E211" s="14">
        <v>30</v>
      </c>
      <c r="F211" s="14">
        <v>10</v>
      </c>
      <c r="G211" s="17" t="e">
        <v>#N/A</v>
      </c>
      <c r="H211" s="1" t="s">
        <v>143</v>
      </c>
      <c r="I211" s="14"/>
    </row>
    <row r="212" spans="1:9" x14ac:dyDescent="0.25">
      <c r="A212" s="14">
        <v>2016</v>
      </c>
      <c r="B212" s="14">
        <v>127</v>
      </c>
      <c r="C212" s="15">
        <v>42496</v>
      </c>
      <c r="D212" s="16" t="e">
        <v>#N/A</v>
      </c>
      <c r="E212" s="14">
        <v>30</v>
      </c>
      <c r="F212" s="14">
        <v>11</v>
      </c>
      <c r="G212" s="17" t="e">
        <v>#N/A</v>
      </c>
      <c r="H212" s="1" t="s">
        <v>144</v>
      </c>
      <c r="I212" s="14"/>
    </row>
    <row r="213" spans="1:9" x14ac:dyDescent="0.25">
      <c r="A213" s="14">
        <v>2016</v>
      </c>
      <c r="B213" s="14">
        <v>127</v>
      </c>
      <c r="C213" s="15">
        <v>42496</v>
      </c>
      <c r="D213" s="16" t="e">
        <v>#N/A</v>
      </c>
      <c r="E213" s="14">
        <v>30</v>
      </c>
      <c r="F213" s="14">
        <v>12</v>
      </c>
      <c r="G213" s="17" t="e">
        <v>#N/A</v>
      </c>
      <c r="H213" s="1" t="s">
        <v>144</v>
      </c>
      <c r="I213" s="14"/>
    </row>
    <row r="214" spans="1:9" x14ac:dyDescent="0.25">
      <c r="A214" s="14">
        <v>2016</v>
      </c>
      <c r="B214" s="14">
        <v>127</v>
      </c>
      <c r="C214" s="15">
        <v>42496</v>
      </c>
      <c r="D214" s="16" t="e">
        <v>#N/A</v>
      </c>
      <c r="E214" s="14">
        <v>30</v>
      </c>
      <c r="F214" s="14">
        <v>13</v>
      </c>
      <c r="G214" s="17" t="e">
        <v>#N/A</v>
      </c>
      <c r="H214" s="1" t="s">
        <v>144</v>
      </c>
      <c r="I214" s="14"/>
    </row>
    <row r="215" spans="1:9" x14ac:dyDescent="0.25">
      <c r="A215" s="14">
        <v>2016</v>
      </c>
      <c r="B215" s="14">
        <v>127</v>
      </c>
      <c r="C215" s="15">
        <v>42496</v>
      </c>
      <c r="D215" s="16" t="e">
        <v>#N/A</v>
      </c>
      <c r="E215" s="14">
        <v>30</v>
      </c>
      <c r="F215" s="14">
        <v>14</v>
      </c>
      <c r="G215" s="17" t="e">
        <v>#N/A</v>
      </c>
      <c r="H215" s="1" t="s">
        <v>144</v>
      </c>
      <c r="I215" s="14"/>
    </row>
    <row r="216" spans="1:9" x14ac:dyDescent="0.25">
      <c r="A216" s="14">
        <v>2016</v>
      </c>
      <c r="B216" s="14">
        <v>127</v>
      </c>
      <c r="C216" s="15">
        <v>42496</v>
      </c>
      <c r="D216" s="16">
        <v>0.34722222222222227</v>
      </c>
      <c r="E216" s="14">
        <v>30</v>
      </c>
      <c r="F216" s="14">
        <v>15</v>
      </c>
      <c r="G216" s="17">
        <v>0.34978008399745869</v>
      </c>
      <c r="H216" s="1" t="s">
        <v>1</v>
      </c>
      <c r="I216" s="14"/>
    </row>
    <row r="217" spans="1:9" x14ac:dyDescent="0.25">
      <c r="A217" s="14">
        <v>2016</v>
      </c>
      <c r="B217" s="14">
        <v>127</v>
      </c>
      <c r="C217" s="15">
        <v>42496</v>
      </c>
      <c r="D217" s="16">
        <v>0.34722222222222227</v>
      </c>
      <c r="E217" s="14">
        <v>30</v>
      </c>
      <c r="F217" s="14">
        <v>16</v>
      </c>
      <c r="G217" s="17">
        <v>0.34201755947033452</v>
      </c>
      <c r="H217" s="1" t="s">
        <v>1</v>
      </c>
      <c r="I217" s="14"/>
    </row>
    <row r="218" spans="1:9" x14ac:dyDescent="0.25">
      <c r="A218" s="14">
        <v>2016</v>
      </c>
      <c r="B218" s="14">
        <v>127</v>
      </c>
      <c r="C218" s="15">
        <v>42496</v>
      </c>
      <c r="D218" s="16" t="e">
        <v>#N/A</v>
      </c>
      <c r="E218" s="14">
        <v>30</v>
      </c>
      <c r="F218" s="14">
        <v>17</v>
      </c>
      <c r="G218" s="17" t="e">
        <v>#N/A</v>
      </c>
      <c r="H218" s="1" t="s">
        <v>144</v>
      </c>
      <c r="I218" s="14"/>
    </row>
    <row r="219" spans="1:9" x14ac:dyDescent="0.25">
      <c r="A219" s="14">
        <v>2016</v>
      </c>
      <c r="B219" s="14">
        <v>127</v>
      </c>
      <c r="C219" s="15">
        <v>42496</v>
      </c>
      <c r="D219" s="16" t="e">
        <v>#N/A</v>
      </c>
      <c r="E219" s="14">
        <v>30</v>
      </c>
      <c r="F219" s="14">
        <v>18</v>
      </c>
      <c r="G219" s="17" t="e">
        <v>#N/A</v>
      </c>
      <c r="H219" s="1" t="s">
        <v>144</v>
      </c>
      <c r="I219" s="14"/>
    </row>
    <row r="220" spans="1:9" x14ac:dyDescent="0.25">
      <c r="A220" s="14">
        <v>2016</v>
      </c>
      <c r="B220" s="14">
        <v>127</v>
      </c>
      <c r="C220" s="15">
        <v>42496</v>
      </c>
      <c r="D220" s="16" t="e">
        <v>#N/A</v>
      </c>
      <c r="E220" s="14">
        <v>30</v>
      </c>
      <c r="F220" s="14">
        <v>19</v>
      </c>
      <c r="G220" s="17" t="e">
        <v>#N/A</v>
      </c>
      <c r="H220" s="1" t="s">
        <v>144</v>
      </c>
      <c r="I220" s="14"/>
    </row>
    <row r="221" spans="1:9" x14ac:dyDescent="0.25">
      <c r="A221" s="14">
        <v>2016</v>
      </c>
      <c r="B221" s="14">
        <v>127</v>
      </c>
      <c r="C221" s="15">
        <v>42496</v>
      </c>
      <c r="D221" s="16" t="e">
        <v>#N/A</v>
      </c>
      <c r="E221" s="14">
        <v>30</v>
      </c>
      <c r="F221" s="14">
        <v>20</v>
      </c>
      <c r="G221" s="17" t="e">
        <v>#N/A</v>
      </c>
      <c r="H221" s="1" t="s">
        <v>144</v>
      </c>
      <c r="I221" s="14"/>
    </row>
    <row r="222" spans="1:9" x14ac:dyDescent="0.25">
      <c r="A222" s="14">
        <v>2016</v>
      </c>
      <c r="B222" s="14">
        <v>127</v>
      </c>
      <c r="C222" s="15">
        <v>42496</v>
      </c>
      <c r="D222" s="16" t="e">
        <v>#N/A</v>
      </c>
      <c r="E222" s="14">
        <v>10</v>
      </c>
      <c r="F222" s="14">
        <v>1</v>
      </c>
      <c r="G222" s="17" t="e">
        <v>#N/A</v>
      </c>
      <c r="H222" s="1" t="s">
        <v>143</v>
      </c>
      <c r="I222" s="14"/>
    </row>
    <row r="223" spans="1:9" x14ac:dyDescent="0.25">
      <c r="A223" s="14">
        <v>2016</v>
      </c>
      <c r="B223" s="14">
        <v>127</v>
      </c>
      <c r="C223" s="15">
        <v>42496</v>
      </c>
      <c r="D223" s="16" t="e">
        <v>#N/A</v>
      </c>
      <c r="E223" s="14">
        <v>10</v>
      </c>
      <c r="F223" s="14">
        <v>2</v>
      </c>
      <c r="G223" s="17" t="e">
        <v>#N/A</v>
      </c>
      <c r="H223" s="1" t="s">
        <v>143</v>
      </c>
      <c r="I223" s="14"/>
    </row>
    <row r="224" spans="1:9" x14ac:dyDescent="0.25">
      <c r="A224" s="14">
        <v>2016</v>
      </c>
      <c r="B224" s="14">
        <v>127</v>
      </c>
      <c r="C224" s="15">
        <v>42496</v>
      </c>
      <c r="D224" s="16" t="e">
        <v>#N/A</v>
      </c>
      <c r="E224" s="14">
        <v>10</v>
      </c>
      <c r="F224" s="14">
        <v>3</v>
      </c>
      <c r="G224" s="17" t="e">
        <v>#N/A</v>
      </c>
      <c r="H224" s="1" t="s">
        <v>143</v>
      </c>
      <c r="I224" s="14"/>
    </row>
    <row r="225" spans="1:9" x14ac:dyDescent="0.25">
      <c r="A225" s="14">
        <v>2016</v>
      </c>
      <c r="B225" s="14">
        <v>127</v>
      </c>
      <c r="C225" s="15">
        <v>42496</v>
      </c>
      <c r="D225" s="16" t="e">
        <v>#N/A</v>
      </c>
      <c r="E225" s="14">
        <v>10</v>
      </c>
      <c r="F225" s="14">
        <v>4</v>
      </c>
      <c r="G225" s="17" t="e">
        <v>#N/A</v>
      </c>
      <c r="H225" s="1" t="s">
        <v>143</v>
      </c>
      <c r="I225" s="14"/>
    </row>
    <row r="226" spans="1:9" x14ac:dyDescent="0.25">
      <c r="A226" s="14">
        <v>2016</v>
      </c>
      <c r="B226" s="14">
        <v>127</v>
      </c>
      <c r="C226" s="15">
        <v>42496</v>
      </c>
      <c r="D226" s="16">
        <v>0.36805555555555558</v>
      </c>
      <c r="E226" s="14">
        <v>10</v>
      </c>
      <c r="F226" s="14">
        <v>5</v>
      </c>
      <c r="G226" s="17">
        <v>0.27009308005171817</v>
      </c>
      <c r="H226" s="1" t="s">
        <v>0</v>
      </c>
      <c r="I226" s="14"/>
    </row>
    <row r="227" spans="1:9" x14ac:dyDescent="0.25">
      <c r="A227" s="14">
        <v>2016</v>
      </c>
      <c r="B227" s="14">
        <v>127</v>
      </c>
      <c r="C227" s="15">
        <v>42496</v>
      </c>
      <c r="D227" s="16">
        <v>0.36874999999999997</v>
      </c>
      <c r="E227" s="14">
        <v>10</v>
      </c>
      <c r="F227" s="14">
        <v>6</v>
      </c>
      <c r="G227" s="17">
        <v>0.2515446518497052</v>
      </c>
      <c r="H227" s="1" t="s">
        <v>0</v>
      </c>
      <c r="I227" s="14"/>
    </row>
    <row r="228" spans="1:9" x14ac:dyDescent="0.25">
      <c r="A228" s="14">
        <v>2016</v>
      </c>
      <c r="B228" s="14">
        <v>127</v>
      </c>
      <c r="C228" s="15">
        <v>42496</v>
      </c>
      <c r="D228" s="16" t="e">
        <v>#N/A</v>
      </c>
      <c r="E228" s="14">
        <v>10</v>
      </c>
      <c r="F228" s="14">
        <v>7</v>
      </c>
      <c r="G228" s="17" t="e">
        <v>#N/A</v>
      </c>
      <c r="H228" s="1" t="s">
        <v>143</v>
      </c>
      <c r="I228" s="14"/>
    </row>
    <row r="229" spans="1:9" x14ac:dyDescent="0.25">
      <c r="A229" s="14">
        <v>2016</v>
      </c>
      <c r="B229" s="14">
        <v>127</v>
      </c>
      <c r="C229" s="15">
        <v>42496</v>
      </c>
      <c r="D229" s="16" t="e">
        <v>#N/A</v>
      </c>
      <c r="E229" s="14">
        <v>10</v>
      </c>
      <c r="F229" s="14">
        <v>8</v>
      </c>
      <c r="G229" s="17" t="e">
        <v>#N/A</v>
      </c>
      <c r="H229" s="1" t="s">
        <v>143</v>
      </c>
      <c r="I229" s="14"/>
    </row>
    <row r="230" spans="1:9" x14ac:dyDescent="0.25">
      <c r="A230" s="14">
        <v>2016</v>
      </c>
      <c r="B230" s="14">
        <v>127</v>
      </c>
      <c r="C230" s="15">
        <v>42496</v>
      </c>
      <c r="D230" s="16" t="e">
        <v>#N/A</v>
      </c>
      <c r="E230" s="14">
        <v>10</v>
      </c>
      <c r="F230" s="14">
        <v>9</v>
      </c>
      <c r="G230" s="17" t="e">
        <v>#N/A</v>
      </c>
      <c r="H230" s="1" t="s">
        <v>143</v>
      </c>
      <c r="I230" s="14"/>
    </row>
    <row r="231" spans="1:9" x14ac:dyDescent="0.25">
      <c r="A231" s="14">
        <v>2016</v>
      </c>
      <c r="B231" s="14">
        <v>127</v>
      </c>
      <c r="C231" s="15">
        <v>42496</v>
      </c>
      <c r="D231" s="16" t="e">
        <v>#N/A</v>
      </c>
      <c r="E231" s="14">
        <v>10</v>
      </c>
      <c r="F231" s="14">
        <v>10</v>
      </c>
      <c r="G231" s="17" t="e">
        <v>#N/A</v>
      </c>
      <c r="H231" s="1" t="s">
        <v>143</v>
      </c>
      <c r="I231" s="14"/>
    </row>
    <row r="232" spans="1:9" x14ac:dyDescent="0.25">
      <c r="A232" s="14">
        <v>2016</v>
      </c>
      <c r="B232" s="14">
        <v>127</v>
      </c>
      <c r="C232" s="15">
        <v>42496</v>
      </c>
      <c r="D232" s="16" t="e">
        <v>#N/A</v>
      </c>
      <c r="E232" s="14">
        <v>10</v>
      </c>
      <c r="F232" s="14">
        <v>11</v>
      </c>
      <c r="G232" s="17" t="e">
        <v>#N/A</v>
      </c>
      <c r="H232" s="1" t="s">
        <v>144</v>
      </c>
      <c r="I232" s="14"/>
    </row>
    <row r="233" spans="1:9" x14ac:dyDescent="0.25">
      <c r="A233" s="14">
        <v>2016</v>
      </c>
      <c r="B233" s="14">
        <v>127</v>
      </c>
      <c r="C233" s="15">
        <v>42496</v>
      </c>
      <c r="D233" s="16" t="e">
        <v>#N/A</v>
      </c>
      <c r="E233" s="14">
        <v>10</v>
      </c>
      <c r="F233" s="14">
        <v>12</v>
      </c>
      <c r="G233" s="17" t="e">
        <v>#N/A</v>
      </c>
      <c r="H233" s="1" t="s">
        <v>144</v>
      </c>
      <c r="I233" s="14"/>
    </row>
    <row r="234" spans="1:9" x14ac:dyDescent="0.25">
      <c r="A234" s="14">
        <v>2016</v>
      </c>
      <c r="B234" s="14">
        <v>127</v>
      </c>
      <c r="C234" s="15">
        <v>42496</v>
      </c>
      <c r="D234" s="16" t="e">
        <v>#N/A</v>
      </c>
      <c r="E234" s="14">
        <v>10</v>
      </c>
      <c r="F234" s="14">
        <v>13</v>
      </c>
      <c r="G234" s="17" t="e">
        <v>#N/A</v>
      </c>
      <c r="H234" s="1" t="s">
        <v>144</v>
      </c>
      <c r="I234" s="14"/>
    </row>
    <row r="235" spans="1:9" x14ac:dyDescent="0.25">
      <c r="A235" s="14">
        <v>2016</v>
      </c>
      <c r="B235" s="14">
        <v>127</v>
      </c>
      <c r="C235" s="15">
        <v>42496</v>
      </c>
      <c r="D235" s="16" t="e">
        <v>#N/A</v>
      </c>
      <c r="E235" s="14">
        <v>10</v>
      </c>
      <c r="F235" s="14">
        <v>14</v>
      </c>
      <c r="G235" s="17" t="e">
        <v>#N/A</v>
      </c>
      <c r="H235" s="1" t="s">
        <v>144</v>
      </c>
      <c r="I235" s="14"/>
    </row>
    <row r="236" spans="1:9" x14ac:dyDescent="0.25">
      <c r="A236" s="14">
        <v>2016</v>
      </c>
      <c r="B236" s="14">
        <v>127</v>
      </c>
      <c r="C236" s="15">
        <v>42496</v>
      </c>
      <c r="D236" s="16">
        <v>0.34722222222222227</v>
      </c>
      <c r="E236" s="14">
        <v>10</v>
      </c>
      <c r="F236" s="14">
        <v>15</v>
      </c>
      <c r="G236" s="17">
        <v>0.27043834551980117</v>
      </c>
      <c r="H236" s="1" t="s">
        <v>1</v>
      </c>
      <c r="I236" s="14"/>
    </row>
    <row r="237" spans="1:9" x14ac:dyDescent="0.25">
      <c r="A237" s="14">
        <v>2016</v>
      </c>
      <c r="B237" s="14">
        <v>127</v>
      </c>
      <c r="C237" s="15">
        <v>42496</v>
      </c>
      <c r="D237" s="16">
        <v>0.34722222222222227</v>
      </c>
      <c r="E237" s="14">
        <v>10</v>
      </c>
      <c r="F237" s="14">
        <v>16</v>
      </c>
      <c r="G237" s="17">
        <v>0.25275308098799559</v>
      </c>
      <c r="H237" s="1" t="s">
        <v>1</v>
      </c>
      <c r="I237" s="14"/>
    </row>
    <row r="238" spans="1:9" x14ac:dyDescent="0.25">
      <c r="A238" s="14">
        <v>2016</v>
      </c>
      <c r="B238" s="14">
        <v>127</v>
      </c>
      <c r="C238" s="15">
        <v>42496</v>
      </c>
      <c r="D238" s="16" t="e">
        <v>#N/A</v>
      </c>
      <c r="E238" s="14">
        <v>10</v>
      </c>
      <c r="F238" s="14">
        <v>17</v>
      </c>
      <c r="G238" s="17" t="e">
        <v>#N/A</v>
      </c>
      <c r="H238" s="1" t="s">
        <v>144</v>
      </c>
      <c r="I238" s="14"/>
    </row>
    <row r="239" spans="1:9" x14ac:dyDescent="0.25">
      <c r="A239" s="14">
        <v>2016</v>
      </c>
      <c r="B239" s="14">
        <v>127</v>
      </c>
      <c r="C239" s="15">
        <v>42496</v>
      </c>
      <c r="D239" s="16" t="e">
        <v>#N/A</v>
      </c>
      <c r="E239" s="14">
        <v>10</v>
      </c>
      <c r="F239" s="14">
        <v>18</v>
      </c>
      <c r="G239" s="17" t="e">
        <v>#N/A</v>
      </c>
      <c r="H239" s="1" t="s">
        <v>144</v>
      </c>
      <c r="I239" s="14"/>
    </row>
    <row r="240" spans="1:9" x14ac:dyDescent="0.25">
      <c r="A240" s="14">
        <v>2016</v>
      </c>
      <c r="B240" s="14">
        <v>127</v>
      </c>
      <c r="C240" s="15">
        <v>42496</v>
      </c>
      <c r="D240" s="16" t="e">
        <v>#N/A</v>
      </c>
      <c r="E240" s="14">
        <v>10</v>
      </c>
      <c r="F240" s="14">
        <v>19</v>
      </c>
      <c r="G240" s="17" t="e">
        <v>#N/A</v>
      </c>
      <c r="H240" s="1" t="s">
        <v>144</v>
      </c>
      <c r="I240" s="14"/>
    </row>
    <row r="241" spans="1:9" x14ac:dyDescent="0.25">
      <c r="A241" s="14">
        <v>2016</v>
      </c>
      <c r="B241" s="14">
        <v>127</v>
      </c>
      <c r="C241" s="15">
        <v>42496</v>
      </c>
      <c r="D241" s="16" t="e">
        <v>#N/A</v>
      </c>
      <c r="E241" s="14">
        <v>10</v>
      </c>
      <c r="F241" s="14">
        <v>20</v>
      </c>
      <c r="G241" s="17" t="e">
        <v>#N/A</v>
      </c>
      <c r="H241" s="1" t="s">
        <v>144</v>
      </c>
      <c r="I241" s="14"/>
    </row>
    <row r="242" spans="1:9" x14ac:dyDescent="0.25">
      <c r="A242" s="14">
        <v>2016</v>
      </c>
      <c r="B242" s="14">
        <v>146</v>
      </c>
      <c r="C242" s="15">
        <v>42515</v>
      </c>
      <c r="D242" s="16" t="e">
        <v>#N/A</v>
      </c>
      <c r="E242" s="14">
        <v>230</v>
      </c>
      <c r="F242" s="14">
        <v>1</v>
      </c>
      <c r="G242" s="17" t="e">
        <v>#N/A</v>
      </c>
      <c r="H242" s="1" t="s">
        <v>143</v>
      </c>
      <c r="I242" s="14"/>
    </row>
    <row r="243" spans="1:9" x14ac:dyDescent="0.25">
      <c r="A243" s="14">
        <v>2016</v>
      </c>
      <c r="B243" s="14">
        <v>146</v>
      </c>
      <c r="C243" s="15">
        <v>42515</v>
      </c>
      <c r="D243" s="16" t="e">
        <v>#N/A</v>
      </c>
      <c r="E243" s="14">
        <v>230</v>
      </c>
      <c r="F243" s="14">
        <v>2</v>
      </c>
      <c r="G243" s="17" t="e">
        <v>#N/A</v>
      </c>
      <c r="H243" s="1" t="s">
        <v>143</v>
      </c>
      <c r="I243" s="14"/>
    </row>
    <row r="244" spans="1:9" x14ac:dyDescent="0.25">
      <c r="A244" s="14">
        <v>2016</v>
      </c>
      <c r="B244" s="14">
        <v>146</v>
      </c>
      <c r="C244" s="15">
        <v>42515</v>
      </c>
      <c r="D244" s="16" t="e">
        <v>#N/A</v>
      </c>
      <c r="E244" s="14">
        <v>230</v>
      </c>
      <c r="F244" s="14">
        <v>3</v>
      </c>
      <c r="G244" s="17" t="e">
        <v>#N/A</v>
      </c>
      <c r="H244" s="1" t="s">
        <v>143</v>
      </c>
      <c r="I244" s="14"/>
    </row>
    <row r="245" spans="1:9" x14ac:dyDescent="0.25">
      <c r="A245" s="14">
        <v>2016</v>
      </c>
      <c r="B245" s="14">
        <v>146</v>
      </c>
      <c r="C245" s="15">
        <v>42515</v>
      </c>
      <c r="D245" s="16" t="e">
        <v>#N/A</v>
      </c>
      <c r="E245" s="14">
        <v>230</v>
      </c>
      <c r="F245" s="14">
        <v>4</v>
      </c>
      <c r="G245" s="17" t="e">
        <v>#N/A</v>
      </c>
      <c r="H245" s="1" t="s">
        <v>143</v>
      </c>
      <c r="I245" s="14"/>
    </row>
    <row r="246" spans="1:9" x14ac:dyDescent="0.25">
      <c r="A246" s="14">
        <v>2016</v>
      </c>
      <c r="B246" s="14">
        <v>146</v>
      </c>
      <c r="C246" s="15">
        <v>42515</v>
      </c>
      <c r="D246" s="16">
        <v>0.31319444444444444</v>
      </c>
      <c r="E246" s="14">
        <v>230</v>
      </c>
      <c r="F246" s="14">
        <v>5</v>
      </c>
      <c r="G246" s="17" t="e">
        <v>#N/A</v>
      </c>
      <c r="H246" s="1" t="s">
        <v>0</v>
      </c>
      <c r="I246" s="14"/>
    </row>
    <row r="247" spans="1:9" x14ac:dyDescent="0.25">
      <c r="A247" s="14">
        <v>2016</v>
      </c>
      <c r="B247" s="14">
        <v>146</v>
      </c>
      <c r="C247" s="15">
        <v>42515</v>
      </c>
      <c r="D247" s="16">
        <v>0.31319444444444444</v>
      </c>
      <c r="E247" s="14">
        <v>230</v>
      </c>
      <c r="F247" s="14">
        <v>6</v>
      </c>
      <c r="G247" s="17" t="e">
        <v>#N/A</v>
      </c>
      <c r="H247" s="1" t="s">
        <v>0</v>
      </c>
      <c r="I247" s="14"/>
    </row>
    <row r="248" spans="1:9" x14ac:dyDescent="0.25">
      <c r="A248" s="14">
        <v>2016</v>
      </c>
      <c r="B248" s="14">
        <v>146</v>
      </c>
      <c r="C248" s="15">
        <v>42515</v>
      </c>
      <c r="D248" s="16" t="e">
        <v>#N/A</v>
      </c>
      <c r="E248" s="14">
        <v>230</v>
      </c>
      <c r="F248" s="14">
        <v>7</v>
      </c>
      <c r="G248" s="17" t="e">
        <v>#N/A</v>
      </c>
      <c r="H248" s="1" t="s">
        <v>143</v>
      </c>
      <c r="I248" s="14"/>
    </row>
    <row r="249" spans="1:9" x14ac:dyDescent="0.25">
      <c r="A249" s="14">
        <v>2016</v>
      </c>
      <c r="B249" s="14">
        <v>146</v>
      </c>
      <c r="C249" s="15">
        <v>42515</v>
      </c>
      <c r="D249" s="16" t="e">
        <v>#N/A</v>
      </c>
      <c r="E249" s="14">
        <v>230</v>
      </c>
      <c r="F249" s="14">
        <v>8</v>
      </c>
      <c r="G249" s="17" t="e">
        <v>#N/A</v>
      </c>
      <c r="H249" s="1" t="s">
        <v>143</v>
      </c>
      <c r="I249" s="14"/>
    </row>
    <row r="250" spans="1:9" x14ac:dyDescent="0.25">
      <c r="A250" s="14">
        <v>2016</v>
      </c>
      <c r="B250" s="14">
        <v>146</v>
      </c>
      <c r="C250" s="15">
        <v>42515</v>
      </c>
      <c r="D250" s="16" t="e">
        <v>#N/A</v>
      </c>
      <c r="E250" s="14">
        <v>230</v>
      </c>
      <c r="F250" s="14">
        <v>9</v>
      </c>
      <c r="G250" s="17" t="e">
        <v>#N/A</v>
      </c>
      <c r="H250" s="1" t="s">
        <v>143</v>
      </c>
      <c r="I250" s="14"/>
    </row>
    <row r="251" spans="1:9" x14ac:dyDescent="0.25">
      <c r="A251" s="14">
        <v>2016</v>
      </c>
      <c r="B251" s="14">
        <v>146</v>
      </c>
      <c r="C251" s="15">
        <v>42515</v>
      </c>
      <c r="D251" s="16" t="e">
        <v>#N/A</v>
      </c>
      <c r="E251" s="14">
        <v>230</v>
      </c>
      <c r="F251" s="14">
        <v>10</v>
      </c>
      <c r="G251" s="17" t="e">
        <v>#N/A</v>
      </c>
      <c r="H251" s="1" t="s">
        <v>143</v>
      </c>
      <c r="I251" s="14"/>
    </row>
    <row r="252" spans="1:9" x14ac:dyDescent="0.25">
      <c r="A252" s="14">
        <v>2016</v>
      </c>
      <c r="B252" s="14">
        <v>146</v>
      </c>
      <c r="C252" s="15">
        <v>42515</v>
      </c>
      <c r="D252" s="16" t="e">
        <v>#N/A</v>
      </c>
      <c r="E252" s="14">
        <v>230</v>
      </c>
      <c r="F252" s="14">
        <v>11</v>
      </c>
      <c r="G252" s="17" t="e">
        <v>#N/A</v>
      </c>
      <c r="H252" s="1" t="s">
        <v>144</v>
      </c>
      <c r="I252" s="14"/>
    </row>
    <row r="253" spans="1:9" x14ac:dyDescent="0.25">
      <c r="A253" s="14">
        <v>2016</v>
      </c>
      <c r="B253" s="14">
        <v>146</v>
      </c>
      <c r="C253" s="15">
        <v>42515</v>
      </c>
      <c r="D253" s="16" t="e">
        <v>#N/A</v>
      </c>
      <c r="E253" s="14">
        <v>230</v>
      </c>
      <c r="F253" s="14">
        <v>12</v>
      </c>
      <c r="G253" s="17" t="e">
        <v>#N/A</v>
      </c>
      <c r="H253" s="1" t="s">
        <v>144</v>
      </c>
      <c r="I253" s="14"/>
    </row>
    <row r="254" spans="1:9" x14ac:dyDescent="0.25">
      <c r="A254" s="14">
        <v>2016</v>
      </c>
      <c r="B254" s="14">
        <v>146</v>
      </c>
      <c r="C254" s="15">
        <v>42515</v>
      </c>
      <c r="D254" s="16" t="e">
        <v>#N/A</v>
      </c>
      <c r="E254" s="14">
        <v>230</v>
      </c>
      <c r="F254" s="14">
        <v>13</v>
      </c>
      <c r="G254" s="17" t="e">
        <v>#N/A</v>
      </c>
      <c r="H254" s="1" t="s">
        <v>144</v>
      </c>
      <c r="I254" s="14"/>
    </row>
    <row r="255" spans="1:9" x14ac:dyDescent="0.25">
      <c r="A255" s="14">
        <v>2016</v>
      </c>
      <c r="B255" s="14">
        <v>146</v>
      </c>
      <c r="C255" s="15">
        <v>42515</v>
      </c>
      <c r="D255" s="16" t="e">
        <v>#N/A</v>
      </c>
      <c r="E255" s="14">
        <v>230</v>
      </c>
      <c r="F255" s="14">
        <v>14</v>
      </c>
      <c r="G255" s="17" t="e">
        <v>#N/A</v>
      </c>
      <c r="H255" s="1" t="s">
        <v>144</v>
      </c>
      <c r="I255" s="14"/>
    </row>
    <row r="256" spans="1:9" x14ac:dyDescent="0.25">
      <c r="A256" s="14">
        <v>2016</v>
      </c>
      <c r="B256" s="14">
        <v>146</v>
      </c>
      <c r="C256" s="15">
        <v>42515</v>
      </c>
      <c r="D256" s="16">
        <v>0.32847222222222222</v>
      </c>
      <c r="E256" s="14">
        <v>230</v>
      </c>
      <c r="F256" s="14">
        <v>15</v>
      </c>
      <c r="G256" s="17" t="e">
        <v>#N/A</v>
      </c>
      <c r="H256" s="1" t="s">
        <v>1</v>
      </c>
      <c r="I256" s="14"/>
    </row>
    <row r="257" spans="1:9" x14ac:dyDescent="0.25">
      <c r="A257" s="14">
        <v>2016</v>
      </c>
      <c r="B257" s="14">
        <v>146</v>
      </c>
      <c r="C257" s="15">
        <v>42515</v>
      </c>
      <c r="D257" s="16">
        <v>0.33402777777777781</v>
      </c>
      <c r="E257" s="14">
        <v>230</v>
      </c>
      <c r="F257" s="14">
        <v>16</v>
      </c>
      <c r="G257" s="17" t="e">
        <v>#N/A</v>
      </c>
      <c r="H257" s="1" t="s">
        <v>1</v>
      </c>
      <c r="I257" s="14"/>
    </row>
    <row r="258" spans="1:9" x14ac:dyDescent="0.25">
      <c r="A258" s="14">
        <v>2016</v>
      </c>
      <c r="B258" s="14">
        <v>146</v>
      </c>
      <c r="C258" s="15">
        <v>42515</v>
      </c>
      <c r="D258" s="16" t="e">
        <v>#N/A</v>
      </c>
      <c r="E258" s="14">
        <v>230</v>
      </c>
      <c r="F258" s="14">
        <v>17</v>
      </c>
      <c r="G258" s="17" t="e">
        <v>#N/A</v>
      </c>
      <c r="H258" s="1" t="s">
        <v>144</v>
      </c>
      <c r="I258" s="14"/>
    </row>
    <row r="259" spans="1:9" x14ac:dyDescent="0.25">
      <c r="A259" s="14">
        <v>2016</v>
      </c>
      <c r="B259" s="14">
        <v>146</v>
      </c>
      <c r="C259" s="15">
        <v>42515</v>
      </c>
      <c r="D259" s="16" t="e">
        <v>#N/A</v>
      </c>
      <c r="E259" s="14">
        <v>230</v>
      </c>
      <c r="F259" s="14">
        <v>18</v>
      </c>
      <c r="G259" s="17" t="e">
        <v>#N/A</v>
      </c>
      <c r="H259" s="1" t="s">
        <v>144</v>
      </c>
      <c r="I259" s="14"/>
    </row>
    <row r="260" spans="1:9" x14ac:dyDescent="0.25">
      <c r="A260" s="14">
        <v>2016</v>
      </c>
      <c r="B260" s="14">
        <v>146</v>
      </c>
      <c r="C260" s="15">
        <v>42515</v>
      </c>
      <c r="D260" s="16" t="e">
        <v>#N/A</v>
      </c>
      <c r="E260" s="14">
        <v>230</v>
      </c>
      <c r="F260" s="14">
        <v>19</v>
      </c>
      <c r="G260" s="17" t="e">
        <v>#N/A</v>
      </c>
      <c r="H260" s="1" t="s">
        <v>144</v>
      </c>
      <c r="I260" s="14"/>
    </row>
    <row r="261" spans="1:9" x14ac:dyDescent="0.25">
      <c r="A261" s="14">
        <v>2016</v>
      </c>
      <c r="B261" s="14">
        <v>146</v>
      </c>
      <c r="C261" s="15">
        <v>42515</v>
      </c>
      <c r="D261" s="16" t="e">
        <v>#N/A</v>
      </c>
      <c r="E261" s="14">
        <v>230</v>
      </c>
      <c r="F261" s="14">
        <v>20</v>
      </c>
      <c r="G261" s="17" t="e">
        <v>#N/A</v>
      </c>
      <c r="H261" s="1" t="s">
        <v>144</v>
      </c>
      <c r="I261" s="14"/>
    </row>
    <row r="262" spans="1:9" x14ac:dyDescent="0.25">
      <c r="A262" s="14">
        <v>2016</v>
      </c>
      <c r="B262" s="14">
        <v>146</v>
      </c>
      <c r="C262" s="15">
        <v>42515</v>
      </c>
      <c r="D262" s="16" t="e">
        <v>#N/A</v>
      </c>
      <c r="E262" s="14">
        <v>210</v>
      </c>
      <c r="F262" s="14">
        <v>1</v>
      </c>
      <c r="G262" s="17" t="e">
        <v>#N/A</v>
      </c>
      <c r="H262" s="1" t="s">
        <v>143</v>
      </c>
      <c r="I262" s="14"/>
    </row>
    <row r="263" spans="1:9" x14ac:dyDescent="0.25">
      <c r="A263" s="14">
        <v>2016</v>
      </c>
      <c r="B263" s="14">
        <v>146</v>
      </c>
      <c r="C263" s="15">
        <v>42515</v>
      </c>
      <c r="D263" s="16" t="e">
        <v>#N/A</v>
      </c>
      <c r="E263" s="14">
        <v>210</v>
      </c>
      <c r="F263" s="14">
        <v>2</v>
      </c>
      <c r="G263" s="17" t="e">
        <v>#N/A</v>
      </c>
      <c r="H263" s="1" t="s">
        <v>143</v>
      </c>
      <c r="I263" s="14"/>
    </row>
    <row r="264" spans="1:9" x14ac:dyDescent="0.25">
      <c r="A264" s="14">
        <v>2016</v>
      </c>
      <c r="B264" s="14">
        <v>146</v>
      </c>
      <c r="C264" s="15">
        <v>42515</v>
      </c>
      <c r="D264" s="16" t="e">
        <v>#N/A</v>
      </c>
      <c r="E264" s="14">
        <v>210</v>
      </c>
      <c r="F264" s="14">
        <v>3</v>
      </c>
      <c r="G264" s="17" t="e">
        <v>#N/A</v>
      </c>
      <c r="H264" s="1" t="s">
        <v>143</v>
      </c>
      <c r="I264" s="14"/>
    </row>
    <row r="265" spans="1:9" x14ac:dyDescent="0.25">
      <c r="A265" s="14">
        <v>2016</v>
      </c>
      <c r="B265" s="14">
        <v>146</v>
      </c>
      <c r="C265" s="15">
        <v>42515</v>
      </c>
      <c r="D265" s="16" t="e">
        <v>#N/A</v>
      </c>
      <c r="E265" s="14">
        <v>210</v>
      </c>
      <c r="F265" s="14">
        <v>4</v>
      </c>
      <c r="G265" s="17" t="e">
        <v>#N/A</v>
      </c>
      <c r="H265" s="1" t="s">
        <v>143</v>
      </c>
      <c r="I265" s="14"/>
    </row>
    <row r="266" spans="1:9" x14ac:dyDescent="0.25">
      <c r="A266" s="14">
        <v>2016</v>
      </c>
      <c r="B266" s="14">
        <v>146</v>
      </c>
      <c r="C266" s="15">
        <v>42515</v>
      </c>
      <c r="D266" s="16">
        <v>0.31319444444444444</v>
      </c>
      <c r="E266" s="14">
        <v>210</v>
      </c>
      <c r="F266" s="14">
        <v>5</v>
      </c>
      <c r="G266" s="17" t="e">
        <v>#N/A</v>
      </c>
      <c r="H266" s="1" t="s">
        <v>0</v>
      </c>
      <c r="I266" s="14"/>
    </row>
    <row r="267" spans="1:9" x14ac:dyDescent="0.25">
      <c r="A267" s="14">
        <v>2016</v>
      </c>
      <c r="B267" s="14">
        <v>146</v>
      </c>
      <c r="C267" s="15">
        <v>42515</v>
      </c>
      <c r="D267" s="16">
        <v>0.31319444444444444</v>
      </c>
      <c r="E267" s="14">
        <v>210</v>
      </c>
      <c r="F267" s="14">
        <v>6</v>
      </c>
      <c r="G267" s="17" t="e">
        <v>#N/A</v>
      </c>
      <c r="H267" s="1" t="s">
        <v>0</v>
      </c>
      <c r="I267" s="14"/>
    </row>
    <row r="268" spans="1:9" x14ac:dyDescent="0.25">
      <c r="A268" s="14">
        <v>2016</v>
      </c>
      <c r="B268" s="14">
        <v>146</v>
      </c>
      <c r="C268" s="15">
        <v>42515</v>
      </c>
      <c r="D268" s="16" t="e">
        <v>#N/A</v>
      </c>
      <c r="E268" s="14">
        <v>210</v>
      </c>
      <c r="F268" s="14">
        <v>7</v>
      </c>
      <c r="G268" s="17" t="e">
        <v>#N/A</v>
      </c>
      <c r="H268" s="1" t="s">
        <v>143</v>
      </c>
      <c r="I268" s="14"/>
    </row>
    <row r="269" spans="1:9" x14ac:dyDescent="0.25">
      <c r="A269" s="14">
        <v>2016</v>
      </c>
      <c r="B269" s="14">
        <v>146</v>
      </c>
      <c r="C269" s="15">
        <v>42515</v>
      </c>
      <c r="D269" s="16" t="e">
        <v>#N/A</v>
      </c>
      <c r="E269" s="14">
        <v>210</v>
      </c>
      <c r="F269" s="14">
        <v>8</v>
      </c>
      <c r="G269" s="17" t="e">
        <v>#N/A</v>
      </c>
      <c r="H269" s="1" t="s">
        <v>143</v>
      </c>
      <c r="I269" s="14"/>
    </row>
    <row r="270" spans="1:9" x14ac:dyDescent="0.25">
      <c r="A270" s="14">
        <v>2016</v>
      </c>
      <c r="B270" s="14">
        <v>146</v>
      </c>
      <c r="C270" s="15">
        <v>42515</v>
      </c>
      <c r="D270" s="16" t="e">
        <v>#N/A</v>
      </c>
      <c r="E270" s="14">
        <v>210</v>
      </c>
      <c r="F270" s="14">
        <v>9</v>
      </c>
      <c r="G270" s="17" t="e">
        <v>#N/A</v>
      </c>
      <c r="H270" s="1" t="s">
        <v>143</v>
      </c>
      <c r="I270" s="14"/>
    </row>
    <row r="271" spans="1:9" x14ac:dyDescent="0.25">
      <c r="A271" s="14">
        <v>2016</v>
      </c>
      <c r="B271" s="14">
        <v>146</v>
      </c>
      <c r="C271" s="15">
        <v>42515</v>
      </c>
      <c r="D271" s="16" t="e">
        <v>#N/A</v>
      </c>
      <c r="E271" s="14">
        <v>210</v>
      </c>
      <c r="F271" s="14">
        <v>10</v>
      </c>
      <c r="G271" s="17" t="e">
        <v>#N/A</v>
      </c>
      <c r="H271" s="1" t="s">
        <v>143</v>
      </c>
      <c r="I271" s="14"/>
    </row>
    <row r="272" spans="1:9" x14ac:dyDescent="0.25">
      <c r="A272" s="14">
        <v>2016</v>
      </c>
      <c r="B272" s="14">
        <v>146</v>
      </c>
      <c r="C272" s="15">
        <v>42515</v>
      </c>
      <c r="D272" s="16" t="e">
        <v>#N/A</v>
      </c>
      <c r="E272" s="14">
        <v>210</v>
      </c>
      <c r="F272" s="14">
        <v>11</v>
      </c>
      <c r="G272" s="17" t="e">
        <v>#N/A</v>
      </c>
      <c r="H272" s="1" t="s">
        <v>144</v>
      </c>
      <c r="I272" s="14"/>
    </row>
    <row r="273" spans="1:9" x14ac:dyDescent="0.25">
      <c r="A273" s="14">
        <v>2016</v>
      </c>
      <c r="B273" s="14">
        <v>146</v>
      </c>
      <c r="C273" s="15">
        <v>42515</v>
      </c>
      <c r="D273" s="16" t="e">
        <v>#N/A</v>
      </c>
      <c r="E273" s="14">
        <v>210</v>
      </c>
      <c r="F273" s="14">
        <v>12</v>
      </c>
      <c r="G273" s="17" t="e">
        <v>#N/A</v>
      </c>
      <c r="H273" s="1" t="s">
        <v>144</v>
      </c>
      <c r="I273" s="14"/>
    </row>
    <row r="274" spans="1:9" x14ac:dyDescent="0.25">
      <c r="A274" s="14">
        <v>2016</v>
      </c>
      <c r="B274" s="14">
        <v>146</v>
      </c>
      <c r="C274" s="15">
        <v>42515</v>
      </c>
      <c r="D274" s="16" t="e">
        <v>#N/A</v>
      </c>
      <c r="E274" s="14">
        <v>210</v>
      </c>
      <c r="F274" s="14">
        <v>13</v>
      </c>
      <c r="G274" s="17" t="e">
        <v>#N/A</v>
      </c>
      <c r="H274" s="1" t="s">
        <v>144</v>
      </c>
      <c r="I274" s="14"/>
    </row>
    <row r="275" spans="1:9" x14ac:dyDescent="0.25">
      <c r="A275" s="14">
        <v>2016</v>
      </c>
      <c r="B275" s="14">
        <v>146</v>
      </c>
      <c r="C275" s="15">
        <v>42515</v>
      </c>
      <c r="D275" s="16" t="e">
        <v>#N/A</v>
      </c>
      <c r="E275" s="14">
        <v>210</v>
      </c>
      <c r="F275" s="14">
        <v>14</v>
      </c>
      <c r="G275" s="17" t="e">
        <v>#N/A</v>
      </c>
      <c r="H275" s="1" t="s">
        <v>144</v>
      </c>
      <c r="I275" s="14"/>
    </row>
    <row r="276" spans="1:9" x14ac:dyDescent="0.25">
      <c r="A276" s="14">
        <v>2016</v>
      </c>
      <c r="B276" s="14">
        <v>146</v>
      </c>
      <c r="C276" s="15">
        <v>42515</v>
      </c>
      <c r="D276" s="16">
        <v>0.32847222222222222</v>
      </c>
      <c r="E276" s="14">
        <v>210</v>
      </c>
      <c r="F276" s="14">
        <v>15</v>
      </c>
      <c r="G276" s="17" t="e">
        <v>#N/A</v>
      </c>
      <c r="H276" s="1" t="s">
        <v>1</v>
      </c>
      <c r="I276" s="14"/>
    </row>
    <row r="277" spans="1:9" x14ac:dyDescent="0.25">
      <c r="A277" s="14">
        <v>2016</v>
      </c>
      <c r="B277" s="14">
        <v>146</v>
      </c>
      <c r="C277" s="15">
        <v>42515</v>
      </c>
      <c r="D277" s="16">
        <v>0.33402777777777781</v>
      </c>
      <c r="E277" s="14">
        <v>210</v>
      </c>
      <c r="F277" s="14">
        <v>16</v>
      </c>
      <c r="G277" s="17" t="e">
        <v>#N/A</v>
      </c>
      <c r="H277" s="1" t="s">
        <v>1</v>
      </c>
      <c r="I277" s="14"/>
    </row>
    <row r="278" spans="1:9" x14ac:dyDescent="0.25">
      <c r="A278" s="14">
        <v>2016</v>
      </c>
      <c r="B278" s="14">
        <v>146</v>
      </c>
      <c r="C278" s="15">
        <v>42515</v>
      </c>
      <c r="D278" s="16" t="e">
        <v>#N/A</v>
      </c>
      <c r="E278" s="14">
        <v>210</v>
      </c>
      <c r="F278" s="14">
        <v>17</v>
      </c>
      <c r="G278" s="17" t="e">
        <v>#N/A</v>
      </c>
      <c r="H278" s="1" t="s">
        <v>144</v>
      </c>
      <c r="I278" s="14"/>
    </row>
    <row r="279" spans="1:9" x14ac:dyDescent="0.25">
      <c r="A279" s="14">
        <v>2016</v>
      </c>
      <c r="B279" s="14">
        <v>146</v>
      </c>
      <c r="C279" s="15">
        <v>42515</v>
      </c>
      <c r="D279" s="16" t="e">
        <v>#N/A</v>
      </c>
      <c r="E279" s="14">
        <v>210</v>
      </c>
      <c r="F279" s="14">
        <v>18</v>
      </c>
      <c r="G279" s="17" t="e">
        <v>#N/A</v>
      </c>
      <c r="H279" s="1" t="s">
        <v>144</v>
      </c>
      <c r="I279" s="14"/>
    </row>
    <row r="280" spans="1:9" x14ac:dyDescent="0.25">
      <c r="A280" s="14">
        <v>2016</v>
      </c>
      <c r="B280" s="14">
        <v>146</v>
      </c>
      <c r="C280" s="15">
        <v>42515</v>
      </c>
      <c r="D280" s="16" t="e">
        <v>#N/A</v>
      </c>
      <c r="E280" s="14">
        <v>210</v>
      </c>
      <c r="F280" s="14">
        <v>19</v>
      </c>
      <c r="G280" s="17" t="e">
        <v>#N/A</v>
      </c>
      <c r="H280" s="1" t="s">
        <v>144</v>
      </c>
      <c r="I280" s="14"/>
    </row>
    <row r="281" spans="1:9" x14ac:dyDescent="0.25">
      <c r="A281" s="14">
        <v>2016</v>
      </c>
      <c r="B281" s="14">
        <v>146</v>
      </c>
      <c r="C281" s="15">
        <v>42515</v>
      </c>
      <c r="D281" s="16" t="e">
        <v>#N/A</v>
      </c>
      <c r="E281" s="14">
        <v>210</v>
      </c>
      <c r="F281" s="14">
        <v>20</v>
      </c>
      <c r="G281" s="17" t="e">
        <v>#N/A</v>
      </c>
      <c r="H281" s="1" t="s">
        <v>144</v>
      </c>
      <c r="I281" s="14"/>
    </row>
    <row r="282" spans="1:9" x14ac:dyDescent="0.25">
      <c r="A282" s="14">
        <v>2016</v>
      </c>
      <c r="B282" s="14">
        <v>146</v>
      </c>
      <c r="C282" s="15">
        <v>42515</v>
      </c>
      <c r="D282" s="16" t="e">
        <v>#N/A</v>
      </c>
      <c r="E282" s="14">
        <v>190</v>
      </c>
      <c r="F282" s="14">
        <v>1</v>
      </c>
      <c r="G282" s="17" t="e">
        <v>#N/A</v>
      </c>
      <c r="H282" s="1" t="s">
        <v>143</v>
      </c>
      <c r="I282" s="14"/>
    </row>
    <row r="283" spans="1:9" x14ac:dyDescent="0.25">
      <c r="A283" s="14">
        <v>2016</v>
      </c>
      <c r="B283" s="14">
        <v>146</v>
      </c>
      <c r="C283" s="15">
        <v>42515</v>
      </c>
      <c r="D283" s="16" t="e">
        <v>#N/A</v>
      </c>
      <c r="E283" s="14">
        <v>190</v>
      </c>
      <c r="F283" s="14">
        <v>2</v>
      </c>
      <c r="G283" s="17" t="e">
        <v>#N/A</v>
      </c>
      <c r="H283" s="1" t="s">
        <v>143</v>
      </c>
      <c r="I283" s="14"/>
    </row>
    <row r="284" spans="1:9" x14ac:dyDescent="0.25">
      <c r="A284" s="14">
        <v>2016</v>
      </c>
      <c r="B284" s="14">
        <v>146</v>
      </c>
      <c r="C284" s="15">
        <v>42515</v>
      </c>
      <c r="D284" s="16" t="e">
        <v>#N/A</v>
      </c>
      <c r="E284" s="14">
        <v>190</v>
      </c>
      <c r="F284" s="14">
        <v>3</v>
      </c>
      <c r="G284" s="17" t="e">
        <v>#N/A</v>
      </c>
      <c r="H284" s="1" t="s">
        <v>143</v>
      </c>
      <c r="I284" s="14"/>
    </row>
    <row r="285" spans="1:9" x14ac:dyDescent="0.25">
      <c r="A285" s="14">
        <v>2016</v>
      </c>
      <c r="B285" s="14">
        <v>146</v>
      </c>
      <c r="C285" s="15">
        <v>42515</v>
      </c>
      <c r="D285" s="16" t="e">
        <v>#N/A</v>
      </c>
      <c r="E285" s="14">
        <v>190</v>
      </c>
      <c r="F285" s="14">
        <v>4</v>
      </c>
      <c r="G285" s="17" t="e">
        <v>#N/A</v>
      </c>
      <c r="H285" s="1" t="s">
        <v>143</v>
      </c>
      <c r="I285" s="14"/>
    </row>
    <row r="286" spans="1:9" x14ac:dyDescent="0.25">
      <c r="A286" s="14">
        <v>2016</v>
      </c>
      <c r="B286" s="14">
        <v>146</v>
      </c>
      <c r="C286" s="15">
        <v>42515</v>
      </c>
      <c r="D286" s="16">
        <v>0.31319444444444444</v>
      </c>
      <c r="E286" s="14">
        <v>190</v>
      </c>
      <c r="F286" s="14">
        <v>5</v>
      </c>
      <c r="G286" s="17">
        <v>0.324503665314266</v>
      </c>
      <c r="H286" s="1" t="s">
        <v>0</v>
      </c>
      <c r="I286" s="14"/>
    </row>
    <row r="287" spans="1:9" x14ac:dyDescent="0.25">
      <c r="A287" s="14">
        <v>2016</v>
      </c>
      <c r="B287" s="14">
        <v>146</v>
      </c>
      <c r="C287" s="15">
        <v>42515</v>
      </c>
      <c r="D287" s="16">
        <v>0.31319444444444444</v>
      </c>
      <c r="E287" s="14">
        <v>190</v>
      </c>
      <c r="F287" s="14">
        <v>6</v>
      </c>
      <c r="G287" s="17">
        <v>0.33343787313441159</v>
      </c>
      <c r="H287" s="1" t="s">
        <v>0</v>
      </c>
      <c r="I287" s="14"/>
    </row>
    <row r="288" spans="1:9" x14ac:dyDescent="0.25">
      <c r="A288" s="14">
        <v>2016</v>
      </c>
      <c r="B288" s="14">
        <v>146</v>
      </c>
      <c r="C288" s="15">
        <v>42515</v>
      </c>
      <c r="D288" s="16" t="e">
        <v>#N/A</v>
      </c>
      <c r="E288" s="14">
        <v>190</v>
      </c>
      <c r="F288" s="14">
        <v>7</v>
      </c>
      <c r="G288" s="17" t="e">
        <v>#N/A</v>
      </c>
      <c r="H288" s="1" t="s">
        <v>143</v>
      </c>
      <c r="I288" s="14"/>
    </row>
    <row r="289" spans="1:9" x14ac:dyDescent="0.25">
      <c r="A289" s="14">
        <v>2016</v>
      </c>
      <c r="B289" s="14">
        <v>146</v>
      </c>
      <c r="C289" s="15">
        <v>42515</v>
      </c>
      <c r="D289" s="16" t="e">
        <v>#N/A</v>
      </c>
      <c r="E289" s="14">
        <v>190</v>
      </c>
      <c r="F289" s="14">
        <v>8</v>
      </c>
      <c r="G289" s="17" t="e">
        <v>#N/A</v>
      </c>
      <c r="H289" s="1" t="s">
        <v>143</v>
      </c>
      <c r="I289" s="14"/>
    </row>
    <row r="290" spans="1:9" x14ac:dyDescent="0.25">
      <c r="A290" s="14">
        <v>2016</v>
      </c>
      <c r="B290" s="14">
        <v>146</v>
      </c>
      <c r="C290" s="15">
        <v>42515</v>
      </c>
      <c r="D290" s="16" t="e">
        <v>#N/A</v>
      </c>
      <c r="E290" s="14">
        <v>190</v>
      </c>
      <c r="F290" s="14">
        <v>9</v>
      </c>
      <c r="G290" s="17" t="e">
        <v>#N/A</v>
      </c>
      <c r="H290" s="1" t="s">
        <v>143</v>
      </c>
      <c r="I290" s="14"/>
    </row>
    <row r="291" spans="1:9" x14ac:dyDescent="0.25">
      <c r="A291" s="14">
        <v>2016</v>
      </c>
      <c r="B291" s="14">
        <v>146</v>
      </c>
      <c r="C291" s="15">
        <v>42515</v>
      </c>
      <c r="D291" s="16" t="e">
        <v>#N/A</v>
      </c>
      <c r="E291" s="14">
        <v>190</v>
      </c>
      <c r="F291" s="14">
        <v>10</v>
      </c>
      <c r="G291" s="17" t="e">
        <v>#N/A</v>
      </c>
      <c r="H291" s="1" t="s">
        <v>143</v>
      </c>
      <c r="I291" s="14"/>
    </row>
    <row r="292" spans="1:9" x14ac:dyDescent="0.25">
      <c r="A292" s="14">
        <v>2016</v>
      </c>
      <c r="B292" s="14">
        <v>146</v>
      </c>
      <c r="C292" s="15">
        <v>42515</v>
      </c>
      <c r="D292" s="16" t="e">
        <v>#N/A</v>
      </c>
      <c r="E292" s="14">
        <v>190</v>
      </c>
      <c r="F292" s="14">
        <v>11</v>
      </c>
      <c r="G292" s="17" t="e">
        <v>#N/A</v>
      </c>
      <c r="H292" s="1" t="s">
        <v>144</v>
      </c>
      <c r="I292" s="14"/>
    </row>
    <row r="293" spans="1:9" x14ac:dyDescent="0.25">
      <c r="A293" s="14">
        <v>2016</v>
      </c>
      <c r="B293" s="14">
        <v>146</v>
      </c>
      <c r="C293" s="15">
        <v>42515</v>
      </c>
      <c r="D293" s="16" t="e">
        <v>#N/A</v>
      </c>
      <c r="E293" s="14">
        <v>190</v>
      </c>
      <c r="F293" s="14">
        <v>12</v>
      </c>
      <c r="G293" s="17" t="e">
        <v>#N/A</v>
      </c>
      <c r="H293" s="1" t="s">
        <v>144</v>
      </c>
      <c r="I293" s="14"/>
    </row>
    <row r="294" spans="1:9" x14ac:dyDescent="0.25">
      <c r="A294" s="14">
        <v>2016</v>
      </c>
      <c r="B294" s="14">
        <v>146</v>
      </c>
      <c r="C294" s="15">
        <v>42515</v>
      </c>
      <c r="D294" s="16" t="e">
        <v>#N/A</v>
      </c>
      <c r="E294" s="14">
        <v>190</v>
      </c>
      <c r="F294" s="14">
        <v>13</v>
      </c>
      <c r="G294" s="17" t="e">
        <v>#N/A</v>
      </c>
      <c r="H294" s="1" t="s">
        <v>144</v>
      </c>
      <c r="I294" s="14"/>
    </row>
    <row r="295" spans="1:9" x14ac:dyDescent="0.25">
      <c r="A295" s="14">
        <v>2016</v>
      </c>
      <c r="B295" s="14">
        <v>146</v>
      </c>
      <c r="C295" s="15">
        <v>42515</v>
      </c>
      <c r="D295" s="16" t="e">
        <v>#N/A</v>
      </c>
      <c r="E295" s="14">
        <v>190</v>
      </c>
      <c r="F295" s="14">
        <v>14</v>
      </c>
      <c r="G295" s="17" t="e">
        <v>#N/A</v>
      </c>
      <c r="H295" s="1" t="s">
        <v>144</v>
      </c>
      <c r="I295" s="14"/>
    </row>
    <row r="296" spans="1:9" x14ac:dyDescent="0.25">
      <c r="A296" s="14">
        <v>2016</v>
      </c>
      <c r="B296" s="14">
        <v>146</v>
      </c>
      <c r="C296" s="15">
        <v>42515</v>
      </c>
      <c r="D296" s="16">
        <v>0.32847222222222222</v>
      </c>
      <c r="E296" s="14">
        <v>190</v>
      </c>
      <c r="F296" s="14">
        <v>15</v>
      </c>
      <c r="G296" s="17">
        <v>0.32843549533533228</v>
      </c>
      <c r="H296" s="1" t="s">
        <v>1</v>
      </c>
      <c r="I296" s="14"/>
    </row>
    <row r="297" spans="1:9" x14ac:dyDescent="0.25">
      <c r="A297" s="14">
        <v>2016</v>
      </c>
      <c r="B297" s="14">
        <v>146</v>
      </c>
      <c r="C297" s="15">
        <v>42515</v>
      </c>
      <c r="D297" s="16">
        <v>0.33402777777777781</v>
      </c>
      <c r="E297" s="14">
        <v>190</v>
      </c>
      <c r="F297" s="14">
        <v>16</v>
      </c>
      <c r="G297" s="17">
        <v>0.31737965646421529</v>
      </c>
      <c r="H297" s="1" t="s">
        <v>1</v>
      </c>
      <c r="I297" s="14"/>
    </row>
    <row r="298" spans="1:9" x14ac:dyDescent="0.25">
      <c r="A298" s="14">
        <v>2016</v>
      </c>
      <c r="B298" s="14">
        <v>146</v>
      </c>
      <c r="C298" s="15">
        <v>42515</v>
      </c>
      <c r="D298" s="16" t="e">
        <v>#N/A</v>
      </c>
      <c r="E298" s="14">
        <v>190</v>
      </c>
      <c r="F298" s="14">
        <v>17</v>
      </c>
      <c r="G298" s="17" t="e">
        <v>#N/A</v>
      </c>
      <c r="H298" s="1" t="s">
        <v>144</v>
      </c>
      <c r="I298" s="14"/>
    </row>
    <row r="299" spans="1:9" x14ac:dyDescent="0.25">
      <c r="A299" s="14">
        <v>2016</v>
      </c>
      <c r="B299" s="14">
        <v>146</v>
      </c>
      <c r="C299" s="15">
        <v>42515</v>
      </c>
      <c r="D299" s="16" t="e">
        <v>#N/A</v>
      </c>
      <c r="E299" s="14">
        <v>190</v>
      </c>
      <c r="F299" s="14">
        <v>18</v>
      </c>
      <c r="G299" s="17" t="e">
        <v>#N/A</v>
      </c>
      <c r="H299" s="1" t="s">
        <v>144</v>
      </c>
      <c r="I299" s="14"/>
    </row>
    <row r="300" spans="1:9" x14ac:dyDescent="0.25">
      <c r="A300" s="14">
        <v>2016</v>
      </c>
      <c r="B300" s="14">
        <v>146</v>
      </c>
      <c r="C300" s="15">
        <v>42515</v>
      </c>
      <c r="D300" s="16" t="e">
        <v>#N/A</v>
      </c>
      <c r="E300" s="14">
        <v>190</v>
      </c>
      <c r="F300" s="14">
        <v>19</v>
      </c>
      <c r="G300" s="17" t="e">
        <v>#N/A</v>
      </c>
      <c r="H300" s="1" t="s">
        <v>144</v>
      </c>
      <c r="I300" s="14"/>
    </row>
    <row r="301" spans="1:9" x14ac:dyDescent="0.25">
      <c r="A301" s="14">
        <v>2016</v>
      </c>
      <c r="B301" s="14">
        <v>146</v>
      </c>
      <c r="C301" s="15">
        <v>42515</v>
      </c>
      <c r="D301" s="16" t="e">
        <v>#N/A</v>
      </c>
      <c r="E301" s="14">
        <v>190</v>
      </c>
      <c r="F301" s="14">
        <v>20</v>
      </c>
      <c r="G301" s="17" t="e">
        <v>#N/A</v>
      </c>
      <c r="H301" s="1" t="s">
        <v>144</v>
      </c>
      <c r="I301" s="14"/>
    </row>
    <row r="302" spans="1:9" x14ac:dyDescent="0.25">
      <c r="A302" s="14">
        <v>2016</v>
      </c>
      <c r="B302" s="14">
        <v>146</v>
      </c>
      <c r="C302" s="15">
        <v>42515</v>
      </c>
      <c r="D302" s="16" t="e">
        <v>#N/A</v>
      </c>
      <c r="E302" s="14">
        <v>170</v>
      </c>
      <c r="F302" s="14">
        <v>1</v>
      </c>
      <c r="G302" s="17" t="e">
        <v>#N/A</v>
      </c>
      <c r="H302" s="1" t="s">
        <v>143</v>
      </c>
      <c r="I302" s="14"/>
    </row>
    <row r="303" spans="1:9" x14ac:dyDescent="0.25">
      <c r="A303" s="14">
        <v>2016</v>
      </c>
      <c r="B303" s="14">
        <v>146</v>
      </c>
      <c r="C303" s="15">
        <v>42515</v>
      </c>
      <c r="D303" s="16" t="e">
        <v>#N/A</v>
      </c>
      <c r="E303" s="14">
        <v>170</v>
      </c>
      <c r="F303" s="14">
        <v>2</v>
      </c>
      <c r="G303" s="17" t="e">
        <v>#N/A</v>
      </c>
      <c r="H303" s="1" t="s">
        <v>143</v>
      </c>
      <c r="I303" s="14"/>
    </row>
    <row r="304" spans="1:9" x14ac:dyDescent="0.25">
      <c r="A304" s="14">
        <v>2016</v>
      </c>
      <c r="B304" s="14">
        <v>146</v>
      </c>
      <c r="C304" s="15">
        <v>42515</v>
      </c>
      <c r="D304" s="16" t="e">
        <v>#N/A</v>
      </c>
      <c r="E304" s="14">
        <v>170</v>
      </c>
      <c r="F304" s="14">
        <v>3</v>
      </c>
      <c r="G304" s="17" t="e">
        <v>#N/A</v>
      </c>
      <c r="H304" s="1" t="s">
        <v>143</v>
      </c>
      <c r="I304" s="14"/>
    </row>
    <row r="305" spans="1:9" x14ac:dyDescent="0.25">
      <c r="A305" s="14">
        <v>2016</v>
      </c>
      <c r="B305" s="14">
        <v>146</v>
      </c>
      <c r="C305" s="15">
        <v>42515</v>
      </c>
      <c r="D305" s="16" t="e">
        <v>#N/A</v>
      </c>
      <c r="E305" s="14">
        <v>170</v>
      </c>
      <c r="F305" s="14">
        <v>4</v>
      </c>
      <c r="G305" s="17" t="e">
        <v>#N/A</v>
      </c>
      <c r="H305" s="1" t="s">
        <v>143</v>
      </c>
      <c r="I305" s="14"/>
    </row>
    <row r="306" spans="1:9" x14ac:dyDescent="0.25">
      <c r="A306" s="14">
        <v>2016</v>
      </c>
      <c r="B306" s="14">
        <v>146</v>
      </c>
      <c r="C306" s="15">
        <v>42515</v>
      </c>
      <c r="D306" s="16">
        <v>0.31319444444444444</v>
      </c>
      <c r="E306" s="14">
        <v>170</v>
      </c>
      <c r="F306" s="14">
        <v>5</v>
      </c>
      <c r="G306" s="17">
        <v>0.32859121137577052</v>
      </c>
      <c r="H306" s="1" t="s">
        <v>0</v>
      </c>
      <c r="I306" s="14"/>
    </row>
    <row r="307" spans="1:9" x14ac:dyDescent="0.25">
      <c r="A307" s="14">
        <v>2016</v>
      </c>
      <c r="B307" s="14">
        <v>146</v>
      </c>
      <c r="C307" s="15">
        <v>42515</v>
      </c>
      <c r="D307" s="16">
        <v>0.31319444444444444</v>
      </c>
      <c r="E307" s="14">
        <v>170</v>
      </c>
      <c r="F307" s="14">
        <v>6</v>
      </c>
      <c r="G307" s="17">
        <v>0.33608504582186211</v>
      </c>
      <c r="H307" s="1" t="s">
        <v>0</v>
      </c>
      <c r="I307" s="14"/>
    </row>
    <row r="308" spans="1:9" x14ac:dyDescent="0.25">
      <c r="A308" s="14">
        <v>2016</v>
      </c>
      <c r="B308" s="14">
        <v>146</v>
      </c>
      <c r="C308" s="15">
        <v>42515</v>
      </c>
      <c r="D308" s="16" t="e">
        <v>#N/A</v>
      </c>
      <c r="E308" s="14">
        <v>170</v>
      </c>
      <c r="F308" s="14">
        <v>7</v>
      </c>
      <c r="G308" s="17" t="e">
        <v>#N/A</v>
      </c>
      <c r="H308" s="1" t="s">
        <v>143</v>
      </c>
      <c r="I308" s="14"/>
    </row>
    <row r="309" spans="1:9" x14ac:dyDescent="0.25">
      <c r="A309" s="14">
        <v>2016</v>
      </c>
      <c r="B309" s="14">
        <v>146</v>
      </c>
      <c r="C309" s="15">
        <v>42515</v>
      </c>
      <c r="D309" s="16" t="e">
        <v>#N/A</v>
      </c>
      <c r="E309" s="14">
        <v>170</v>
      </c>
      <c r="F309" s="14">
        <v>8</v>
      </c>
      <c r="G309" s="17" t="e">
        <v>#N/A</v>
      </c>
      <c r="H309" s="1" t="s">
        <v>143</v>
      </c>
      <c r="I309" s="14"/>
    </row>
    <row r="310" spans="1:9" x14ac:dyDescent="0.25">
      <c r="A310" s="14">
        <v>2016</v>
      </c>
      <c r="B310" s="14">
        <v>146</v>
      </c>
      <c r="C310" s="15">
        <v>42515</v>
      </c>
      <c r="D310" s="16" t="e">
        <v>#N/A</v>
      </c>
      <c r="E310" s="14">
        <v>170</v>
      </c>
      <c r="F310" s="14">
        <v>9</v>
      </c>
      <c r="G310" s="17" t="e">
        <v>#N/A</v>
      </c>
      <c r="H310" s="1" t="s">
        <v>143</v>
      </c>
      <c r="I310" s="14"/>
    </row>
    <row r="311" spans="1:9" x14ac:dyDescent="0.25">
      <c r="A311" s="14">
        <v>2016</v>
      </c>
      <c r="B311" s="14">
        <v>146</v>
      </c>
      <c r="C311" s="15">
        <v>42515</v>
      </c>
      <c r="D311" s="16" t="e">
        <v>#N/A</v>
      </c>
      <c r="E311" s="14">
        <v>170</v>
      </c>
      <c r="F311" s="14">
        <v>10</v>
      </c>
      <c r="G311" s="17" t="e">
        <v>#N/A</v>
      </c>
      <c r="H311" s="1" t="s">
        <v>143</v>
      </c>
      <c r="I311" s="14"/>
    </row>
    <row r="312" spans="1:9" x14ac:dyDescent="0.25">
      <c r="A312" s="14">
        <v>2016</v>
      </c>
      <c r="B312" s="14">
        <v>146</v>
      </c>
      <c r="C312" s="15">
        <v>42515</v>
      </c>
      <c r="D312" s="16" t="e">
        <v>#N/A</v>
      </c>
      <c r="E312" s="14">
        <v>170</v>
      </c>
      <c r="F312" s="14">
        <v>11</v>
      </c>
      <c r="G312" s="17" t="e">
        <v>#N/A</v>
      </c>
      <c r="H312" s="1" t="s">
        <v>144</v>
      </c>
      <c r="I312" s="14"/>
    </row>
    <row r="313" spans="1:9" x14ac:dyDescent="0.25">
      <c r="A313" s="14">
        <v>2016</v>
      </c>
      <c r="B313" s="14">
        <v>146</v>
      </c>
      <c r="C313" s="15">
        <v>42515</v>
      </c>
      <c r="D313" s="16" t="e">
        <v>#N/A</v>
      </c>
      <c r="E313" s="14">
        <v>170</v>
      </c>
      <c r="F313" s="14">
        <v>12</v>
      </c>
      <c r="G313" s="17" t="e">
        <v>#N/A</v>
      </c>
      <c r="H313" s="1" t="s">
        <v>144</v>
      </c>
      <c r="I313" s="14"/>
    </row>
    <row r="314" spans="1:9" x14ac:dyDescent="0.25">
      <c r="A314" s="14">
        <v>2016</v>
      </c>
      <c r="B314" s="14">
        <v>146</v>
      </c>
      <c r="C314" s="15">
        <v>42515</v>
      </c>
      <c r="D314" s="16" t="e">
        <v>#N/A</v>
      </c>
      <c r="E314" s="14">
        <v>170</v>
      </c>
      <c r="F314" s="14">
        <v>13</v>
      </c>
      <c r="G314" s="17" t="e">
        <v>#N/A</v>
      </c>
      <c r="H314" s="1" t="s">
        <v>144</v>
      </c>
      <c r="I314" s="14"/>
    </row>
    <row r="315" spans="1:9" x14ac:dyDescent="0.25">
      <c r="A315" s="14">
        <v>2016</v>
      </c>
      <c r="B315" s="14">
        <v>146</v>
      </c>
      <c r="C315" s="15">
        <v>42515</v>
      </c>
      <c r="D315" s="16" t="e">
        <v>#N/A</v>
      </c>
      <c r="E315" s="14">
        <v>170</v>
      </c>
      <c r="F315" s="14">
        <v>14</v>
      </c>
      <c r="G315" s="17" t="e">
        <v>#N/A</v>
      </c>
      <c r="H315" s="1" t="s">
        <v>144</v>
      </c>
      <c r="I315" s="14"/>
    </row>
    <row r="316" spans="1:9" x14ac:dyDescent="0.25">
      <c r="A316" s="14">
        <v>2016</v>
      </c>
      <c r="B316" s="14">
        <v>146</v>
      </c>
      <c r="C316" s="15">
        <v>42515</v>
      </c>
      <c r="D316" s="16">
        <v>0.32847222222222222</v>
      </c>
      <c r="E316" s="14">
        <v>170</v>
      </c>
      <c r="F316" s="14">
        <v>15</v>
      </c>
      <c r="G316" s="17">
        <v>0.33633808438757429</v>
      </c>
      <c r="H316" s="1" t="s">
        <v>1</v>
      </c>
      <c r="I316" s="14"/>
    </row>
    <row r="317" spans="1:9" x14ac:dyDescent="0.25">
      <c r="A317" s="14">
        <v>2016</v>
      </c>
      <c r="B317" s="14">
        <v>146</v>
      </c>
      <c r="C317" s="15">
        <v>42515</v>
      </c>
      <c r="D317" s="16">
        <v>0.33402777777777781</v>
      </c>
      <c r="E317" s="14">
        <v>170</v>
      </c>
      <c r="F317" s="14">
        <v>16</v>
      </c>
      <c r="G317" s="17">
        <v>0.32329686600086943</v>
      </c>
      <c r="H317" s="1" t="s">
        <v>1</v>
      </c>
      <c r="I317" s="14"/>
    </row>
    <row r="318" spans="1:9" x14ac:dyDescent="0.25">
      <c r="A318" s="14">
        <v>2016</v>
      </c>
      <c r="B318" s="14">
        <v>146</v>
      </c>
      <c r="C318" s="15">
        <v>42515</v>
      </c>
      <c r="D318" s="16" t="e">
        <v>#N/A</v>
      </c>
      <c r="E318" s="14">
        <v>170</v>
      </c>
      <c r="F318" s="14">
        <v>17</v>
      </c>
      <c r="G318" s="17" t="e">
        <v>#N/A</v>
      </c>
      <c r="H318" s="1" t="s">
        <v>144</v>
      </c>
      <c r="I318" s="14"/>
    </row>
    <row r="319" spans="1:9" x14ac:dyDescent="0.25">
      <c r="A319" s="14">
        <v>2016</v>
      </c>
      <c r="B319" s="14">
        <v>146</v>
      </c>
      <c r="C319" s="15">
        <v>42515</v>
      </c>
      <c r="D319" s="16" t="e">
        <v>#N/A</v>
      </c>
      <c r="E319" s="14">
        <v>170</v>
      </c>
      <c r="F319" s="14">
        <v>18</v>
      </c>
      <c r="G319" s="17" t="e">
        <v>#N/A</v>
      </c>
      <c r="H319" s="1" t="s">
        <v>144</v>
      </c>
      <c r="I319" s="14"/>
    </row>
    <row r="320" spans="1:9" x14ac:dyDescent="0.25">
      <c r="A320" s="14">
        <v>2016</v>
      </c>
      <c r="B320" s="14">
        <v>146</v>
      </c>
      <c r="C320" s="15">
        <v>42515</v>
      </c>
      <c r="D320" s="16" t="e">
        <v>#N/A</v>
      </c>
      <c r="E320" s="14">
        <v>170</v>
      </c>
      <c r="F320" s="14">
        <v>19</v>
      </c>
      <c r="G320" s="17" t="e">
        <v>#N/A</v>
      </c>
      <c r="H320" s="1" t="s">
        <v>144</v>
      </c>
      <c r="I320" s="14"/>
    </row>
    <row r="321" spans="1:9" x14ac:dyDescent="0.25">
      <c r="A321" s="14">
        <v>2016</v>
      </c>
      <c r="B321" s="14">
        <v>146</v>
      </c>
      <c r="C321" s="15">
        <v>42515</v>
      </c>
      <c r="D321" s="16" t="e">
        <v>#N/A</v>
      </c>
      <c r="E321" s="14">
        <v>170</v>
      </c>
      <c r="F321" s="14">
        <v>20</v>
      </c>
      <c r="G321" s="17" t="e">
        <v>#N/A</v>
      </c>
      <c r="H321" s="1" t="s">
        <v>144</v>
      </c>
      <c r="I321" s="14"/>
    </row>
    <row r="322" spans="1:9" x14ac:dyDescent="0.25">
      <c r="A322" s="14">
        <v>2016</v>
      </c>
      <c r="B322" s="14">
        <v>146</v>
      </c>
      <c r="C322" s="15">
        <v>42515</v>
      </c>
      <c r="D322" s="16" t="e">
        <v>#N/A</v>
      </c>
      <c r="E322" s="14">
        <v>150</v>
      </c>
      <c r="F322" s="14">
        <v>1</v>
      </c>
      <c r="G322" s="17" t="e">
        <v>#N/A</v>
      </c>
      <c r="H322" s="1" t="s">
        <v>143</v>
      </c>
      <c r="I322" s="14"/>
    </row>
    <row r="323" spans="1:9" x14ac:dyDescent="0.25">
      <c r="A323" s="14">
        <v>2016</v>
      </c>
      <c r="B323" s="14">
        <v>146</v>
      </c>
      <c r="C323" s="15">
        <v>42515</v>
      </c>
      <c r="D323" s="16" t="e">
        <v>#N/A</v>
      </c>
      <c r="E323" s="14">
        <v>150</v>
      </c>
      <c r="F323" s="14">
        <v>2</v>
      </c>
      <c r="G323" s="17" t="e">
        <v>#N/A</v>
      </c>
      <c r="H323" s="1" t="s">
        <v>143</v>
      </c>
      <c r="I323" s="14"/>
    </row>
    <row r="324" spans="1:9" x14ac:dyDescent="0.25">
      <c r="A324" s="14">
        <v>2016</v>
      </c>
      <c r="B324" s="14">
        <v>146</v>
      </c>
      <c r="C324" s="15">
        <v>42515</v>
      </c>
      <c r="D324" s="16" t="e">
        <v>#N/A</v>
      </c>
      <c r="E324" s="14">
        <v>150</v>
      </c>
      <c r="F324" s="14">
        <v>3</v>
      </c>
      <c r="G324" s="17" t="e">
        <v>#N/A</v>
      </c>
      <c r="H324" s="1" t="s">
        <v>143</v>
      </c>
      <c r="I324" s="14"/>
    </row>
    <row r="325" spans="1:9" x14ac:dyDescent="0.25">
      <c r="A325" s="14">
        <v>2016</v>
      </c>
      <c r="B325" s="14">
        <v>146</v>
      </c>
      <c r="C325" s="15">
        <v>42515</v>
      </c>
      <c r="D325" s="16" t="e">
        <v>#N/A</v>
      </c>
      <c r="E325" s="14">
        <v>150</v>
      </c>
      <c r="F325" s="14">
        <v>4</v>
      </c>
      <c r="G325" s="17" t="e">
        <v>#N/A</v>
      </c>
      <c r="H325" s="1" t="s">
        <v>143</v>
      </c>
      <c r="I325" s="14"/>
    </row>
    <row r="326" spans="1:9" x14ac:dyDescent="0.25">
      <c r="A326" s="14">
        <v>2016</v>
      </c>
      <c r="B326" s="14">
        <v>146</v>
      </c>
      <c r="C326" s="15">
        <v>42515</v>
      </c>
      <c r="D326" s="16">
        <v>0.31319444444444444</v>
      </c>
      <c r="E326" s="14">
        <v>150</v>
      </c>
      <c r="F326" s="14">
        <v>5</v>
      </c>
      <c r="G326" s="17">
        <v>0.35333059730040017</v>
      </c>
      <c r="H326" s="1" t="s">
        <v>0</v>
      </c>
      <c r="I326" s="14"/>
    </row>
    <row r="327" spans="1:9" x14ac:dyDescent="0.25">
      <c r="A327" s="14">
        <v>2016</v>
      </c>
      <c r="B327" s="14">
        <v>146</v>
      </c>
      <c r="C327" s="15">
        <v>42515</v>
      </c>
      <c r="D327" s="16">
        <v>0.31319444444444444</v>
      </c>
      <c r="E327" s="14">
        <v>150</v>
      </c>
      <c r="F327" s="14">
        <v>6</v>
      </c>
      <c r="G327" s="17">
        <v>0.33964705024688752</v>
      </c>
      <c r="H327" s="1" t="s">
        <v>0</v>
      </c>
      <c r="I327" s="14"/>
    </row>
    <row r="328" spans="1:9" x14ac:dyDescent="0.25">
      <c r="A328" s="14">
        <v>2016</v>
      </c>
      <c r="B328" s="14">
        <v>146</v>
      </c>
      <c r="C328" s="15">
        <v>42515</v>
      </c>
      <c r="D328" s="16" t="e">
        <v>#N/A</v>
      </c>
      <c r="E328" s="14">
        <v>150</v>
      </c>
      <c r="F328" s="14">
        <v>7</v>
      </c>
      <c r="G328" s="17" t="e">
        <v>#N/A</v>
      </c>
      <c r="H328" s="1" t="s">
        <v>143</v>
      </c>
      <c r="I328" s="14"/>
    </row>
    <row r="329" spans="1:9" x14ac:dyDescent="0.25">
      <c r="A329" s="14">
        <v>2016</v>
      </c>
      <c r="B329" s="14">
        <v>146</v>
      </c>
      <c r="C329" s="15">
        <v>42515</v>
      </c>
      <c r="D329" s="16" t="e">
        <v>#N/A</v>
      </c>
      <c r="E329" s="14">
        <v>150</v>
      </c>
      <c r="F329" s="14">
        <v>8</v>
      </c>
      <c r="G329" s="17" t="e">
        <v>#N/A</v>
      </c>
      <c r="H329" s="1" t="s">
        <v>143</v>
      </c>
      <c r="I329" s="14"/>
    </row>
    <row r="330" spans="1:9" x14ac:dyDescent="0.25">
      <c r="A330" s="14">
        <v>2016</v>
      </c>
      <c r="B330" s="14">
        <v>146</v>
      </c>
      <c r="C330" s="15">
        <v>42515</v>
      </c>
      <c r="D330" s="16" t="e">
        <v>#N/A</v>
      </c>
      <c r="E330" s="14">
        <v>150</v>
      </c>
      <c r="F330" s="14">
        <v>9</v>
      </c>
      <c r="G330" s="17" t="e">
        <v>#N/A</v>
      </c>
      <c r="H330" s="1" t="s">
        <v>143</v>
      </c>
      <c r="I330" s="14"/>
    </row>
    <row r="331" spans="1:9" x14ac:dyDescent="0.25">
      <c r="A331" s="14">
        <v>2016</v>
      </c>
      <c r="B331" s="14">
        <v>146</v>
      </c>
      <c r="C331" s="15">
        <v>42515</v>
      </c>
      <c r="D331" s="16" t="e">
        <v>#N/A</v>
      </c>
      <c r="E331" s="14">
        <v>150</v>
      </c>
      <c r="F331" s="14">
        <v>10</v>
      </c>
      <c r="G331" s="17" t="e">
        <v>#N/A</v>
      </c>
      <c r="H331" s="1" t="s">
        <v>143</v>
      </c>
      <c r="I331" s="14"/>
    </row>
    <row r="332" spans="1:9" x14ac:dyDescent="0.25">
      <c r="A332" s="14">
        <v>2016</v>
      </c>
      <c r="B332" s="14">
        <v>146</v>
      </c>
      <c r="C332" s="15">
        <v>42515</v>
      </c>
      <c r="D332" s="16" t="e">
        <v>#N/A</v>
      </c>
      <c r="E332" s="14">
        <v>150</v>
      </c>
      <c r="F332" s="14">
        <v>11</v>
      </c>
      <c r="G332" s="17" t="e">
        <v>#N/A</v>
      </c>
      <c r="H332" s="1" t="s">
        <v>144</v>
      </c>
      <c r="I332" s="14"/>
    </row>
    <row r="333" spans="1:9" x14ac:dyDescent="0.25">
      <c r="A333" s="14">
        <v>2016</v>
      </c>
      <c r="B333" s="14">
        <v>146</v>
      </c>
      <c r="C333" s="15">
        <v>42515</v>
      </c>
      <c r="D333" s="16" t="e">
        <v>#N/A</v>
      </c>
      <c r="E333" s="14">
        <v>150</v>
      </c>
      <c r="F333" s="14">
        <v>12</v>
      </c>
      <c r="G333" s="17" t="e">
        <v>#N/A</v>
      </c>
      <c r="H333" s="1" t="s">
        <v>144</v>
      </c>
      <c r="I333" s="14"/>
    </row>
    <row r="334" spans="1:9" x14ac:dyDescent="0.25">
      <c r="A334" s="14">
        <v>2016</v>
      </c>
      <c r="B334" s="14">
        <v>146</v>
      </c>
      <c r="C334" s="15">
        <v>42515</v>
      </c>
      <c r="D334" s="16" t="e">
        <v>#N/A</v>
      </c>
      <c r="E334" s="14">
        <v>150</v>
      </c>
      <c r="F334" s="14">
        <v>13</v>
      </c>
      <c r="G334" s="17" t="e">
        <v>#N/A</v>
      </c>
      <c r="H334" s="1" t="s">
        <v>144</v>
      </c>
      <c r="I334" s="14"/>
    </row>
    <row r="335" spans="1:9" x14ac:dyDescent="0.25">
      <c r="A335" s="14">
        <v>2016</v>
      </c>
      <c r="B335" s="14">
        <v>146</v>
      </c>
      <c r="C335" s="15">
        <v>42515</v>
      </c>
      <c r="D335" s="16" t="e">
        <v>#N/A</v>
      </c>
      <c r="E335" s="14">
        <v>150</v>
      </c>
      <c r="F335" s="14">
        <v>14</v>
      </c>
      <c r="G335" s="17" t="e">
        <v>#N/A</v>
      </c>
      <c r="H335" s="1" t="s">
        <v>144</v>
      </c>
      <c r="I335" s="14"/>
    </row>
    <row r="336" spans="1:9" x14ac:dyDescent="0.25">
      <c r="A336" s="14">
        <v>2016</v>
      </c>
      <c r="B336" s="14">
        <v>146</v>
      </c>
      <c r="C336" s="15">
        <v>42515</v>
      </c>
      <c r="D336" s="16">
        <v>0.32847222222222222</v>
      </c>
      <c r="E336" s="14">
        <v>150</v>
      </c>
      <c r="F336" s="14">
        <v>15</v>
      </c>
      <c r="G336" s="17">
        <v>0.33374930521528812</v>
      </c>
      <c r="H336" s="1" t="s">
        <v>1</v>
      </c>
      <c r="I336" s="14"/>
    </row>
    <row r="337" spans="1:9" x14ac:dyDescent="0.25">
      <c r="A337" s="14">
        <v>2016</v>
      </c>
      <c r="B337" s="14">
        <v>146</v>
      </c>
      <c r="C337" s="15">
        <v>42515</v>
      </c>
      <c r="D337" s="16">
        <v>0.33402777777777781</v>
      </c>
      <c r="E337" s="14">
        <v>150</v>
      </c>
      <c r="F337" s="14">
        <v>16</v>
      </c>
      <c r="G337" s="17">
        <v>0.32049397727298062</v>
      </c>
      <c r="H337" s="1" t="s">
        <v>1</v>
      </c>
      <c r="I337" s="14"/>
    </row>
    <row r="338" spans="1:9" x14ac:dyDescent="0.25">
      <c r="A338" s="14">
        <v>2016</v>
      </c>
      <c r="B338" s="14">
        <v>146</v>
      </c>
      <c r="C338" s="15">
        <v>42515</v>
      </c>
      <c r="D338" s="16" t="e">
        <v>#N/A</v>
      </c>
      <c r="E338" s="14">
        <v>150</v>
      </c>
      <c r="F338" s="14">
        <v>17</v>
      </c>
      <c r="G338" s="17" t="e">
        <v>#N/A</v>
      </c>
      <c r="H338" s="1" t="s">
        <v>144</v>
      </c>
      <c r="I338" s="14"/>
    </row>
    <row r="339" spans="1:9" x14ac:dyDescent="0.25">
      <c r="A339" s="14">
        <v>2016</v>
      </c>
      <c r="B339" s="14">
        <v>146</v>
      </c>
      <c r="C339" s="15">
        <v>42515</v>
      </c>
      <c r="D339" s="16" t="e">
        <v>#N/A</v>
      </c>
      <c r="E339" s="14">
        <v>150</v>
      </c>
      <c r="F339" s="14">
        <v>18</v>
      </c>
      <c r="G339" s="17" t="e">
        <v>#N/A</v>
      </c>
      <c r="H339" s="1" t="s">
        <v>144</v>
      </c>
      <c r="I339" s="14"/>
    </row>
    <row r="340" spans="1:9" x14ac:dyDescent="0.25">
      <c r="A340" s="14">
        <v>2016</v>
      </c>
      <c r="B340" s="14">
        <v>146</v>
      </c>
      <c r="C340" s="15">
        <v>42515</v>
      </c>
      <c r="D340" s="16" t="e">
        <v>#N/A</v>
      </c>
      <c r="E340" s="14">
        <v>150</v>
      </c>
      <c r="F340" s="14">
        <v>19</v>
      </c>
      <c r="G340" s="17" t="e">
        <v>#N/A</v>
      </c>
      <c r="H340" s="1" t="s">
        <v>144</v>
      </c>
      <c r="I340" s="14"/>
    </row>
    <row r="341" spans="1:9" x14ac:dyDescent="0.25">
      <c r="A341" s="14">
        <v>2016</v>
      </c>
      <c r="B341" s="14">
        <v>146</v>
      </c>
      <c r="C341" s="15">
        <v>42515</v>
      </c>
      <c r="D341" s="16" t="e">
        <v>#N/A</v>
      </c>
      <c r="E341" s="14">
        <v>150</v>
      </c>
      <c r="F341" s="14">
        <v>20</v>
      </c>
      <c r="G341" s="17" t="e">
        <v>#N/A</v>
      </c>
      <c r="H341" s="1" t="s">
        <v>144</v>
      </c>
      <c r="I341" s="14"/>
    </row>
    <row r="342" spans="1:9" x14ac:dyDescent="0.25">
      <c r="A342" s="14">
        <v>2016</v>
      </c>
      <c r="B342" s="14">
        <v>146</v>
      </c>
      <c r="C342" s="15">
        <v>42515</v>
      </c>
      <c r="D342" s="16" t="e">
        <v>#N/A</v>
      </c>
      <c r="E342" s="14">
        <v>130</v>
      </c>
      <c r="F342" s="14">
        <v>1</v>
      </c>
      <c r="G342" s="17" t="e">
        <v>#N/A</v>
      </c>
      <c r="H342" s="1" t="s">
        <v>143</v>
      </c>
      <c r="I342" s="14"/>
    </row>
    <row r="343" spans="1:9" x14ac:dyDescent="0.25">
      <c r="A343" s="14">
        <v>2016</v>
      </c>
      <c r="B343" s="14">
        <v>146</v>
      </c>
      <c r="C343" s="15">
        <v>42515</v>
      </c>
      <c r="D343" s="16" t="e">
        <v>#N/A</v>
      </c>
      <c r="E343" s="14">
        <v>130</v>
      </c>
      <c r="F343" s="14">
        <v>2</v>
      </c>
      <c r="G343" s="17" t="e">
        <v>#N/A</v>
      </c>
      <c r="H343" s="1" t="s">
        <v>143</v>
      </c>
      <c r="I343" s="14"/>
    </row>
    <row r="344" spans="1:9" x14ac:dyDescent="0.25">
      <c r="A344" s="14">
        <v>2016</v>
      </c>
      <c r="B344" s="14">
        <v>146</v>
      </c>
      <c r="C344" s="15">
        <v>42515</v>
      </c>
      <c r="D344" s="16" t="e">
        <v>#N/A</v>
      </c>
      <c r="E344" s="14">
        <v>130</v>
      </c>
      <c r="F344" s="14">
        <v>3</v>
      </c>
      <c r="G344" s="17" t="e">
        <v>#N/A</v>
      </c>
      <c r="H344" s="1" t="s">
        <v>143</v>
      </c>
      <c r="I344" s="14"/>
    </row>
    <row r="345" spans="1:9" x14ac:dyDescent="0.25">
      <c r="A345" s="14">
        <v>2016</v>
      </c>
      <c r="B345" s="14">
        <v>146</v>
      </c>
      <c r="C345" s="15">
        <v>42515</v>
      </c>
      <c r="D345" s="16" t="e">
        <v>#N/A</v>
      </c>
      <c r="E345" s="14">
        <v>130</v>
      </c>
      <c r="F345" s="14">
        <v>4</v>
      </c>
      <c r="G345" s="17" t="e">
        <v>#N/A</v>
      </c>
      <c r="H345" s="1" t="s">
        <v>143</v>
      </c>
      <c r="I345" s="14"/>
    </row>
    <row r="346" spans="1:9" x14ac:dyDescent="0.25">
      <c r="A346" s="14">
        <v>2016</v>
      </c>
      <c r="B346" s="14">
        <v>146</v>
      </c>
      <c r="C346" s="15">
        <v>42515</v>
      </c>
      <c r="D346" s="16">
        <v>0.31319444444444444</v>
      </c>
      <c r="E346" s="14">
        <v>130</v>
      </c>
      <c r="F346" s="14">
        <v>5</v>
      </c>
      <c r="G346" s="17">
        <v>0.30879580973505583</v>
      </c>
      <c r="H346" s="1" t="s">
        <v>0</v>
      </c>
      <c r="I346" s="14"/>
    </row>
    <row r="347" spans="1:9" x14ac:dyDescent="0.25">
      <c r="A347" s="14">
        <v>2016</v>
      </c>
      <c r="B347" s="14">
        <v>146</v>
      </c>
      <c r="C347" s="15">
        <v>42515</v>
      </c>
      <c r="D347" s="16">
        <v>0.31319444444444444</v>
      </c>
      <c r="E347" s="14">
        <v>130</v>
      </c>
      <c r="F347" s="14">
        <v>6</v>
      </c>
      <c r="G347" s="17">
        <v>0.30062071761204684</v>
      </c>
      <c r="H347" s="1" t="s">
        <v>0</v>
      </c>
      <c r="I347" s="14"/>
    </row>
    <row r="348" spans="1:9" x14ac:dyDescent="0.25">
      <c r="A348" s="14">
        <v>2016</v>
      </c>
      <c r="B348" s="14">
        <v>146</v>
      </c>
      <c r="C348" s="15">
        <v>42515</v>
      </c>
      <c r="D348" s="16" t="e">
        <v>#N/A</v>
      </c>
      <c r="E348" s="14">
        <v>130</v>
      </c>
      <c r="F348" s="14">
        <v>7</v>
      </c>
      <c r="G348" s="17" t="e">
        <v>#N/A</v>
      </c>
      <c r="H348" s="1" t="s">
        <v>143</v>
      </c>
      <c r="I348" s="14"/>
    </row>
    <row r="349" spans="1:9" x14ac:dyDescent="0.25">
      <c r="A349" s="14">
        <v>2016</v>
      </c>
      <c r="B349" s="14">
        <v>146</v>
      </c>
      <c r="C349" s="15">
        <v>42515</v>
      </c>
      <c r="D349" s="16" t="e">
        <v>#N/A</v>
      </c>
      <c r="E349" s="14">
        <v>130</v>
      </c>
      <c r="F349" s="14">
        <v>8</v>
      </c>
      <c r="G349" s="17" t="e">
        <v>#N/A</v>
      </c>
      <c r="H349" s="1" t="s">
        <v>143</v>
      </c>
      <c r="I349" s="14"/>
    </row>
    <row r="350" spans="1:9" x14ac:dyDescent="0.25">
      <c r="A350" s="14">
        <v>2016</v>
      </c>
      <c r="B350" s="14">
        <v>146</v>
      </c>
      <c r="C350" s="15">
        <v>42515</v>
      </c>
      <c r="D350" s="16" t="e">
        <v>#N/A</v>
      </c>
      <c r="E350" s="14">
        <v>130</v>
      </c>
      <c r="F350" s="14">
        <v>9</v>
      </c>
      <c r="G350" s="17" t="e">
        <v>#N/A</v>
      </c>
      <c r="H350" s="1" t="s">
        <v>143</v>
      </c>
      <c r="I350" s="14"/>
    </row>
    <row r="351" spans="1:9" x14ac:dyDescent="0.25">
      <c r="A351" s="14">
        <v>2016</v>
      </c>
      <c r="B351" s="14">
        <v>146</v>
      </c>
      <c r="C351" s="15">
        <v>42515</v>
      </c>
      <c r="D351" s="16" t="e">
        <v>#N/A</v>
      </c>
      <c r="E351" s="14">
        <v>130</v>
      </c>
      <c r="F351" s="14">
        <v>10</v>
      </c>
      <c r="G351" s="17" t="e">
        <v>#N/A</v>
      </c>
      <c r="H351" s="1" t="s">
        <v>143</v>
      </c>
      <c r="I351" s="14"/>
    </row>
    <row r="352" spans="1:9" x14ac:dyDescent="0.25">
      <c r="A352" s="14">
        <v>2016</v>
      </c>
      <c r="B352" s="14">
        <v>146</v>
      </c>
      <c r="C352" s="15">
        <v>42515</v>
      </c>
      <c r="D352" s="16" t="e">
        <v>#N/A</v>
      </c>
      <c r="E352" s="14">
        <v>130</v>
      </c>
      <c r="F352" s="14">
        <v>11</v>
      </c>
      <c r="G352" s="17" t="e">
        <v>#N/A</v>
      </c>
      <c r="H352" s="1" t="s">
        <v>144</v>
      </c>
      <c r="I352" s="14"/>
    </row>
    <row r="353" spans="1:9" x14ac:dyDescent="0.25">
      <c r="A353" s="14">
        <v>2016</v>
      </c>
      <c r="B353" s="14">
        <v>146</v>
      </c>
      <c r="C353" s="15">
        <v>42515</v>
      </c>
      <c r="D353" s="16" t="e">
        <v>#N/A</v>
      </c>
      <c r="E353" s="14">
        <v>130</v>
      </c>
      <c r="F353" s="14">
        <v>12</v>
      </c>
      <c r="G353" s="17" t="e">
        <v>#N/A</v>
      </c>
      <c r="H353" s="1" t="s">
        <v>144</v>
      </c>
      <c r="I353" s="14"/>
    </row>
    <row r="354" spans="1:9" x14ac:dyDescent="0.25">
      <c r="A354" s="14">
        <v>2016</v>
      </c>
      <c r="B354" s="14">
        <v>146</v>
      </c>
      <c r="C354" s="15">
        <v>42515</v>
      </c>
      <c r="D354" s="16" t="e">
        <v>#N/A</v>
      </c>
      <c r="E354" s="14">
        <v>130</v>
      </c>
      <c r="F354" s="14">
        <v>13</v>
      </c>
      <c r="G354" s="17" t="e">
        <v>#N/A</v>
      </c>
      <c r="H354" s="1" t="s">
        <v>144</v>
      </c>
      <c r="I354" s="14"/>
    </row>
    <row r="355" spans="1:9" x14ac:dyDescent="0.25">
      <c r="A355" s="14">
        <v>2016</v>
      </c>
      <c r="B355" s="14">
        <v>146</v>
      </c>
      <c r="C355" s="15">
        <v>42515</v>
      </c>
      <c r="D355" s="16" t="e">
        <v>#N/A</v>
      </c>
      <c r="E355" s="14">
        <v>130</v>
      </c>
      <c r="F355" s="14">
        <v>14</v>
      </c>
      <c r="G355" s="17" t="e">
        <v>#N/A</v>
      </c>
      <c r="H355" s="1" t="s">
        <v>144</v>
      </c>
      <c r="I355" s="14"/>
    </row>
    <row r="356" spans="1:9" x14ac:dyDescent="0.25">
      <c r="A356" s="14">
        <v>2016</v>
      </c>
      <c r="B356" s="14">
        <v>146</v>
      </c>
      <c r="C356" s="15">
        <v>42515</v>
      </c>
      <c r="D356" s="16">
        <v>0.32847222222222222</v>
      </c>
      <c r="E356" s="14">
        <v>130</v>
      </c>
      <c r="F356" s="14">
        <v>15</v>
      </c>
      <c r="G356" s="17">
        <v>0.30034821454127986</v>
      </c>
      <c r="H356" s="1" t="s">
        <v>1</v>
      </c>
      <c r="I356" s="14"/>
    </row>
    <row r="357" spans="1:9" x14ac:dyDescent="0.25">
      <c r="A357" s="14">
        <v>2016</v>
      </c>
      <c r="B357" s="14">
        <v>146</v>
      </c>
      <c r="C357" s="15">
        <v>42515</v>
      </c>
      <c r="D357" s="16">
        <v>0.33402777777777781</v>
      </c>
      <c r="E357" s="14">
        <v>130</v>
      </c>
      <c r="F357" s="14">
        <v>16</v>
      </c>
      <c r="G357" s="17">
        <v>0.28919505314488897</v>
      </c>
      <c r="H357" s="1" t="s">
        <v>1</v>
      </c>
      <c r="I357" s="14"/>
    </row>
    <row r="358" spans="1:9" x14ac:dyDescent="0.25">
      <c r="A358" s="14">
        <v>2016</v>
      </c>
      <c r="B358" s="14">
        <v>146</v>
      </c>
      <c r="C358" s="15">
        <v>42515</v>
      </c>
      <c r="D358" s="16" t="e">
        <v>#N/A</v>
      </c>
      <c r="E358" s="14">
        <v>130</v>
      </c>
      <c r="F358" s="14">
        <v>17</v>
      </c>
      <c r="G358" s="17" t="e">
        <v>#N/A</v>
      </c>
      <c r="H358" s="1" t="s">
        <v>144</v>
      </c>
      <c r="I358" s="14"/>
    </row>
    <row r="359" spans="1:9" x14ac:dyDescent="0.25">
      <c r="A359" s="14">
        <v>2016</v>
      </c>
      <c r="B359" s="14">
        <v>146</v>
      </c>
      <c r="C359" s="15">
        <v>42515</v>
      </c>
      <c r="D359" s="16" t="e">
        <v>#N/A</v>
      </c>
      <c r="E359" s="14">
        <v>130</v>
      </c>
      <c r="F359" s="14">
        <v>18</v>
      </c>
      <c r="G359" s="17" t="e">
        <v>#N/A</v>
      </c>
      <c r="H359" s="1" t="s">
        <v>144</v>
      </c>
      <c r="I359" s="14"/>
    </row>
    <row r="360" spans="1:9" x14ac:dyDescent="0.25">
      <c r="A360" s="14">
        <v>2016</v>
      </c>
      <c r="B360" s="14">
        <v>146</v>
      </c>
      <c r="C360" s="15">
        <v>42515</v>
      </c>
      <c r="D360" s="16" t="e">
        <v>#N/A</v>
      </c>
      <c r="E360" s="14">
        <v>130</v>
      </c>
      <c r="F360" s="14">
        <v>19</v>
      </c>
      <c r="G360" s="17" t="e">
        <v>#N/A</v>
      </c>
      <c r="H360" s="1" t="s">
        <v>144</v>
      </c>
      <c r="I360" s="14"/>
    </row>
    <row r="361" spans="1:9" x14ac:dyDescent="0.25">
      <c r="A361" s="14">
        <v>2016</v>
      </c>
      <c r="B361" s="14">
        <v>146</v>
      </c>
      <c r="C361" s="15">
        <v>42515</v>
      </c>
      <c r="D361" s="16" t="e">
        <v>#N/A</v>
      </c>
      <c r="E361" s="14">
        <v>130</v>
      </c>
      <c r="F361" s="14">
        <v>20</v>
      </c>
      <c r="G361" s="17" t="e">
        <v>#N/A</v>
      </c>
      <c r="H361" s="1" t="s">
        <v>144</v>
      </c>
      <c r="I361" s="14"/>
    </row>
    <row r="362" spans="1:9" x14ac:dyDescent="0.25">
      <c r="A362" s="14">
        <v>2016</v>
      </c>
      <c r="B362" s="14">
        <v>146</v>
      </c>
      <c r="C362" s="15">
        <v>42515</v>
      </c>
      <c r="D362" s="16" t="e">
        <v>#N/A</v>
      </c>
      <c r="E362" s="14">
        <v>110</v>
      </c>
      <c r="F362" s="14">
        <v>1</v>
      </c>
      <c r="G362" s="17" t="e">
        <v>#N/A</v>
      </c>
      <c r="H362" s="1" t="s">
        <v>143</v>
      </c>
      <c r="I362" s="14"/>
    </row>
    <row r="363" spans="1:9" x14ac:dyDescent="0.25">
      <c r="A363" s="14">
        <v>2016</v>
      </c>
      <c r="B363" s="14">
        <v>146</v>
      </c>
      <c r="C363" s="15">
        <v>42515</v>
      </c>
      <c r="D363" s="16" t="e">
        <v>#N/A</v>
      </c>
      <c r="E363" s="14">
        <v>110</v>
      </c>
      <c r="F363" s="14">
        <v>2</v>
      </c>
      <c r="G363" s="17" t="e">
        <v>#N/A</v>
      </c>
      <c r="H363" s="1" t="s">
        <v>143</v>
      </c>
      <c r="I363" s="14"/>
    </row>
    <row r="364" spans="1:9" x14ac:dyDescent="0.25">
      <c r="A364" s="14">
        <v>2016</v>
      </c>
      <c r="B364" s="14">
        <v>146</v>
      </c>
      <c r="C364" s="15">
        <v>42515</v>
      </c>
      <c r="D364" s="16" t="e">
        <v>#N/A</v>
      </c>
      <c r="E364" s="14">
        <v>110</v>
      </c>
      <c r="F364" s="14">
        <v>3</v>
      </c>
      <c r="G364" s="17" t="e">
        <v>#N/A</v>
      </c>
      <c r="H364" s="1" t="s">
        <v>143</v>
      </c>
      <c r="I364" s="14"/>
    </row>
    <row r="365" spans="1:9" x14ac:dyDescent="0.25">
      <c r="A365" s="14">
        <v>2016</v>
      </c>
      <c r="B365" s="14">
        <v>146</v>
      </c>
      <c r="C365" s="15">
        <v>42515</v>
      </c>
      <c r="D365" s="16" t="e">
        <v>#N/A</v>
      </c>
      <c r="E365" s="14">
        <v>110</v>
      </c>
      <c r="F365" s="14">
        <v>4</v>
      </c>
      <c r="G365" s="17" t="e">
        <v>#N/A</v>
      </c>
      <c r="H365" s="1" t="s">
        <v>143</v>
      </c>
      <c r="I365" s="14"/>
    </row>
    <row r="366" spans="1:9" x14ac:dyDescent="0.25">
      <c r="A366" s="14">
        <v>2016</v>
      </c>
      <c r="B366" s="14">
        <v>146</v>
      </c>
      <c r="C366" s="15">
        <v>42515</v>
      </c>
      <c r="D366" s="16">
        <v>0.31319444444444444</v>
      </c>
      <c r="E366" s="14">
        <v>110</v>
      </c>
      <c r="F366" s="14">
        <v>5</v>
      </c>
      <c r="G366" s="17">
        <v>0.33576632290424335</v>
      </c>
      <c r="H366" s="1" t="s">
        <v>0</v>
      </c>
      <c r="I366" s="14"/>
    </row>
    <row r="367" spans="1:9" x14ac:dyDescent="0.25">
      <c r="A367" s="14">
        <v>2016</v>
      </c>
      <c r="B367" s="14">
        <v>146</v>
      </c>
      <c r="C367" s="15">
        <v>42515</v>
      </c>
      <c r="D367" s="16">
        <v>0.31319444444444444</v>
      </c>
      <c r="E367" s="14">
        <v>110</v>
      </c>
      <c r="F367" s="14">
        <v>6</v>
      </c>
      <c r="G367" s="17">
        <v>0.33343069605537412</v>
      </c>
      <c r="H367" s="1" t="s">
        <v>0</v>
      </c>
      <c r="I367" s="14"/>
    </row>
    <row r="368" spans="1:9" x14ac:dyDescent="0.25">
      <c r="A368" s="14">
        <v>2016</v>
      </c>
      <c r="B368" s="14">
        <v>146</v>
      </c>
      <c r="C368" s="15">
        <v>42515</v>
      </c>
      <c r="D368" s="16" t="e">
        <v>#N/A</v>
      </c>
      <c r="E368" s="14">
        <v>110</v>
      </c>
      <c r="F368" s="14">
        <v>7</v>
      </c>
      <c r="G368" s="17" t="e">
        <v>#N/A</v>
      </c>
      <c r="H368" s="1" t="s">
        <v>143</v>
      </c>
      <c r="I368" s="14"/>
    </row>
    <row r="369" spans="1:9" x14ac:dyDescent="0.25">
      <c r="A369" s="14">
        <v>2016</v>
      </c>
      <c r="B369" s="14">
        <v>146</v>
      </c>
      <c r="C369" s="15">
        <v>42515</v>
      </c>
      <c r="D369" s="16" t="e">
        <v>#N/A</v>
      </c>
      <c r="E369" s="14">
        <v>110</v>
      </c>
      <c r="F369" s="14">
        <v>8</v>
      </c>
      <c r="G369" s="17" t="e">
        <v>#N/A</v>
      </c>
      <c r="H369" s="1" t="s">
        <v>143</v>
      </c>
      <c r="I369" s="14"/>
    </row>
    <row r="370" spans="1:9" x14ac:dyDescent="0.25">
      <c r="A370" s="14">
        <v>2016</v>
      </c>
      <c r="B370" s="14">
        <v>146</v>
      </c>
      <c r="C370" s="15">
        <v>42515</v>
      </c>
      <c r="D370" s="16" t="e">
        <v>#N/A</v>
      </c>
      <c r="E370" s="14">
        <v>110</v>
      </c>
      <c r="F370" s="14">
        <v>9</v>
      </c>
      <c r="G370" s="17" t="e">
        <v>#N/A</v>
      </c>
      <c r="H370" s="1" t="s">
        <v>143</v>
      </c>
      <c r="I370" s="14"/>
    </row>
    <row r="371" spans="1:9" x14ac:dyDescent="0.25">
      <c r="A371" s="14">
        <v>2016</v>
      </c>
      <c r="B371" s="14">
        <v>146</v>
      </c>
      <c r="C371" s="15">
        <v>42515</v>
      </c>
      <c r="D371" s="16" t="e">
        <v>#N/A</v>
      </c>
      <c r="E371" s="14">
        <v>110</v>
      </c>
      <c r="F371" s="14">
        <v>10</v>
      </c>
      <c r="G371" s="17" t="e">
        <v>#N/A</v>
      </c>
      <c r="H371" s="1" t="s">
        <v>143</v>
      </c>
      <c r="I371" s="14"/>
    </row>
    <row r="372" spans="1:9" x14ac:dyDescent="0.25">
      <c r="A372" s="14">
        <v>2016</v>
      </c>
      <c r="B372" s="14">
        <v>146</v>
      </c>
      <c r="C372" s="15">
        <v>42515</v>
      </c>
      <c r="D372" s="16" t="e">
        <v>#N/A</v>
      </c>
      <c r="E372" s="14">
        <v>110</v>
      </c>
      <c r="F372" s="14">
        <v>11</v>
      </c>
      <c r="G372" s="17" t="e">
        <v>#N/A</v>
      </c>
      <c r="H372" s="1" t="s">
        <v>144</v>
      </c>
      <c r="I372" s="14"/>
    </row>
    <row r="373" spans="1:9" x14ac:dyDescent="0.25">
      <c r="A373" s="14">
        <v>2016</v>
      </c>
      <c r="B373" s="14">
        <v>146</v>
      </c>
      <c r="C373" s="15">
        <v>42515</v>
      </c>
      <c r="D373" s="16" t="e">
        <v>#N/A</v>
      </c>
      <c r="E373" s="14">
        <v>110</v>
      </c>
      <c r="F373" s="14">
        <v>12</v>
      </c>
      <c r="G373" s="17" t="e">
        <v>#N/A</v>
      </c>
      <c r="H373" s="1" t="s">
        <v>144</v>
      </c>
      <c r="I373" s="14"/>
    </row>
    <row r="374" spans="1:9" x14ac:dyDescent="0.25">
      <c r="A374" s="14">
        <v>2016</v>
      </c>
      <c r="B374" s="14">
        <v>146</v>
      </c>
      <c r="C374" s="15">
        <v>42515</v>
      </c>
      <c r="D374" s="16" t="e">
        <v>#N/A</v>
      </c>
      <c r="E374" s="14">
        <v>110</v>
      </c>
      <c r="F374" s="14">
        <v>13</v>
      </c>
      <c r="G374" s="17" t="e">
        <v>#N/A</v>
      </c>
      <c r="H374" s="1" t="s">
        <v>144</v>
      </c>
      <c r="I374" s="14"/>
    </row>
    <row r="375" spans="1:9" x14ac:dyDescent="0.25">
      <c r="A375" s="14">
        <v>2016</v>
      </c>
      <c r="B375" s="14">
        <v>146</v>
      </c>
      <c r="C375" s="15">
        <v>42515</v>
      </c>
      <c r="D375" s="16" t="e">
        <v>#N/A</v>
      </c>
      <c r="E375" s="14">
        <v>110</v>
      </c>
      <c r="F375" s="14">
        <v>14</v>
      </c>
      <c r="G375" s="17" t="e">
        <v>#N/A</v>
      </c>
      <c r="H375" s="1" t="s">
        <v>144</v>
      </c>
      <c r="I375" s="14"/>
    </row>
    <row r="376" spans="1:9" x14ac:dyDescent="0.25">
      <c r="A376" s="14">
        <v>2016</v>
      </c>
      <c r="B376" s="14">
        <v>146</v>
      </c>
      <c r="C376" s="15">
        <v>42515</v>
      </c>
      <c r="D376" s="16">
        <v>0.32847222222222222</v>
      </c>
      <c r="E376" s="14">
        <v>110</v>
      </c>
      <c r="F376" s="14">
        <v>15</v>
      </c>
      <c r="G376" s="17">
        <v>0.32365312091353926</v>
      </c>
      <c r="H376" s="1" t="s">
        <v>1</v>
      </c>
      <c r="I376" s="14"/>
    </row>
    <row r="377" spans="1:9" x14ac:dyDescent="0.25">
      <c r="A377" s="14">
        <v>2016</v>
      </c>
      <c r="B377" s="14">
        <v>146</v>
      </c>
      <c r="C377" s="15">
        <v>42515</v>
      </c>
      <c r="D377" s="16">
        <v>0.33402777777777781</v>
      </c>
      <c r="E377" s="14">
        <v>110</v>
      </c>
      <c r="F377" s="14">
        <v>16</v>
      </c>
      <c r="G377" s="17">
        <v>0.33033942522598836</v>
      </c>
      <c r="H377" s="1" t="s">
        <v>1</v>
      </c>
      <c r="I377" s="14"/>
    </row>
    <row r="378" spans="1:9" x14ac:dyDescent="0.25">
      <c r="A378" s="14">
        <v>2016</v>
      </c>
      <c r="B378" s="14">
        <v>146</v>
      </c>
      <c r="C378" s="15">
        <v>42515</v>
      </c>
      <c r="D378" s="16" t="e">
        <v>#N/A</v>
      </c>
      <c r="E378" s="14">
        <v>110</v>
      </c>
      <c r="F378" s="14">
        <v>17</v>
      </c>
      <c r="G378" s="17" t="e">
        <v>#N/A</v>
      </c>
      <c r="H378" s="1" t="s">
        <v>144</v>
      </c>
      <c r="I378" s="14"/>
    </row>
    <row r="379" spans="1:9" x14ac:dyDescent="0.25">
      <c r="A379" s="14">
        <v>2016</v>
      </c>
      <c r="B379" s="14">
        <v>146</v>
      </c>
      <c r="C379" s="15">
        <v>42515</v>
      </c>
      <c r="D379" s="16" t="e">
        <v>#N/A</v>
      </c>
      <c r="E379" s="14">
        <v>110</v>
      </c>
      <c r="F379" s="14">
        <v>18</v>
      </c>
      <c r="G379" s="17" t="e">
        <v>#N/A</v>
      </c>
      <c r="H379" s="1" t="s">
        <v>144</v>
      </c>
      <c r="I379" s="14"/>
    </row>
    <row r="380" spans="1:9" x14ac:dyDescent="0.25">
      <c r="A380" s="14">
        <v>2016</v>
      </c>
      <c r="B380" s="14">
        <v>146</v>
      </c>
      <c r="C380" s="15">
        <v>42515</v>
      </c>
      <c r="D380" s="16" t="e">
        <v>#N/A</v>
      </c>
      <c r="E380" s="14">
        <v>110</v>
      </c>
      <c r="F380" s="14">
        <v>19</v>
      </c>
      <c r="G380" s="17" t="e">
        <v>#N/A</v>
      </c>
      <c r="H380" s="1" t="s">
        <v>144</v>
      </c>
      <c r="I380" s="14"/>
    </row>
    <row r="381" spans="1:9" x14ac:dyDescent="0.25">
      <c r="A381" s="14">
        <v>2016</v>
      </c>
      <c r="B381" s="14">
        <v>146</v>
      </c>
      <c r="C381" s="15">
        <v>42515</v>
      </c>
      <c r="D381" s="16" t="e">
        <v>#N/A</v>
      </c>
      <c r="E381" s="14">
        <v>110</v>
      </c>
      <c r="F381" s="14">
        <v>20</v>
      </c>
      <c r="G381" s="17" t="e">
        <v>#N/A</v>
      </c>
      <c r="H381" s="1" t="s">
        <v>144</v>
      </c>
      <c r="I381" s="14"/>
    </row>
    <row r="382" spans="1:9" x14ac:dyDescent="0.25">
      <c r="A382" s="14">
        <v>2016</v>
      </c>
      <c r="B382" s="14">
        <v>146</v>
      </c>
      <c r="C382" s="15">
        <v>42515</v>
      </c>
      <c r="D382" s="16" t="e">
        <v>#N/A</v>
      </c>
      <c r="E382" s="14">
        <v>90</v>
      </c>
      <c r="F382" s="14">
        <v>1</v>
      </c>
      <c r="G382" s="17" t="e">
        <v>#N/A</v>
      </c>
      <c r="H382" s="1" t="s">
        <v>143</v>
      </c>
      <c r="I382" s="14"/>
    </row>
    <row r="383" spans="1:9" x14ac:dyDescent="0.25">
      <c r="A383" s="14">
        <v>2016</v>
      </c>
      <c r="B383" s="14">
        <v>146</v>
      </c>
      <c r="C383" s="15">
        <v>42515</v>
      </c>
      <c r="D383" s="16" t="e">
        <v>#N/A</v>
      </c>
      <c r="E383" s="14">
        <v>90</v>
      </c>
      <c r="F383" s="14">
        <v>2</v>
      </c>
      <c r="G383" s="17" t="e">
        <v>#N/A</v>
      </c>
      <c r="H383" s="1" t="s">
        <v>143</v>
      </c>
      <c r="I383" s="14"/>
    </row>
    <row r="384" spans="1:9" x14ac:dyDescent="0.25">
      <c r="A384" s="14">
        <v>2016</v>
      </c>
      <c r="B384" s="14">
        <v>146</v>
      </c>
      <c r="C384" s="15">
        <v>42515</v>
      </c>
      <c r="D384" s="16" t="e">
        <v>#N/A</v>
      </c>
      <c r="E384" s="14">
        <v>90</v>
      </c>
      <c r="F384" s="14">
        <v>3</v>
      </c>
      <c r="G384" s="17" t="e">
        <v>#N/A</v>
      </c>
      <c r="H384" s="1" t="s">
        <v>143</v>
      </c>
      <c r="I384" s="14"/>
    </row>
    <row r="385" spans="1:9" x14ac:dyDescent="0.25">
      <c r="A385" s="14">
        <v>2016</v>
      </c>
      <c r="B385" s="14">
        <v>146</v>
      </c>
      <c r="C385" s="15">
        <v>42515</v>
      </c>
      <c r="D385" s="16" t="e">
        <v>#N/A</v>
      </c>
      <c r="E385" s="14">
        <v>90</v>
      </c>
      <c r="F385" s="14">
        <v>4</v>
      </c>
      <c r="G385" s="17" t="e">
        <v>#N/A</v>
      </c>
      <c r="H385" s="1" t="s">
        <v>143</v>
      </c>
      <c r="I385" s="14"/>
    </row>
    <row r="386" spans="1:9" x14ac:dyDescent="0.25">
      <c r="A386" s="14">
        <v>2016</v>
      </c>
      <c r="B386" s="14">
        <v>146</v>
      </c>
      <c r="C386" s="15">
        <v>42515</v>
      </c>
      <c r="D386" s="16">
        <v>0.31319444444444444</v>
      </c>
      <c r="E386" s="14">
        <v>90</v>
      </c>
      <c r="F386" s="14">
        <v>5</v>
      </c>
      <c r="G386" s="17">
        <v>0.32736264590880215</v>
      </c>
      <c r="H386" s="1" t="s">
        <v>0</v>
      </c>
      <c r="I386" s="14"/>
    </row>
    <row r="387" spans="1:9" x14ac:dyDescent="0.25">
      <c r="A387" s="14">
        <v>2016</v>
      </c>
      <c r="B387" s="14">
        <v>146</v>
      </c>
      <c r="C387" s="15">
        <v>42515</v>
      </c>
      <c r="D387" s="16">
        <v>0.31319444444444444</v>
      </c>
      <c r="E387" s="14">
        <v>90</v>
      </c>
      <c r="F387" s="14">
        <v>6</v>
      </c>
      <c r="G387" s="17">
        <v>0.31937113835727898</v>
      </c>
      <c r="H387" s="1" t="s">
        <v>0</v>
      </c>
      <c r="I387" s="14"/>
    </row>
    <row r="388" spans="1:9" x14ac:dyDescent="0.25">
      <c r="A388" s="14">
        <v>2016</v>
      </c>
      <c r="B388" s="14">
        <v>146</v>
      </c>
      <c r="C388" s="15">
        <v>42515</v>
      </c>
      <c r="D388" s="16" t="e">
        <v>#N/A</v>
      </c>
      <c r="E388" s="14">
        <v>90</v>
      </c>
      <c r="F388" s="14">
        <v>7</v>
      </c>
      <c r="G388" s="17" t="e">
        <v>#N/A</v>
      </c>
      <c r="H388" s="1" t="s">
        <v>143</v>
      </c>
      <c r="I388" s="14"/>
    </row>
    <row r="389" spans="1:9" x14ac:dyDescent="0.25">
      <c r="A389" s="14">
        <v>2016</v>
      </c>
      <c r="B389" s="14">
        <v>146</v>
      </c>
      <c r="C389" s="15">
        <v>42515</v>
      </c>
      <c r="D389" s="16" t="e">
        <v>#N/A</v>
      </c>
      <c r="E389" s="14">
        <v>90</v>
      </c>
      <c r="F389" s="14">
        <v>8</v>
      </c>
      <c r="G389" s="17" t="e">
        <v>#N/A</v>
      </c>
      <c r="H389" s="1" t="s">
        <v>143</v>
      </c>
      <c r="I389" s="14"/>
    </row>
    <row r="390" spans="1:9" x14ac:dyDescent="0.25">
      <c r="A390" s="14">
        <v>2016</v>
      </c>
      <c r="B390" s="14">
        <v>146</v>
      </c>
      <c r="C390" s="15">
        <v>42515</v>
      </c>
      <c r="D390" s="16" t="e">
        <v>#N/A</v>
      </c>
      <c r="E390" s="14">
        <v>90</v>
      </c>
      <c r="F390" s="14">
        <v>9</v>
      </c>
      <c r="G390" s="17" t="e">
        <v>#N/A</v>
      </c>
      <c r="H390" s="1" t="s">
        <v>143</v>
      </c>
      <c r="I390" s="14"/>
    </row>
    <row r="391" spans="1:9" x14ac:dyDescent="0.25">
      <c r="A391" s="14">
        <v>2016</v>
      </c>
      <c r="B391" s="14">
        <v>146</v>
      </c>
      <c r="C391" s="15">
        <v>42515</v>
      </c>
      <c r="D391" s="16" t="e">
        <v>#N/A</v>
      </c>
      <c r="E391" s="14">
        <v>90</v>
      </c>
      <c r="F391" s="14">
        <v>10</v>
      </c>
      <c r="G391" s="17" t="e">
        <v>#N/A</v>
      </c>
      <c r="H391" s="1" t="s">
        <v>143</v>
      </c>
      <c r="I391" s="14"/>
    </row>
    <row r="392" spans="1:9" x14ac:dyDescent="0.25">
      <c r="A392" s="14">
        <v>2016</v>
      </c>
      <c r="B392" s="14">
        <v>146</v>
      </c>
      <c r="C392" s="15">
        <v>42515</v>
      </c>
      <c r="D392" s="16" t="e">
        <v>#N/A</v>
      </c>
      <c r="E392" s="14">
        <v>90</v>
      </c>
      <c r="F392" s="14">
        <v>11</v>
      </c>
      <c r="G392" s="17" t="e">
        <v>#N/A</v>
      </c>
      <c r="H392" s="1" t="s">
        <v>144</v>
      </c>
      <c r="I392" s="14"/>
    </row>
    <row r="393" spans="1:9" x14ac:dyDescent="0.25">
      <c r="A393" s="14">
        <v>2016</v>
      </c>
      <c r="B393" s="14">
        <v>146</v>
      </c>
      <c r="C393" s="15">
        <v>42515</v>
      </c>
      <c r="D393" s="16" t="e">
        <v>#N/A</v>
      </c>
      <c r="E393" s="14">
        <v>90</v>
      </c>
      <c r="F393" s="14">
        <v>12</v>
      </c>
      <c r="G393" s="17" t="e">
        <v>#N/A</v>
      </c>
      <c r="H393" s="1" t="s">
        <v>144</v>
      </c>
      <c r="I393" s="14"/>
    </row>
    <row r="394" spans="1:9" x14ac:dyDescent="0.25">
      <c r="A394" s="14">
        <v>2016</v>
      </c>
      <c r="B394" s="14">
        <v>146</v>
      </c>
      <c r="C394" s="15">
        <v>42515</v>
      </c>
      <c r="D394" s="16" t="e">
        <v>#N/A</v>
      </c>
      <c r="E394" s="14">
        <v>90</v>
      </c>
      <c r="F394" s="14">
        <v>13</v>
      </c>
      <c r="G394" s="17" t="e">
        <v>#N/A</v>
      </c>
      <c r="H394" s="1" t="s">
        <v>144</v>
      </c>
      <c r="I394" s="14"/>
    </row>
    <row r="395" spans="1:9" x14ac:dyDescent="0.25">
      <c r="A395" s="14">
        <v>2016</v>
      </c>
      <c r="B395" s="14">
        <v>146</v>
      </c>
      <c r="C395" s="15">
        <v>42515</v>
      </c>
      <c r="D395" s="16" t="e">
        <v>#N/A</v>
      </c>
      <c r="E395" s="14">
        <v>90</v>
      </c>
      <c r="F395" s="14">
        <v>14</v>
      </c>
      <c r="G395" s="17" t="e">
        <v>#N/A</v>
      </c>
      <c r="H395" s="1" t="s">
        <v>144</v>
      </c>
      <c r="I395" s="14"/>
    </row>
    <row r="396" spans="1:9" x14ac:dyDescent="0.25">
      <c r="A396" s="14">
        <v>2016</v>
      </c>
      <c r="B396" s="14">
        <v>146</v>
      </c>
      <c r="C396" s="15">
        <v>42515</v>
      </c>
      <c r="D396" s="16">
        <v>0.32847222222222222</v>
      </c>
      <c r="E396" s="14">
        <v>90</v>
      </c>
      <c r="F396" s="14">
        <v>15</v>
      </c>
      <c r="G396" s="17">
        <v>0.33320171303097518</v>
      </c>
      <c r="H396" s="1" t="s">
        <v>1</v>
      </c>
      <c r="I396" s="14"/>
    </row>
    <row r="397" spans="1:9" x14ac:dyDescent="0.25">
      <c r="A397" s="14">
        <v>2016</v>
      </c>
      <c r="B397" s="14">
        <v>146</v>
      </c>
      <c r="C397" s="15">
        <v>42515</v>
      </c>
      <c r="D397" s="16">
        <v>0.33402777777777781</v>
      </c>
      <c r="E397" s="14">
        <v>90</v>
      </c>
      <c r="F397" s="14">
        <v>16</v>
      </c>
      <c r="G397" s="17">
        <v>0.3120207832740729</v>
      </c>
      <c r="H397" s="1" t="s">
        <v>1</v>
      </c>
      <c r="I397" s="14"/>
    </row>
    <row r="398" spans="1:9" x14ac:dyDescent="0.25">
      <c r="A398" s="14">
        <v>2016</v>
      </c>
      <c r="B398" s="14">
        <v>146</v>
      </c>
      <c r="C398" s="15">
        <v>42515</v>
      </c>
      <c r="D398" s="16" t="e">
        <v>#N/A</v>
      </c>
      <c r="E398" s="14">
        <v>90</v>
      </c>
      <c r="F398" s="14">
        <v>17</v>
      </c>
      <c r="G398" s="17" t="e">
        <v>#N/A</v>
      </c>
      <c r="H398" s="1" t="s">
        <v>144</v>
      </c>
      <c r="I398" s="14"/>
    </row>
    <row r="399" spans="1:9" x14ac:dyDescent="0.25">
      <c r="A399" s="14">
        <v>2016</v>
      </c>
      <c r="B399" s="14">
        <v>146</v>
      </c>
      <c r="C399" s="15">
        <v>42515</v>
      </c>
      <c r="D399" s="16" t="e">
        <v>#N/A</v>
      </c>
      <c r="E399" s="14">
        <v>90</v>
      </c>
      <c r="F399" s="14">
        <v>18</v>
      </c>
      <c r="G399" s="17" t="e">
        <v>#N/A</v>
      </c>
      <c r="H399" s="1" t="s">
        <v>144</v>
      </c>
      <c r="I399" s="14"/>
    </row>
    <row r="400" spans="1:9" x14ac:dyDescent="0.25">
      <c r="A400" s="14">
        <v>2016</v>
      </c>
      <c r="B400" s="14">
        <v>146</v>
      </c>
      <c r="C400" s="15">
        <v>42515</v>
      </c>
      <c r="D400" s="16" t="e">
        <v>#N/A</v>
      </c>
      <c r="E400" s="14">
        <v>90</v>
      </c>
      <c r="F400" s="14">
        <v>19</v>
      </c>
      <c r="G400" s="17" t="e">
        <v>#N/A</v>
      </c>
      <c r="H400" s="1" t="s">
        <v>144</v>
      </c>
      <c r="I400" s="14"/>
    </row>
    <row r="401" spans="1:9" x14ac:dyDescent="0.25">
      <c r="A401" s="14">
        <v>2016</v>
      </c>
      <c r="B401" s="14">
        <v>146</v>
      </c>
      <c r="C401" s="15">
        <v>42515</v>
      </c>
      <c r="D401" s="16" t="e">
        <v>#N/A</v>
      </c>
      <c r="E401" s="14">
        <v>90</v>
      </c>
      <c r="F401" s="14">
        <v>20</v>
      </c>
      <c r="G401" s="17" t="e">
        <v>#N/A</v>
      </c>
      <c r="H401" s="1" t="s">
        <v>144</v>
      </c>
      <c r="I401" s="14"/>
    </row>
    <row r="402" spans="1:9" x14ac:dyDescent="0.25">
      <c r="A402" s="14">
        <v>2016</v>
      </c>
      <c r="B402" s="14">
        <v>146</v>
      </c>
      <c r="C402" s="15">
        <v>42515</v>
      </c>
      <c r="D402" s="16" t="e">
        <v>#N/A</v>
      </c>
      <c r="E402" s="14">
        <v>70</v>
      </c>
      <c r="F402" s="14">
        <v>1</v>
      </c>
      <c r="G402" s="17" t="e">
        <v>#N/A</v>
      </c>
      <c r="H402" s="1" t="s">
        <v>143</v>
      </c>
      <c r="I402" s="14"/>
    </row>
    <row r="403" spans="1:9" x14ac:dyDescent="0.25">
      <c r="A403" s="14">
        <v>2016</v>
      </c>
      <c r="B403" s="14">
        <v>146</v>
      </c>
      <c r="C403" s="15">
        <v>42515</v>
      </c>
      <c r="D403" s="16" t="e">
        <v>#N/A</v>
      </c>
      <c r="E403" s="14">
        <v>70</v>
      </c>
      <c r="F403" s="14">
        <v>2</v>
      </c>
      <c r="G403" s="17" t="e">
        <v>#N/A</v>
      </c>
      <c r="H403" s="1" t="s">
        <v>143</v>
      </c>
      <c r="I403" s="14"/>
    </row>
    <row r="404" spans="1:9" x14ac:dyDescent="0.25">
      <c r="A404" s="14">
        <v>2016</v>
      </c>
      <c r="B404" s="14">
        <v>146</v>
      </c>
      <c r="C404" s="15">
        <v>42515</v>
      </c>
      <c r="D404" s="16" t="e">
        <v>#N/A</v>
      </c>
      <c r="E404" s="14">
        <v>70</v>
      </c>
      <c r="F404" s="14">
        <v>3</v>
      </c>
      <c r="G404" s="17" t="e">
        <v>#N/A</v>
      </c>
      <c r="H404" s="1" t="s">
        <v>143</v>
      </c>
      <c r="I404" s="14"/>
    </row>
    <row r="405" spans="1:9" x14ac:dyDescent="0.25">
      <c r="A405" s="14">
        <v>2016</v>
      </c>
      <c r="B405" s="14">
        <v>146</v>
      </c>
      <c r="C405" s="15">
        <v>42515</v>
      </c>
      <c r="D405" s="16" t="e">
        <v>#N/A</v>
      </c>
      <c r="E405" s="14">
        <v>70</v>
      </c>
      <c r="F405" s="14">
        <v>4</v>
      </c>
      <c r="G405" s="17" t="e">
        <v>#N/A</v>
      </c>
      <c r="H405" s="1" t="s">
        <v>143</v>
      </c>
      <c r="I405" s="14"/>
    </row>
    <row r="406" spans="1:9" x14ac:dyDescent="0.25">
      <c r="A406" s="14">
        <v>2016</v>
      </c>
      <c r="B406" s="14">
        <v>146</v>
      </c>
      <c r="C406" s="15">
        <v>42515</v>
      </c>
      <c r="D406" s="16">
        <v>0.31319444444444444</v>
      </c>
      <c r="E406" s="14">
        <v>70</v>
      </c>
      <c r="F406" s="14">
        <v>5</v>
      </c>
      <c r="G406" s="17">
        <v>0.33700283123599767</v>
      </c>
      <c r="H406" s="1" t="s">
        <v>0</v>
      </c>
      <c r="I406" s="14"/>
    </row>
    <row r="407" spans="1:9" x14ac:dyDescent="0.25">
      <c r="A407" s="14">
        <v>2016</v>
      </c>
      <c r="B407" s="14">
        <v>146</v>
      </c>
      <c r="C407" s="15">
        <v>42515</v>
      </c>
      <c r="D407" s="16">
        <v>0.31319444444444444</v>
      </c>
      <c r="E407" s="14">
        <v>70</v>
      </c>
      <c r="F407" s="14">
        <v>6</v>
      </c>
      <c r="G407" s="17">
        <v>0.33750659388967535</v>
      </c>
      <c r="H407" s="1" t="s">
        <v>0</v>
      </c>
      <c r="I407" s="14"/>
    </row>
    <row r="408" spans="1:9" x14ac:dyDescent="0.25">
      <c r="A408" s="14">
        <v>2016</v>
      </c>
      <c r="B408" s="14">
        <v>146</v>
      </c>
      <c r="C408" s="15">
        <v>42515</v>
      </c>
      <c r="D408" s="16" t="e">
        <v>#N/A</v>
      </c>
      <c r="E408" s="14">
        <v>70</v>
      </c>
      <c r="F408" s="14">
        <v>7</v>
      </c>
      <c r="G408" s="17" t="e">
        <v>#N/A</v>
      </c>
      <c r="H408" s="1" t="s">
        <v>143</v>
      </c>
      <c r="I408" s="14"/>
    </row>
    <row r="409" spans="1:9" x14ac:dyDescent="0.25">
      <c r="A409" s="14">
        <v>2016</v>
      </c>
      <c r="B409" s="14">
        <v>146</v>
      </c>
      <c r="C409" s="15">
        <v>42515</v>
      </c>
      <c r="D409" s="16" t="e">
        <v>#N/A</v>
      </c>
      <c r="E409" s="14">
        <v>70</v>
      </c>
      <c r="F409" s="14">
        <v>8</v>
      </c>
      <c r="G409" s="17" t="e">
        <v>#N/A</v>
      </c>
      <c r="H409" s="1" t="s">
        <v>143</v>
      </c>
      <c r="I409" s="14"/>
    </row>
    <row r="410" spans="1:9" x14ac:dyDescent="0.25">
      <c r="A410" s="14">
        <v>2016</v>
      </c>
      <c r="B410" s="14">
        <v>146</v>
      </c>
      <c r="C410" s="15">
        <v>42515</v>
      </c>
      <c r="D410" s="16" t="e">
        <v>#N/A</v>
      </c>
      <c r="E410" s="14">
        <v>70</v>
      </c>
      <c r="F410" s="14">
        <v>9</v>
      </c>
      <c r="G410" s="17" t="e">
        <v>#N/A</v>
      </c>
      <c r="H410" s="1" t="s">
        <v>143</v>
      </c>
      <c r="I410" s="14"/>
    </row>
    <row r="411" spans="1:9" x14ac:dyDescent="0.25">
      <c r="A411" s="14">
        <v>2016</v>
      </c>
      <c r="B411" s="14">
        <v>146</v>
      </c>
      <c r="C411" s="15">
        <v>42515</v>
      </c>
      <c r="D411" s="16" t="e">
        <v>#N/A</v>
      </c>
      <c r="E411" s="14">
        <v>70</v>
      </c>
      <c r="F411" s="14">
        <v>10</v>
      </c>
      <c r="G411" s="17" t="e">
        <v>#N/A</v>
      </c>
      <c r="H411" s="1" t="s">
        <v>143</v>
      </c>
      <c r="I411" s="14"/>
    </row>
    <row r="412" spans="1:9" x14ac:dyDescent="0.25">
      <c r="A412" s="14">
        <v>2016</v>
      </c>
      <c r="B412" s="14">
        <v>146</v>
      </c>
      <c r="C412" s="15">
        <v>42515</v>
      </c>
      <c r="D412" s="16" t="e">
        <v>#N/A</v>
      </c>
      <c r="E412" s="14">
        <v>70</v>
      </c>
      <c r="F412" s="14">
        <v>11</v>
      </c>
      <c r="G412" s="17" t="e">
        <v>#N/A</v>
      </c>
      <c r="H412" s="1" t="s">
        <v>144</v>
      </c>
      <c r="I412" s="14"/>
    </row>
    <row r="413" spans="1:9" x14ac:dyDescent="0.25">
      <c r="A413" s="14">
        <v>2016</v>
      </c>
      <c r="B413" s="14">
        <v>146</v>
      </c>
      <c r="C413" s="15">
        <v>42515</v>
      </c>
      <c r="D413" s="16" t="e">
        <v>#N/A</v>
      </c>
      <c r="E413" s="14">
        <v>70</v>
      </c>
      <c r="F413" s="14">
        <v>12</v>
      </c>
      <c r="G413" s="17" t="e">
        <v>#N/A</v>
      </c>
      <c r="H413" s="1" t="s">
        <v>144</v>
      </c>
      <c r="I413" s="14"/>
    </row>
    <row r="414" spans="1:9" x14ac:dyDescent="0.25">
      <c r="A414" s="14">
        <v>2016</v>
      </c>
      <c r="B414" s="14">
        <v>146</v>
      </c>
      <c r="C414" s="15">
        <v>42515</v>
      </c>
      <c r="D414" s="16" t="e">
        <v>#N/A</v>
      </c>
      <c r="E414" s="14">
        <v>70</v>
      </c>
      <c r="F414" s="14">
        <v>13</v>
      </c>
      <c r="G414" s="17" t="e">
        <v>#N/A</v>
      </c>
      <c r="H414" s="1" t="s">
        <v>144</v>
      </c>
      <c r="I414" s="14"/>
    </row>
    <row r="415" spans="1:9" x14ac:dyDescent="0.25">
      <c r="A415" s="14">
        <v>2016</v>
      </c>
      <c r="B415" s="14">
        <v>146</v>
      </c>
      <c r="C415" s="15">
        <v>42515</v>
      </c>
      <c r="D415" s="16" t="e">
        <v>#N/A</v>
      </c>
      <c r="E415" s="14">
        <v>70</v>
      </c>
      <c r="F415" s="14">
        <v>14</v>
      </c>
      <c r="G415" s="17" t="e">
        <v>#N/A</v>
      </c>
      <c r="H415" s="1" t="s">
        <v>144</v>
      </c>
      <c r="I415" s="14"/>
    </row>
    <row r="416" spans="1:9" x14ac:dyDescent="0.25">
      <c r="A416" s="14">
        <v>2016</v>
      </c>
      <c r="B416" s="14">
        <v>146</v>
      </c>
      <c r="C416" s="15">
        <v>42515</v>
      </c>
      <c r="D416" s="16">
        <v>0.32847222222222222</v>
      </c>
      <c r="E416" s="14">
        <v>70</v>
      </c>
      <c r="F416" s="14">
        <v>15</v>
      </c>
      <c r="G416" s="17">
        <v>0.31879868079628165</v>
      </c>
      <c r="H416" s="1" t="s">
        <v>1</v>
      </c>
      <c r="I416" s="14"/>
    </row>
    <row r="417" spans="1:9" x14ac:dyDescent="0.25">
      <c r="A417" s="14">
        <v>2016</v>
      </c>
      <c r="B417" s="14">
        <v>146</v>
      </c>
      <c r="C417" s="15">
        <v>42515</v>
      </c>
      <c r="D417" s="16">
        <v>0.33402777777777781</v>
      </c>
      <c r="E417" s="14">
        <v>70</v>
      </c>
      <c r="F417" s="14">
        <v>16</v>
      </c>
      <c r="G417" s="17">
        <v>0.32255400239642434</v>
      </c>
      <c r="H417" s="1" t="s">
        <v>1</v>
      </c>
      <c r="I417" s="14"/>
    </row>
    <row r="418" spans="1:9" x14ac:dyDescent="0.25">
      <c r="A418" s="14">
        <v>2016</v>
      </c>
      <c r="B418" s="14">
        <v>146</v>
      </c>
      <c r="C418" s="15">
        <v>42515</v>
      </c>
      <c r="D418" s="16" t="e">
        <v>#N/A</v>
      </c>
      <c r="E418" s="14">
        <v>70</v>
      </c>
      <c r="F418" s="14">
        <v>17</v>
      </c>
      <c r="G418" s="17" t="e">
        <v>#N/A</v>
      </c>
      <c r="H418" s="1" t="s">
        <v>144</v>
      </c>
      <c r="I418" s="14"/>
    </row>
    <row r="419" spans="1:9" x14ac:dyDescent="0.25">
      <c r="A419" s="14">
        <v>2016</v>
      </c>
      <c r="B419" s="14">
        <v>146</v>
      </c>
      <c r="C419" s="15">
        <v>42515</v>
      </c>
      <c r="D419" s="16" t="e">
        <v>#N/A</v>
      </c>
      <c r="E419" s="14">
        <v>70</v>
      </c>
      <c r="F419" s="14">
        <v>18</v>
      </c>
      <c r="G419" s="17" t="e">
        <v>#N/A</v>
      </c>
      <c r="H419" s="1" t="s">
        <v>144</v>
      </c>
      <c r="I419" s="14"/>
    </row>
    <row r="420" spans="1:9" x14ac:dyDescent="0.25">
      <c r="A420" s="14">
        <v>2016</v>
      </c>
      <c r="B420" s="14">
        <v>146</v>
      </c>
      <c r="C420" s="15">
        <v>42515</v>
      </c>
      <c r="D420" s="16" t="e">
        <v>#N/A</v>
      </c>
      <c r="E420" s="14">
        <v>70</v>
      </c>
      <c r="F420" s="14">
        <v>19</v>
      </c>
      <c r="G420" s="17" t="e">
        <v>#N/A</v>
      </c>
      <c r="H420" s="1" t="s">
        <v>144</v>
      </c>
      <c r="I420" s="14"/>
    </row>
    <row r="421" spans="1:9" x14ac:dyDescent="0.25">
      <c r="A421" s="14">
        <v>2016</v>
      </c>
      <c r="B421" s="14">
        <v>146</v>
      </c>
      <c r="C421" s="15">
        <v>42515</v>
      </c>
      <c r="D421" s="16" t="e">
        <v>#N/A</v>
      </c>
      <c r="E421" s="14">
        <v>70</v>
      </c>
      <c r="F421" s="14">
        <v>20</v>
      </c>
      <c r="G421" s="17" t="e">
        <v>#N/A</v>
      </c>
      <c r="H421" s="1" t="s">
        <v>144</v>
      </c>
      <c r="I421" s="14"/>
    </row>
    <row r="422" spans="1:9" x14ac:dyDescent="0.25">
      <c r="A422" s="14">
        <v>2016</v>
      </c>
      <c r="B422" s="14">
        <v>146</v>
      </c>
      <c r="C422" s="15">
        <v>42515</v>
      </c>
      <c r="D422" s="16" t="e">
        <v>#N/A</v>
      </c>
      <c r="E422" s="14">
        <v>50</v>
      </c>
      <c r="F422" s="14">
        <v>1</v>
      </c>
      <c r="G422" s="17" t="e">
        <v>#N/A</v>
      </c>
      <c r="H422" s="1" t="s">
        <v>143</v>
      </c>
      <c r="I422" s="14"/>
    </row>
    <row r="423" spans="1:9" x14ac:dyDescent="0.25">
      <c r="A423" s="14">
        <v>2016</v>
      </c>
      <c r="B423" s="14">
        <v>146</v>
      </c>
      <c r="C423" s="15">
        <v>42515</v>
      </c>
      <c r="D423" s="16" t="e">
        <v>#N/A</v>
      </c>
      <c r="E423" s="14">
        <v>50</v>
      </c>
      <c r="F423" s="14">
        <v>2</v>
      </c>
      <c r="G423" s="17" t="e">
        <v>#N/A</v>
      </c>
      <c r="H423" s="1" t="s">
        <v>143</v>
      </c>
      <c r="I423" s="14"/>
    </row>
    <row r="424" spans="1:9" x14ac:dyDescent="0.25">
      <c r="A424" s="14">
        <v>2016</v>
      </c>
      <c r="B424" s="14">
        <v>146</v>
      </c>
      <c r="C424" s="15">
        <v>42515</v>
      </c>
      <c r="D424" s="16" t="e">
        <v>#N/A</v>
      </c>
      <c r="E424" s="14">
        <v>50</v>
      </c>
      <c r="F424" s="14">
        <v>3</v>
      </c>
      <c r="G424" s="17" t="e">
        <v>#N/A</v>
      </c>
      <c r="H424" s="1" t="s">
        <v>143</v>
      </c>
      <c r="I424" s="14"/>
    </row>
    <row r="425" spans="1:9" x14ac:dyDescent="0.25">
      <c r="A425" s="14">
        <v>2016</v>
      </c>
      <c r="B425" s="14">
        <v>146</v>
      </c>
      <c r="C425" s="15">
        <v>42515</v>
      </c>
      <c r="D425" s="16" t="e">
        <v>#N/A</v>
      </c>
      <c r="E425" s="14">
        <v>50</v>
      </c>
      <c r="F425" s="14">
        <v>4</v>
      </c>
      <c r="G425" s="17" t="e">
        <v>#N/A</v>
      </c>
      <c r="H425" s="1" t="s">
        <v>143</v>
      </c>
      <c r="I425" s="14"/>
    </row>
    <row r="426" spans="1:9" x14ac:dyDescent="0.25">
      <c r="A426" s="14">
        <v>2016</v>
      </c>
      <c r="B426" s="14">
        <v>146</v>
      </c>
      <c r="C426" s="15">
        <v>42515</v>
      </c>
      <c r="D426" s="16">
        <v>0.31319444444444444</v>
      </c>
      <c r="E426" s="14">
        <v>50</v>
      </c>
      <c r="F426" s="14">
        <v>5</v>
      </c>
      <c r="G426" s="17">
        <v>0.3477879316851879</v>
      </c>
      <c r="H426" s="1" t="s">
        <v>0</v>
      </c>
      <c r="I426" s="14"/>
    </row>
    <row r="427" spans="1:9" x14ac:dyDescent="0.25">
      <c r="A427" s="14">
        <v>2016</v>
      </c>
      <c r="B427" s="14">
        <v>146</v>
      </c>
      <c r="C427" s="15">
        <v>42515</v>
      </c>
      <c r="D427" s="16">
        <v>0.31319444444444444</v>
      </c>
      <c r="E427" s="14">
        <v>50</v>
      </c>
      <c r="F427" s="14">
        <v>6</v>
      </c>
      <c r="G427" s="17">
        <v>0.34423869480700425</v>
      </c>
      <c r="H427" s="1" t="s">
        <v>0</v>
      </c>
      <c r="I427" s="14"/>
    </row>
    <row r="428" spans="1:9" x14ac:dyDescent="0.25">
      <c r="A428" s="14">
        <v>2016</v>
      </c>
      <c r="B428" s="14">
        <v>146</v>
      </c>
      <c r="C428" s="15">
        <v>42515</v>
      </c>
      <c r="D428" s="16" t="e">
        <v>#N/A</v>
      </c>
      <c r="E428" s="14">
        <v>50</v>
      </c>
      <c r="F428" s="14">
        <v>7</v>
      </c>
      <c r="G428" s="17" t="e">
        <v>#N/A</v>
      </c>
      <c r="H428" s="1" t="s">
        <v>143</v>
      </c>
      <c r="I428" s="14"/>
    </row>
    <row r="429" spans="1:9" x14ac:dyDescent="0.25">
      <c r="A429" s="14">
        <v>2016</v>
      </c>
      <c r="B429" s="14">
        <v>146</v>
      </c>
      <c r="C429" s="15">
        <v>42515</v>
      </c>
      <c r="D429" s="16" t="e">
        <v>#N/A</v>
      </c>
      <c r="E429" s="14">
        <v>50</v>
      </c>
      <c r="F429" s="14">
        <v>8</v>
      </c>
      <c r="G429" s="17" t="e">
        <v>#N/A</v>
      </c>
      <c r="H429" s="1" t="s">
        <v>143</v>
      </c>
      <c r="I429" s="14"/>
    </row>
    <row r="430" spans="1:9" x14ac:dyDescent="0.25">
      <c r="A430" s="14">
        <v>2016</v>
      </c>
      <c r="B430" s="14">
        <v>146</v>
      </c>
      <c r="C430" s="15">
        <v>42515</v>
      </c>
      <c r="D430" s="16" t="e">
        <v>#N/A</v>
      </c>
      <c r="E430" s="14">
        <v>50</v>
      </c>
      <c r="F430" s="14">
        <v>9</v>
      </c>
      <c r="G430" s="17" t="e">
        <v>#N/A</v>
      </c>
      <c r="H430" s="1" t="s">
        <v>143</v>
      </c>
      <c r="I430" s="14"/>
    </row>
    <row r="431" spans="1:9" x14ac:dyDescent="0.25">
      <c r="A431" s="14">
        <v>2016</v>
      </c>
      <c r="B431" s="14">
        <v>146</v>
      </c>
      <c r="C431" s="15">
        <v>42515</v>
      </c>
      <c r="D431" s="16" t="e">
        <v>#N/A</v>
      </c>
      <c r="E431" s="14">
        <v>50</v>
      </c>
      <c r="F431" s="14">
        <v>10</v>
      </c>
      <c r="G431" s="17" t="e">
        <v>#N/A</v>
      </c>
      <c r="H431" s="1" t="s">
        <v>143</v>
      </c>
      <c r="I431" s="14"/>
    </row>
    <row r="432" spans="1:9" x14ac:dyDescent="0.25">
      <c r="A432" s="14">
        <v>2016</v>
      </c>
      <c r="B432" s="14">
        <v>146</v>
      </c>
      <c r="C432" s="15">
        <v>42515</v>
      </c>
      <c r="D432" s="16" t="e">
        <v>#N/A</v>
      </c>
      <c r="E432" s="14">
        <v>50</v>
      </c>
      <c r="F432" s="14">
        <v>11</v>
      </c>
      <c r="G432" s="17" t="e">
        <v>#N/A</v>
      </c>
      <c r="H432" s="1" t="s">
        <v>144</v>
      </c>
      <c r="I432" s="14"/>
    </row>
    <row r="433" spans="1:9" x14ac:dyDescent="0.25">
      <c r="A433" s="14">
        <v>2016</v>
      </c>
      <c r="B433" s="14">
        <v>146</v>
      </c>
      <c r="C433" s="15">
        <v>42515</v>
      </c>
      <c r="D433" s="16" t="e">
        <v>#N/A</v>
      </c>
      <c r="E433" s="14">
        <v>50</v>
      </c>
      <c r="F433" s="14">
        <v>12</v>
      </c>
      <c r="G433" s="17" t="e">
        <v>#N/A</v>
      </c>
      <c r="H433" s="1" t="s">
        <v>144</v>
      </c>
      <c r="I433" s="14"/>
    </row>
    <row r="434" spans="1:9" x14ac:dyDescent="0.25">
      <c r="A434" s="14">
        <v>2016</v>
      </c>
      <c r="B434" s="14">
        <v>146</v>
      </c>
      <c r="C434" s="15">
        <v>42515</v>
      </c>
      <c r="D434" s="16" t="e">
        <v>#N/A</v>
      </c>
      <c r="E434" s="14">
        <v>50</v>
      </c>
      <c r="F434" s="14">
        <v>13</v>
      </c>
      <c r="G434" s="17" t="e">
        <v>#N/A</v>
      </c>
      <c r="H434" s="1" t="s">
        <v>144</v>
      </c>
      <c r="I434" s="14"/>
    </row>
    <row r="435" spans="1:9" x14ac:dyDescent="0.25">
      <c r="A435" s="14">
        <v>2016</v>
      </c>
      <c r="B435" s="14">
        <v>146</v>
      </c>
      <c r="C435" s="15">
        <v>42515</v>
      </c>
      <c r="D435" s="16" t="e">
        <v>#N/A</v>
      </c>
      <c r="E435" s="14">
        <v>50</v>
      </c>
      <c r="F435" s="14">
        <v>14</v>
      </c>
      <c r="G435" s="17" t="e">
        <v>#N/A</v>
      </c>
      <c r="H435" s="1" t="s">
        <v>144</v>
      </c>
      <c r="I435" s="14"/>
    </row>
    <row r="436" spans="1:9" x14ac:dyDescent="0.25">
      <c r="A436" s="14">
        <v>2016</v>
      </c>
      <c r="B436" s="14">
        <v>146</v>
      </c>
      <c r="C436" s="15">
        <v>42515</v>
      </c>
      <c r="D436" s="16">
        <v>0.32847222222222222</v>
      </c>
      <c r="E436" s="14">
        <v>50</v>
      </c>
      <c r="F436" s="14">
        <v>15</v>
      </c>
      <c r="G436" s="17">
        <v>0.33839962768483117</v>
      </c>
      <c r="H436" s="1" t="s">
        <v>1</v>
      </c>
      <c r="I436" s="14"/>
    </row>
    <row r="437" spans="1:9" x14ac:dyDescent="0.25">
      <c r="A437" s="14">
        <v>2016</v>
      </c>
      <c r="B437" s="14">
        <v>146</v>
      </c>
      <c r="C437" s="15">
        <v>42515</v>
      </c>
      <c r="D437" s="16">
        <v>0.33402777777777781</v>
      </c>
      <c r="E437" s="14">
        <v>50</v>
      </c>
      <c r="F437" s="14">
        <v>16</v>
      </c>
      <c r="G437" s="17">
        <v>0.34549810144119841</v>
      </c>
      <c r="H437" s="1" t="s">
        <v>1</v>
      </c>
      <c r="I437" s="14"/>
    </row>
    <row r="438" spans="1:9" x14ac:dyDescent="0.25">
      <c r="A438" s="14">
        <v>2016</v>
      </c>
      <c r="B438" s="14">
        <v>146</v>
      </c>
      <c r="C438" s="15">
        <v>42515</v>
      </c>
      <c r="D438" s="16" t="e">
        <v>#N/A</v>
      </c>
      <c r="E438" s="14">
        <v>50</v>
      </c>
      <c r="F438" s="14">
        <v>17</v>
      </c>
      <c r="G438" s="17" t="e">
        <v>#N/A</v>
      </c>
      <c r="H438" s="1" t="s">
        <v>144</v>
      </c>
      <c r="I438" s="14"/>
    </row>
    <row r="439" spans="1:9" x14ac:dyDescent="0.25">
      <c r="A439" s="14">
        <v>2016</v>
      </c>
      <c r="B439" s="14">
        <v>146</v>
      </c>
      <c r="C439" s="15">
        <v>42515</v>
      </c>
      <c r="D439" s="16" t="e">
        <v>#N/A</v>
      </c>
      <c r="E439" s="14">
        <v>50</v>
      </c>
      <c r="F439" s="14">
        <v>18</v>
      </c>
      <c r="G439" s="17" t="e">
        <v>#N/A</v>
      </c>
      <c r="H439" s="1" t="s">
        <v>144</v>
      </c>
      <c r="I439" s="14"/>
    </row>
    <row r="440" spans="1:9" x14ac:dyDescent="0.25">
      <c r="A440" s="14">
        <v>2016</v>
      </c>
      <c r="B440" s="14">
        <v>146</v>
      </c>
      <c r="C440" s="15">
        <v>42515</v>
      </c>
      <c r="D440" s="16" t="e">
        <v>#N/A</v>
      </c>
      <c r="E440" s="14">
        <v>50</v>
      </c>
      <c r="F440" s="14">
        <v>19</v>
      </c>
      <c r="G440" s="17" t="e">
        <v>#N/A</v>
      </c>
      <c r="H440" s="1" t="s">
        <v>144</v>
      </c>
      <c r="I440" s="14"/>
    </row>
    <row r="441" spans="1:9" x14ac:dyDescent="0.25">
      <c r="A441" s="14">
        <v>2016</v>
      </c>
      <c r="B441" s="14">
        <v>146</v>
      </c>
      <c r="C441" s="15">
        <v>42515</v>
      </c>
      <c r="D441" s="16" t="e">
        <v>#N/A</v>
      </c>
      <c r="E441" s="14">
        <v>50</v>
      </c>
      <c r="F441" s="14">
        <v>20</v>
      </c>
      <c r="G441" s="17" t="e">
        <v>#N/A</v>
      </c>
      <c r="H441" s="1" t="s">
        <v>144</v>
      </c>
      <c r="I441" s="14"/>
    </row>
    <row r="442" spans="1:9" x14ac:dyDescent="0.25">
      <c r="A442" s="14">
        <v>2016</v>
      </c>
      <c r="B442" s="14">
        <v>146</v>
      </c>
      <c r="C442" s="15">
        <v>42515</v>
      </c>
      <c r="D442" s="16" t="e">
        <v>#N/A</v>
      </c>
      <c r="E442" s="14">
        <v>30</v>
      </c>
      <c r="F442" s="14">
        <v>1</v>
      </c>
      <c r="G442" s="17" t="e">
        <v>#N/A</v>
      </c>
      <c r="H442" s="1" t="s">
        <v>143</v>
      </c>
      <c r="I442" s="14"/>
    </row>
    <row r="443" spans="1:9" x14ac:dyDescent="0.25">
      <c r="A443" s="14">
        <v>2016</v>
      </c>
      <c r="B443" s="14">
        <v>146</v>
      </c>
      <c r="C443" s="15">
        <v>42515</v>
      </c>
      <c r="D443" s="16" t="e">
        <v>#N/A</v>
      </c>
      <c r="E443" s="14">
        <v>30</v>
      </c>
      <c r="F443" s="14">
        <v>2</v>
      </c>
      <c r="G443" s="17" t="e">
        <v>#N/A</v>
      </c>
      <c r="H443" s="1" t="s">
        <v>143</v>
      </c>
      <c r="I443" s="14"/>
    </row>
    <row r="444" spans="1:9" x14ac:dyDescent="0.25">
      <c r="A444" s="14">
        <v>2016</v>
      </c>
      <c r="B444" s="14">
        <v>146</v>
      </c>
      <c r="C444" s="15">
        <v>42515</v>
      </c>
      <c r="D444" s="16" t="e">
        <v>#N/A</v>
      </c>
      <c r="E444" s="14">
        <v>30</v>
      </c>
      <c r="F444" s="14">
        <v>3</v>
      </c>
      <c r="G444" s="17" t="e">
        <v>#N/A</v>
      </c>
      <c r="H444" s="1" t="s">
        <v>143</v>
      </c>
      <c r="I444" s="14"/>
    </row>
    <row r="445" spans="1:9" x14ac:dyDescent="0.25">
      <c r="A445" s="14">
        <v>2016</v>
      </c>
      <c r="B445" s="14">
        <v>146</v>
      </c>
      <c r="C445" s="15">
        <v>42515</v>
      </c>
      <c r="D445" s="16" t="e">
        <v>#N/A</v>
      </c>
      <c r="E445" s="14">
        <v>30</v>
      </c>
      <c r="F445" s="14">
        <v>4</v>
      </c>
      <c r="G445" s="17" t="e">
        <v>#N/A</v>
      </c>
      <c r="H445" s="1" t="s">
        <v>143</v>
      </c>
      <c r="I445" s="14"/>
    </row>
    <row r="446" spans="1:9" x14ac:dyDescent="0.25">
      <c r="A446" s="14">
        <v>2016</v>
      </c>
      <c r="B446" s="14">
        <v>146</v>
      </c>
      <c r="C446" s="15">
        <v>42515</v>
      </c>
      <c r="D446" s="16">
        <v>0.31319444444444444</v>
      </c>
      <c r="E446" s="14">
        <v>30</v>
      </c>
      <c r="F446" s="14">
        <v>5</v>
      </c>
      <c r="G446" s="17">
        <v>0.33968193262146529</v>
      </c>
      <c r="H446" s="1" t="s">
        <v>0</v>
      </c>
      <c r="I446" s="14"/>
    </row>
    <row r="447" spans="1:9" x14ac:dyDescent="0.25">
      <c r="A447" s="14">
        <v>2016</v>
      </c>
      <c r="B447" s="14">
        <v>146</v>
      </c>
      <c r="C447" s="15">
        <v>42515</v>
      </c>
      <c r="D447" s="16">
        <v>0.31319444444444444</v>
      </c>
      <c r="E447" s="14">
        <v>30</v>
      </c>
      <c r="F447" s="14">
        <v>6</v>
      </c>
      <c r="G447" s="17">
        <v>0.33052261164550756</v>
      </c>
      <c r="H447" s="1" t="s">
        <v>0</v>
      </c>
      <c r="I447" s="14"/>
    </row>
    <row r="448" spans="1:9" x14ac:dyDescent="0.25">
      <c r="A448" s="14">
        <v>2016</v>
      </c>
      <c r="B448" s="14">
        <v>146</v>
      </c>
      <c r="C448" s="15">
        <v>42515</v>
      </c>
      <c r="D448" s="16" t="e">
        <v>#N/A</v>
      </c>
      <c r="E448" s="14">
        <v>30</v>
      </c>
      <c r="F448" s="14">
        <v>7</v>
      </c>
      <c r="G448" s="17" t="e">
        <v>#N/A</v>
      </c>
      <c r="H448" s="1" t="s">
        <v>143</v>
      </c>
      <c r="I448" s="14"/>
    </row>
    <row r="449" spans="1:9" x14ac:dyDescent="0.25">
      <c r="A449" s="14">
        <v>2016</v>
      </c>
      <c r="B449" s="14">
        <v>146</v>
      </c>
      <c r="C449" s="15">
        <v>42515</v>
      </c>
      <c r="D449" s="16" t="e">
        <v>#N/A</v>
      </c>
      <c r="E449" s="14">
        <v>30</v>
      </c>
      <c r="F449" s="14">
        <v>8</v>
      </c>
      <c r="G449" s="17" t="e">
        <v>#N/A</v>
      </c>
      <c r="H449" s="1" t="s">
        <v>143</v>
      </c>
      <c r="I449" s="14"/>
    </row>
    <row r="450" spans="1:9" x14ac:dyDescent="0.25">
      <c r="A450" s="14">
        <v>2016</v>
      </c>
      <c r="B450" s="14">
        <v>146</v>
      </c>
      <c r="C450" s="15">
        <v>42515</v>
      </c>
      <c r="D450" s="16" t="e">
        <v>#N/A</v>
      </c>
      <c r="E450" s="14">
        <v>30</v>
      </c>
      <c r="F450" s="14">
        <v>9</v>
      </c>
      <c r="G450" s="17" t="e">
        <v>#N/A</v>
      </c>
      <c r="H450" s="1" t="s">
        <v>143</v>
      </c>
      <c r="I450" s="14"/>
    </row>
    <row r="451" spans="1:9" x14ac:dyDescent="0.25">
      <c r="A451" s="14">
        <v>2016</v>
      </c>
      <c r="B451" s="14">
        <v>146</v>
      </c>
      <c r="C451" s="15">
        <v>42515</v>
      </c>
      <c r="D451" s="16" t="e">
        <v>#N/A</v>
      </c>
      <c r="E451" s="14">
        <v>30</v>
      </c>
      <c r="F451" s="14">
        <v>10</v>
      </c>
      <c r="G451" s="17" t="e">
        <v>#N/A</v>
      </c>
      <c r="H451" s="1" t="s">
        <v>143</v>
      </c>
      <c r="I451" s="14"/>
    </row>
    <row r="452" spans="1:9" x14ac:dyDescent="0.25">
      <c r="A452" s="14">
        <v>2016</v>
      </c>
      <c r="B452" s="14">
        <v>146</v>
      </c>
      <c r="C452" s="15">
        <v>42515</v>
      </c>
      <c r="D452" s="16" t="e">
        <v>#N/A</v>
      </c>
      <c r="E452" s="14">
        <v>30</v>
      </c>
      <c r="F452" s="14">
        <v>11</v>
      </c>
      <c r="G452" s="17" t="e">
        <v>#N/A</v>
      </c>
      <c r="H452" s="1" t="s">
        <v>144</v>
      </c>
      <c r="I452" s="14"/>
    </row>
    <row r="453" spans="1:9" x14ac:dyDescent="0.25">
      <c r="A453" s="14">
        <v>2016</v>
      </c>
      <c r="B453" s="14">
        <v>146</v>
      </c>
      <c r="C453" s="15">
        <v>42515</v>
      </c>
      <c r="D453" s="16" t="e">
        <v>#N/A</v>
      </c>
      <c r="E453" s="14">
        <v>30</v>
      </c>
      <c r="F453" s="14">
        <v>12</v>
      </c>
      <c r="G453" s="17" t="e">
        <v>#N/A</v>
      </c>
      <c r="H453" s="1" t="s">
        <v>144</v>
      </c>
      <c r="I453" s="14"/>
    </row>
    <row r="454" spans="1:9" x14ac:dyDescent="0.25">
      <c r="A454" s="14">
        <v>2016</v>
      </c>
      <c r="B454" s="14">
        <v>146</v>
      </c>
      <c r="C454" s="15">
        <v>42515</v>
      </c>
      <c r="D454" s="16" t="e">
        <v>#N/A</v>
      </c>
      <c r="E454" s="14">
        <v>30</v>
      </c>
      <c r="F454" s="14">
        <v>13</v>
      </c>
      <c r="G454" s="17" t="e">
        <v>#N/A</v>
      </c>
      <c r="H454" s="1" t="s">
        <v>144</v>
      </c>
      <c r="I454" s="14"/>
    </row>
    <row r="455" spans="1:9" x14ac:dyDescent="0.25">
      <c r="A455" s="14">
        <v>2016</v>
      </c>
      <c r="B455" s="14">
        <v>146</v>
      </c>
      <c r="C455" s="15">
        <v>42515</v>
      </c>
      <c r="D455" s="16" t="e">
        <v>#N/A</v>
      </c>
      <c r="E455" s="14">
        <v>30</v>
      </c>
      <c r="F455" s="14">
        <v>14</v>
      </c>
      <c r="G455" s="17" t="e">
        <v>#N/A</v>
      </c>
      <c r="H455" s="1" t="s">
        <v>144</v>
      </c>
      <c r="I455" s="14"/>
    </row>
    <row r="456" spans="1:9" x14ac:dyDescent="0.25">
      <c r="A456" s="14">
        <v>2016</v>
      </c>
      <c r="B456" s="14">
        <v>146</v>
      </c>
      <c r="C456" s="15">
        <v>42515</v>
      </c>
      <c r="D456" s="16">
        <v>0.32847222222222222</v>
      </c>
      <c r="E456" s="14">
        <v>30</v>
      </c>
      <c r="F456" s="14">
        <v>15</v>
      </c>
      <c r="G456" s="17">
        <v>0.35060442288529486</v>
      </c>
      <c r="H456" s="1" t="s">
        <v>1</v>
      </c>
      <c r="I456" s="14"/>
    </row>
    <row r="457" spans="1:9" x14ac:dyDescent="0.25">
      <c r="A457" s="14">
        <v>2016</v>
      </c>
      <c r="B457" s="14">
        <v>146</v>
      </c>
      <c r="C457" s="15">
        <v>42515</v>
      </c>
      <c r="D457" s="16">
        <v>0.33402777777777781</v>
      </c>
      <c r="E457" s="14">
        <v>30</v>
      </c>
      <c r="F457" s="14">
        <v>16</v>
      </c>
      <c r="G457" s="17">
        <v>0.35147455837801089</v>
      </c>
      <c r="H457" s="1" t="s">
        <v>1</v>
      </c>
      <c r="I457" s="14"/>
    </row>
    <row r="458" spans="1:9" x14ac:dyDescent="0.25">
      <c r="A458" s="14">
        <v>2016</v>
      </c>
      <c r="B458" s="14">
        <v>146</v>
      </c>
      <c r="C458" s="15">
        <v>42515</v>
      </c>
      <c r="D458" s="16" t="e">
        <v>#N/A</v>
      </c>
      <c r="E458" s="14">
        <v>30</v>
      </c>
      <c r="F458" s="14">
        <v>17</v>
      </c>
      <c r="G458" s="17" t="e">
        <v>#N/A</v>
      </c>
      <c r="H458" s="1" t="s">
        <v>144</v>
      </c>
      <c r="I458" s="14"/>
    </row>
    <row r="459" spans="1:9" x14ac:dyDescent="0.25">
      <c r="A459" s="14">
        <v>2016</v>
      </c>
      <c r="B459" s="14">
        <v>146</v>
      </c>
      <c r="C459" s="15">
        <v>42515</v>
      </c>
      <c r="D459" s="16" t="e">
        <v>#N/A</v>
      </c>
      <c r="E459" s="14">
        <v>30</v>
      </c>
      <c r="F459" s="14">
        <v>18</v>
      </c>
      <c r="G459" s="17" t="e">
        <v>#N/A</v>
      </c>
      <c r="H459" s="1" t="s">
        <v>144</v>
      </c>
      <c r="I459" s="14"/>
    </row>
    <row r="460" spans="1:9" x14ac:dyDescent="0.25">
      <c r="A460" s="14">
        <v>2016</v>
      </c>
      <c r="B460" s="14">
        <v>146</v>
      </c>
      <c r="C460" s="15">
        <v>42515</v>
      </c>
      <c r="D460" s="16" t="e">
        <v>#N/A</v>
      </c>
      <c r="E460" s="14">
        <v>30</v>
      </c>
      <c r="F460" s="14">
        <v>19</v>
      </c>
      <c r="G460" s="17" t="e">
        <v>#N/A</v>
      </c>
      <c r="H460" s="1" t="s">
        <v>144</v>
      </c>
      <c r="I460" s="14"/>
    </row>
    <row r="461" spans="1:9" x14ac:dyDescent="0.25">
      <c r="A461" s="14">
        <v>2016</v>
      </c>
      <c r="B461" s="14">
        <v>146</v>
      </c>
      <c r="C461" s="15">
        <v>42515</v>
      </c>
      <c r="D461" s="16" t="e">
        <v>#N/A</v>
      </c>
      <c r="E461" s="14">
        <v>30</v>
      </c>
      <c r="F461" s="14">
        <v>20</v>
      </c>
      <c r="G461" s="17" t="e">
        <v>#N/A</v>
      </c>
      <c r="H461" s="1" t="s">
        <v>144</v>
      </c>
      <c r="I461" s="14"/>
    </row>
    <row r="462" spans="1:9" x14ac:dyDescent="0.25">
      <c r="A462" s="14">
        <v>2016</v>
      </c>
      <c r="B462" s="14">
        <v>146</v>
      </c>
      <c r="C462" s="15">
        <v>42515</v>
      </c>
      <c r="D462" s="16" t="e">
        <v>#N/A</v>
      </c>
      <c r="E462" s="14">
        <v>10</v>
      </c>
      <c r="F462" s="14">
        <v>1</v>
      </c>
      <c r="G462" s="17" t="e">
        <v>#N/A</v>
      </c>
      <c r="H462" s="1" t="s">
        <v>143</v>
      </c>
      <c r="I462" s="14"/>
    </row>
    <row r="463" spans="1:9" x14ac:dyDescent="0.25">
      <c r="A463" s="14">
        <v>2016</v>
      </c>
      <c r="B463" s="14">
        <v>146</v>
      </c>
      <c r="C463" s="15">
        <v>42515</v>
      </c>
      <c r="D463" s="16" t="e">
        <v>#N/A</v>
      </c>
      <c r="E463" s="14">
        <v>10</v>
      </c>
      <c r="F463" s="14">
        <v>2</v>
      </c>
      <c r="G463" s="17" t="e">
        <v>#N/A</v>
      </c>
      <c r="H463" s="1" t="s">
        <v>143</v>
      </c>
      <c r="I463" s="14"/>
    </row>
    <row r="464" spans="1:9" x14ac:dyDescent="0.25">
      <c r="A464" s="14">
        <v>2016</v>
      </c>
      <c r="B464" s="14">
        <v>146</v>
      </c>
      <c r="C464" s="15">
        <v>42515</v>
      </c>
      <c r="D464" s="16" t="e">
        <v>#N/A</v>
      </c>
      <c r="E464" s="14">
        <v>10</v>
      </c>
      <c r="F464" s="14">
        <v>3</v>
      </c>
      <c r="G464" s="17" t="e">
        <v>#N/A</v>
      </c>
      <c r="H464" s="1" t="s">
        <v>143</v>
      </c>
      <c r="I464" s="14"/>
    </row>
    <row r="465" spans="1:9" x14ac:dyDescent="0.25">
      <c r="A465" s="14">
        <v>2016</v>
      </c>
      <c r="B465" s="14">
        <v>146</v>
      </c>
      <c r="C465" s="15">
        <v>42515</v>
      </c>
      <c r="D465" s="16" t="e">
        <v>#N/A</v>
      </c>
      <c r="E465" s="14">
        <v>10</v>
      </c>
      <c r="F465" s="14">
        <v>4</v>
      </c>
      <c r="G465" s="17" t="e">
        <v>#N/A</v>
      </c>
      <c r="H465" s="1" t="s">
        <v>143</v>
      </c>
      <c r="I465" s="14"/>
    </row>
    <row r="466" spans="1:9" x14ac:dyDescent="0.25">
      <c r="A466" s="14">
        <v>2016</v>
      </c>
      <c r="B466" s="14">
        <v>146</v>
      </c>
      <c r="C466" s="15">
        <v>42515</v>
      </c>
      <c r="D466" s="16">
        <v>0.31319444444444444</v>
      </c>
      <c r="E466" s="14">
        <v>10</v>
      </c>
      <c r="F466" s="14">
        <v>5</v>
      </c>
      <c r="G466" s="17">
        <v>0.24009334715828662</v>
      </c>
      <c r="H466" s="1" t="s">
        <v>0</v>
      </c>
      <c r="I466" s="14"/>
    </row>
    <row r="467" spans="1:9" x14ac:dyDescent="0.25">
      <c r="A467" s="14">
        <v>2016</v>
      </c>
      <c r="B467" s="14">
        <v>146</v>
      </c>
      <c r="C467" s="15">
        <v>42515</v>
      </c>
      <c r="D467" s="16">
        <v>0.31319444444444444</v>
      </c>
      <c r="E467" s="14">
        <v>10</v>
      </c>
      <c r="F467" s="14">
        <v>6</v>
      </c>
      <c r="G467" s="17">
        <v>0.23207551573280427</v>
      </c>
      <c r="H467" s="1" t="s">
        <v>0</v>
      </c>
      <c r="I467" s="14"/>
    </row>
    <row r="468" spans="1:9" x14ac:dyDescent="0.25">
      <c r="A468" s="14">
        <v>2016</v>
      </c>
      <c r="B468" s="14">
        <v>146</v>
      </c>
      <c r="C468" s="15">
        <v>42515</v>
      </c>
      <c r="D468" s="16" t="e">
        <v>#N/A</v>
      </c>
      <c r="E468" s="14">
        <v>10</v>
      </c>
      <c r="F468" s="14">
        <v>7</v>
      </c>
      <c r="G468" s="17" t="e">
        <v>#N/A</v>
      </c>
      <c r="H468" s="1" t="s">
        <v>143</v>
      </c>
      <c r="I468" s="14"/>
    </row>
    <row r="469" spans="1:9" x14ac:dyDescent="0.25">
      <c r="A469" s="14">
        <v>2016</v>
      </c>
      <c r="B469" s="14">
        <v>146</v>
      </c>
      <c r="C469" s="15">
        <v>42515</v>
      </c>
      <c r="D469" s="16" t="e">
        <v>#N/A</v>
      </c>
      <c r="E469" s="14">
        <v>10</v>
      </c>
      <c r="F469" s="14">
        <v>8</v>
      </c>
      <c r="G469" s="17" t="e">
        <v>#N/A</v>
      </c>
      <c r="H469" s="1" t="s">
        <v>143</v>
      </c>
      <c r="I469" s="14"/>
    </row>
    <row r="470" spans="1:9" x14ac:dyDescent="0.25">
      <c r="A470" s="14">
        <v>2016</v>
      </c>
      <c r="B470" s="14">
        <v>146</v>
      </c>
      <c r="C470" s="15">
        <v>42515</v>
      </c>
      <c r="D470" s="16" t="e">
        <v>#N/A</v>
      </c>
      <c r="E470" s="14">
        <v>10</v>
      </c>
      <c r="F470" s="14">
        <v>9</v>
      </c>
      <c r="G470" s="17" t="e">
        <v>#N/A</v>
      </c>
      <c r="H470" s="1" t="s">
        <v>143</v>
      </c>
      <c r="I470" s="14"/>
    </row>
    <row r="471" spans="1:9" x14ac:dyDescent="0.25">
      <c r="A471" s="14">
        <v>2016</v>
      </c>
      <c r="B471" s="14">
        <v>146</v>
      </c>
      <c r="C471" s="15">
        <v>42515</v>
      </c>
      <c r="D471" s="16" t="e">
        <v>#N/A</v>
      </c>
      <c r="E471" s="14">
        <v>10</v>
      </c>
      <c r="F471" s="14">
        <v>10</v>
      </c>
      <c r="G471" s="17" t="e">
        <v>#N/A</v>
      </c>
      <c r="H471" s="1" t="s">
        <v>143</v>
      </c>
      <c r="I471" s="14"/>
    </row>
    <row r="472" spans="1:9" x14ac:dyDescent="0.25">
      <c r="A472" s="14">
        <v>2016</v>
      </c>
      <c r="B472" s="14">
        <v>146</v>
      </c>
      <c r="C472" s="15">
        <v>42515</v>
      </c>
      <c r="D472" s="16" t="e">
        <v>#N/A</v>
      </c>
      <c r="E472" s="14">
        <v>10</v>
      </c>
      <c r="F472" s="14">
        <v>11</v>
      </c>
      <c r="G472" s="17" t="e">
        <v>#N/A</v>
      </c>
      <c r="H472" s="1" t="s">
        <v>144</v>
      </c>
      <c r="I472" s="14"/>
    </row>
    <row r="473" spans="1:9" x14ac:dyDescent="0.25">
      <c r="A473" s="14">
        <v>2016</v>
      </c>
      <c r="B473" s="14">
        <v>146</v>
      </c>
      <c r="C473" s="15">
        <v>42515</v>
      </c>
      <c r="D473" s="16" t="e">
        <v>#N/A</v>
      </c>
      <c r="E473" s="14">
        <v>10</v>
      </c>
      <c r="F473" s="14">
        <v>12</v>
      </c>
      <c r="G473" s="17" t="e">
        <v>#N/A</v>
      </c>
      <c r="H473" s="1" t="s">
        <v>144</v>
      </c>
      <c r="I473" s="14"/>
    </row>
    <row r="474" spans="1:9" x14ac:dyDescent="0.25">
      <c r="A474" s="14">
        <v>2016</v>
      </c>
      <c r="B474" s="14">
        <v>146</v>
      </c>
      <c r="C474" s="15">
        <v>42515</v>
      </c>
      <c r="D474" s="16" t="e">
        <v>#N/A</v>
      </c>
      <c r="E474" s="14">
        <v>10</v>
      </c>
      <c r="F474" s="14">
        <v>13</v>
      </c>
      <c r="G474" s="17" t="e">
        <v>#N/A</v>
      </c>
      <c r="H474" s="1" t="s">
        <v>144</v>
      </c>
      <c r="I474" s="14"/>
    </row>
    <row r="475" spans="1:9" x14ac:dyDescent="0.25">
      <c r="A475" s="14">
        <v>2016</v>
      </c>
      <c r="B475" s="14">
        <v>146</v>
      </c>
      <c r="C475" s="15">
        <v>42515</v>
      </c>
      <c r="D475" s="16" t="e">
        <v>#N/A</v>
      </c>
      <c r="E475" s="14">
        <v>10</v>
      </c>
      <c r="F475" s="14">
        <v>14</v>
      </c>
      <c r="G475" s="17" t="e">
        <v>#N/A</v>
      </c>
      <c r="H475" s="1" t="s">
        <v>144</v>
      </c>
      <c r="I475" s="14"/>
    </row>
    <row r="476" spans="1:9" x14ac:dyDescent="0.25">
      <c r="A476" s="14">
        <v>2016</v>
      </c>
      <c r="B476" s="14">
        <v>146</v>
      </c>
      <c r="C476" s="15">
        <v>42515</v>
      </c>
      <c r="D476" s="16">
        <v>0.32847222222222222</v>
      </c>
      <c r="E476" s="14">
        <v>10</v>
      </c>
      <c r="F476" s="14">
        <v>15</v>
      </c>
      <c r="G476" s="17">
        <v>0.23056018395621791</v>
      </c>
      <c r="H476" s="1" t="s">
        <v>1</v>
      </c>
      <c r="I476" s="14"/>
    </row>
    <row r="477" spans="1:9" x14ac:dyDescent="0.25">
      <c r="A477" s="14">
        <v>2016</v>
      </c>
      <c r="B477" s="14">
        <v>146</v>
      </c>
      <c r="C477" s="15">
        <v>42515</v>
      </c>
      <c r="D477" s="16">
        <v>0.33402777777777781</v>
      </c>
      <c r="E477" s="14">
        <v>10</v>
      </c>
      <c r="F477" s="14">
        <v>16</v>
      </c>
      <c r="G477" s="17">
        <v>0.22259989677541603</v>
      </c>
      <c r="H477" s="1" t="s">
        <v>1</v>
      </c>
      <c r="I477" s="14"/>
    </row>
    <row r="478" spans="1:9" x14ac:dyDescent="0.25">
      <c r="A478" s="14">
        <v>2016</v>
      </c>
      <c r="B478" s="14">
        <v>146</v>
      </c>
      <c r="C478" s="15">
        <v>42515</v>
      </c>
      <c r="D478" s="16" t="e">
        <v>#N/A</v>
      </c>
      <c r="E478" s="14">
        <v>10</v>
      </c>
      <c r="F478" s="14">
        <v>17</v>
      </c>
      <c r="G478" s="17" t="e">
        <v>#N/A</v>
      </c>
      <c r="H478" s="1" t="s">
        <v>144</v>
      </c>
      <c r="I478" s="14"/>
    </row>
    <row r="479" spans="1:9" x14ac:dyDescent="0.25">
      <c r="A479" s="14">
        <v>2016</v>
      </c>
      <c r="B479" s="14">
        <v>146</v>
      </c>
      <c r="C479" s="15">
        <v>42515</v>
      </c>
      <c r="D479" s="16" t="e">
        <v>#N/A</v>
      </c>
      <c r="E479" s="14">
        <v>10</v>
      </c>
      <c r="F479" s="14">
        <v>18</v>
      </c>
      <c r="G479" s="17" t="e">
        <v>#N/A</v>
      </c>
      <c r="H479" s="1" t="s">
        <v>144</v>
      </c>
      <c r="I479" s="14"/>
    </row>
    <row r="480" spans="1:9" x14ac:dyDescent="0.25">
      <c r="A480" s="14">
        <v>2016</v>
      </c>
      <c r="B480" s="14">
        <v>146</v>
      </c>
      <c r="C480" s="15">
        <v>42515</v>
      </c>
      <c r="D480" s="16" t="e">
        <v>#N/A</v>
      </c>
      <c r="E480" s="14">
        <v>10</v>
      </c>
      <c r="F480" s="14">
        <v>19</v>
      </c>
      <c r="G480" s="17" t="e">
        <v>#N/A</v>
      </c>
      <c r="H480" s="1" t="s">
        <v>144</v>
      </c>
      <c r="I480" s="14"/>
    </row>
    <row r="481" spans="1:9" x14ac:dyDescent="0.25">
      <c r="A481" s="14">
        <v>2016</v>
      </c>
      <c r="B481" s="14">
        <v>146</v>
      </c>
      <c r="C481" s="15">
        <v>42515</v>
      </c>
      <c r="D481" s="16" t="e">
        <v>#N/A</v>
      </c>
      <c r="E481" s="14">
        <v>10</v>
      </c>
      <c r="F481" s="14">
        <v>20</v>
      </c>
      <c r="G481" s="17" t="e">
        <v>#N/A</v>
      </c>
      <c r="H481" s="1" t="s">
        <v>144</v>
      </c>
      <c r="I481" s="14"/>
    </row>
    <row r="482" spans="1:9" x14ac:dyDescent="0.25">
      <c r="A482" s="14">
        <v>2016</v>
      </c>
      <c r="B482" s="14">
        <v>161</v>
      </c>
      <c r="C482" s="15">
        <v>42530</v>
      </c>
      <c r="D482" s="16">
        <v>0.37777777777777777</v>
      </c>
      <c r="E482" s="14">
        <v>230</v>
      </c>
      <c r="F482" s="14">
        <v>1</v>
      </c>
      <c r="G482" s="17">
        <v>0.29133614870091512</v>
      </c>
      <c r="H482" s="1" t="s">
        <v>143</v>
      </c>
      <c r="I482" s="14"/>
    </row>
    <row r="483" spans="1:9" x14ac:dyDescent="0.25">
      <c r="A483" s="14">
        <v>2016</v>
      </c>
      <c r="B483" s="14">
        <v>161</v>
      </c>
      <c r="C483" s="15">
        <v>42530</v>
      </c>
      <c r="D483" s="16">
        <v>0.38541666666666669</v>
      </c>
      <c r="E483" s="14">
        <v>230</v>
      </c>
      <c r="F483" s="14">
        <v>2</v>
      </c>
      <c r="G483" s="17">
        <v>0.2931268831659552</v>
      </c>
      <c r="H483" s="1" t="s">
        <v>143</v>
      </c>
      <c r="I483" s="14"/>
    </row>
    <row r="484" spans="1:9" x14ac:dyDescent="0.25">
      <c r="A484" s="14">
        <v>2016</v>
      </c>
      <c r="B484" s="14">
        <v>161</v>
      </c>
      <c r="C484" s="15">
        <v>42530</v>
      </c>
      <c r="D484" s="16">
        <v>0.3923611111111111</v>
      </c>
      <c r="E484" s="14">
        <v>230</v>
      </c>
      <c r="F484" s="14">
        <v>3</v>
      </c>
      <c r="G484" s="17">
        <v>0.27665991188960848</v>
      </c>
      <c r="H484" s="1" t="s">
        <v>143</v>
      </c>
      <c r="I484" s="14"/>
    </row>
    <row r="485" spans="1:9" x14ac:dyDescent="0.25">
      <c r="A485" s="14">
        <v>2016</v>
      </c>
      <c r="B485" s="14">
        <v>161</v>
      </c>
      <c r="C485" s="15">
        <v>42530</v>
      </c>
      <c r="D485" s="16">
        <v>0.39861111111111108</v>
      </c>
      <c r="E485" s="14">
        <v>230</v>
      </c>
      <c r="F485" s="14">
        <v>4</v>
      </c>
      <c r="G485" s="17">
        <v>0.26523424742245061</v>
      </c>
      <c r="H485" s="1" t="s">
        <v>143</v>
      </c>
      <c r="I485" s="14"/>
    </row>
    <row r="486" spans="1:9" x14ac:dyDescent="0.25">
      <c r="A486" s="14">
        <v>2016</v>
      </c>
      <c r="B486" s="14">
        <v>161</v>
      </c>
      <c r="C486" s="15">
        <v>42530</v>
      </c>
      <c r="D486" s="16">
        <v>0.40486111111111112</v>
      </c>
      <c r="E486" s="14">
        <v>230</v>
      </c>
      <c r="F486" s="14">
        <v>5</v>
      </c>
      <c r="G486" s="17" t="e">
        <v>#N/A</v>
      </c>
      <c r="H486" s="1" t="s">
        <v>0</v>
      </c>
      <c r="I486" s="14"/>
    </row>
    <row r="487" spans="1:9" x14ac:dyDescent="0.25">
      <c r="A487" s="14">
        <v>2016</v>
      </c>
      <c r="B487" s="14">
        <v>161</v>
      </c>
      <c r="C487" s="15">
        <v>42530</v>
      </c>
      <c r="D487" s="16">
        <v>0.40972222222222227</v>
      </c>
      <c r="E487" s="14">
        <v>230</v>
      </c>
      <c r="F487" s="14">
        <v>6</v>
      </c>
      <c r="G487" s="17" t="e">
        <v>#N/A</v>
      </c>
      <c r="H487" s="1" t="s">
        <v>0</v>
      </c>
      <c r="I487" s="14"/>
    </row>
    <row r="488" spans="1:9" x14ac:dyDescent="0.25">
      <c r="A488" s="14">
        <v>2016</v>
      </c>
      <c r="B488" s="14">
        <v>161</v>
      </c>
      <c r="C488" s="15">
        <v>42530</v>
      </c>
      <c r="D488" s="16">
        <v>0.41041666666666665</v>
      </c>
      <c r="E488" s="14">
        <v>230</v>
      </c>
      <c r="F488" s="14">
        <v>7</v>
      </c>
      <c r="G488" s="17">
        <v>0.27609544124301977</v>
      </c>
      <c r="H488" s="1" t="s">
        <v>143</v>
      </c>
      <c r="I488" s="14"/>
    </row>
    <row r="489" spans="1:9" x14ac:dyDescent="0.25">
      <c r="A489" s="14">
        <v>2016</v>
      </c>
      <c r="B489" s="14">
        <v>161</v>
      </c>
      <c r="C489" s="15">
        <v>42530</v>
      </c>
      <c r="D489" s="16">
        <v>0.41736111111111113</v>
      </c>
      <c r="E489" s="14">
        <v>230</v>
      </c>
      <c r="F489" s="14">
        <v>8</v>
      </c>
      <c r="G489" s="17">
        <v>0.30581774046167398</v>
      </c>
      <c r="H489" s="1" t="s">
        <v>143</v>
      </c>
      <c r="I489" s="14"/>
    </row>
    <row r="490" spans="1:9" x14ac:dyDescent="0.25">
      <c r="A490" s="14">
        <v>2016</v>
      </c>
      <c r="B490" s="14">
        <v>161</v>
      </c>
      <c r="C490" s="15">
        <v>42530</v>
      </c>
      <c r="D490" s="16">
        <v>0.4284722222222222</v>
      </c>
      <c r="E490" s="14">
        <v>230</v>
      </c>
      <c r="F490" s="14">
        <v>9</v>
      </c>
      <c r="G490" s="17">
        <v>0.3048639797139896</v>
      </c>
      <c r="H490" s="1" t="s">
        <v>143</v>
      </c>
      <c r="I490" s="14"/>
    </row>
    <row r="491" spans="1:9" x14ac:dyDescent="0.25">
      <c r="A491" s="14">
        <v>2016</v>
      </c>
      <c r="B491" s="14">
        <v>161</v>
      </c>
      <c r="C491" s="15">
        <v>42530</v>
      </c>
      <c r="D491" s="16">
        <v>0.43541666666666662</v>
      </c>
      <c r="E491" s="14">
        <v>230</v>
      </c>
      <c r="F491" s="14">
        <v>10</v>
      </c>
      <c r="G491" s="17">
        <v>0.27300058493930918</v>
      </c>
      <c r="H491" s="1" t="s">
        <v>143</v>
      </c>
      <c r="I491" s="14"/>
    </row>
    <row r="492" spans="1:9" x14ac:dyDescent="0.25">
      <c r="A492" s="14">
        <v>2016</v>
      </c>
      <c r="B492" s="14">
        <v>161</v>
      </c>
      <c r="C492" s="15">
        <v>42530</v>
      </c>
      <c r="D492" s="16">
        <v>0.51388888888888895</v>
      </c>
      <c r="E492" s="14">
        <v>230</v>
      </c>
      <c r="F492" s="14">
        <v>11</v>
      </c>
      <c r="G492" s="17">
        <v>0.28454303643679574</v>
      </c>
      <c r="H492" s="1" t="s">
        <v>144</v>
      </c>
      <c r="I492" s="14"/>
    </row>
    <row r="493" spans="1:9" x14ac:dyDescent="0.25">
      <c r="A493" s="14">
        <v>2016</v>
      </c>
      <c r="B493" s="14">
        <v>161</v>
      </c>
      <c r="C493" s="15">
        <v>42530</v>
      </c>
      <c r="D493" s="16">
        <v>0.51458333333333328</v>
      </c>
      <c r="E493" s="14">
        <v>230</v>
      </c>
      <c r="F493" s="14">
        <v>12</v>
      </c>
      <c r="G493" s="17">
        <v>0.28611966134623318</v>
      </c>
      <c r="H493" s="1" t="s">
        <v>144</v>
      </c>
      <c r="I493" s="14"/>
    </row>
    <row r="494" spans="1:9" x14ac:dyDescent="0.25">
      <c r="A494" s="14">
        <v>2016</v>
      </c>
      <c r="B494" s="14">
        <v>161</v>
      </c>
      <c r="C494" s="15">
        <v>42530</v>
      </c>
      <c r="D494" s="16">
        <v>0.52569444444444446</v>
      </c>
      <c r="E494" s="14">
        <v>230</v>
      </c>
      <c r="F494" s="14">
        <v>13</v>
      </c>
      <c r="G494" s="17">
        <v>0.27422684875776054</v>
      </c>
      <c r="H494" s="1" t="s">
        <v>144</v>
      </c>
      <c r="I494" s="14"/>
    </row>
    <row r="495" spans="1:9" x14ac:dyDescent="0.25">
      <c r="A495" s="14">
        <v>2016</v>
      </c>
      <c r="B495" s="14">
        <v>161</v>
      </c>
      <c r="C495" s="15">
        <v>42530</v>
      </c>
      <c r="D495" s="16">
        <v>0.53194444444444444</v>
      </c>
      <c r="E495" s="14">
        <v>230</v>
      </c>
      <c r="F495" s="14">
        <v>14</v>
      </c>
      <c r="G495" s="17">
        <v>0.26842642625143509</v>
      </c>
      <c r="H495" s="1" t="s">
        <v>144</v>
      </c>
      <c r="I495" s="14"/>
    </row>
    <row r="496" spans="1:9" x14ac:dyDescent="0.25">
      <c r="A496" s="14">
        <v>2016</v>
      </c>
      <c r="B496" s="14">
        <v>161</v>
      </c>
      <c r="C496" s="15">
        <v>42530</v>
      </c>
      <c r="D496" s="16">
        <v>0.53819444444444442</v>
      </c>
      <c r="E496" s="14">
        <v>230</v>
      </c>
      <c r="F496" s="14">
        <v>15</v>
      </c>
      <c r="G496" s="17" t="e">
        <v>#N/A</v>
      </c>
      <c r="H496" s="1" t="s">
        <v>1</v>
      </c>
      <c r="I496" s="14"/>
    </row>
    <row r="497" spans="1:9" x14ac:dyDescent="0.25">
      <c r="A497" s="14">
        <v>2016</v>
      </c>
      <c r="B497" s="14">
        <v>161</v>
      </c>
      <c r="C497" s="15">
        <v>42530</v>
      </c>
      <c r="D497" s="16">
        <v>0.54305555555555551</v>
      </c>
      <c r="E497" s="14">
        <v>230</v>
      </c>
      <c r="F497" s="14">
        <v>16</v>
      </c>
      <c r="G497" s="17" t="e">
        <v>#N/A</v>
      </c>
      <c r="H497" s="1" t="s">
        <v>1</v>
      </c>
      <c r="I497" s="14"/>
    </row>
    <row r="498" spans="1:9" x14ac:dyDescent="0.25">
      <c r="A498" s="14">
        <v>2016</v>
      </c>
      <c r="B498" s="14">
        <v>161</v>
      </c>
      <c r="C498" s="15">
        <v>42530</v>
      </c>
      <c r="D498" s="16">
        <v>0.54236111111111118</v>
      </c>
      <c r="E498" s="14">
        <v>230</v>
      </c>
      <c r="F498" s="14">
        <v>17</v>
      </c>
      <c r="G498" s="17">
        <v>0.29801247393470581</v>
      </c>
      <c r="H498" s="1" t="s">
        <v>144</v>
      </c>
      <c r="I498" s="14"/>
    </row>
    <row r="499" spans="1:9" x14ac:dyDescent="0.25">
      <c r="A499" s="14">
        <v>2016</v>
      </c>
      <c r="B499" s="14">
        <v>161</v>
      </c>
      <c r="C499" s="15">
        <v>42530</v>
      </c>
      <c r="D499" s="16">
        <v>0.54861111111111105</v>
      </c>
      <c r="E499" s="14">
        <v>230</v>
      </c>
      <c r="F499" s="14">
        <v>18</v>
      </c>
      <c r="G499" s="17">
        <v>0.29147240023629861</v>
      </c>
      <c r="H499" s="1" t="s">
        <v>144</v>
      </c>
      <c r="I499" s="14"/>
    </row>
    <row r="500" spans="1:9" x14ac:dyDescent="0.25">
      <c r="A500" s="14">
        <v>2016</v>
      </c>
      <c r="B500" s="14">
        <v>161</v>
      </c>
      <c r="C500" s="15">
        <v>42530</v>
      </c>
      <c r="D500" s="16">
        <v>0.56041666666666667</v>
      </c>
      <c r="E500" s="14">
        <v>230</v>
      </c>
      <c r="F500" s="14">
        <v>19</v>
      </c>
      <c r="G500" s="17">
        <v>0.27950172962760683</v>
      </c>
      <c r="H500" s="1" t="s">
        <v>144</v>
      </c>
      <c r="I500" s="14"/>
    </row>
    <row r="501" spans="1:9" x14ac:dyDescent="0.25">
      <c r="A501" s="14">
        <v>2016</v>
      </c>
      <c r="B501" s="14">
        <v>161</v>
      </c>
      <c r="C501" s="15">
        <v>42530</v>
      </c>
      <c r="D501" s="16">
        <v>0.56041666666666667</v>
      </c>
      <c r="E501" s="14">
        <v>230</v>
      </c>
      <c r="F501" s="14">
        <v>20</v>
      </c>
      <c r="G501" s="17">
        <v>0.27950172962760683</v>
      </c>
      <c r="H501" s="1" t="s">
        <v>144</v>
      </c>
      <c r="I501" s="14"/>
    </row>
    <row r="502" spans="1:9" x14ac:dyDescent="0.25">
      <c r="A502" s="14">
        <v>2016</v>
      </c>
      <c r="B502" s="14">
        <v>161</v>
      </c>
      <c r="C502" s="15">
        <v>42530</v>
      </c>
      <c r="D502" s="16">
        <v>0.37777777777777777</v>
      </c>
      <c r="E502" s="14">
        <v>210</v>
      </c>
      <c r="F502" s="14">
        <v>1</v>
      </c>
      <c r="G502" s="17">
        <v>0.29951124082392416</v>
      </c>
      <c r="H502" s="1" t="s">
        <v>143</v>
      </c>
      <c r="I502" s="14"/>
    </row>
    <row r="503" spans="1:9" x14ac:dyDescent="0.25">
      <c r="A503" s="14">
        <v>2016</v>
      </c>
      <c r="B503" s="14">
        <v>161</v>
      </c>
      <c r="C503" s="15">
        <v>42530</v>
      </c>
      <c r="D503" s="16">
        <v>0.38541666666666669</v>
      </c>
      <c r="E503" s="14">
        <v>210</v>
      </c>
      <c r="F503" s="14">
        <v>2</v>
      </c>
      <c r="G503" s="17">
        <v>0.2924456254890378</v>
      </c>
      <c r="H503" s="1" t="s">
        <v>143</v>
      </c>
      <c r="I503" s="14"/>
    </row>
    <row r="504" spans="1:9" x14ac:dyDescent="0.25">
      <c r="A504" s="14">
        <v>2016</v>
      </c>
      <c r="B504" s="14">
        <v>161</v>
      </c>
      <c r="C504" s="15">
        <v>42530</v>
      </c>
      <c r="D504" s="16">
        <v>0.3923611111111111</v>
      </c>
      <c r="E504" s="14">
        <v>210</v>
      </c>
      <c r="F504" s="14">
        <v>3</v>
      </c>
      <c r="G504" s="17">
        <v>0.27097627641361172</v>
      </c>
      <c r="H504" s="1" t="s">
        <v>143</v>
      </c>
      <c r="I504" s="14"/>
    </row>
    <row r="505" spans="1:9" x14ac:dyDescent="0.25">
      <c r="A505" s="14">
        <v>2016</v>
      </c>
      <c r="B505" s="14">
        <v>161</v>
      </c>
      <c r="C505" s="15">
        <v>42530</v>
      </c>
      <c r="D505" s="16">
        <v>0.39861111111111108</v>
      </c>
      <c r="E505" s="14">
        <v>210</v>
      </c>
      <c r="F505" s="14">
        <v>4</v>
      </c>
      <c r="G505" s="17">
        <v>0.27305897845447352</v>
      </c>
      <c r="H505" s="1" t="s">
        <v>143</v>
      </c>
      <c r="I505" s="14"/>
    </row>
    <row r="506" spans="1:9" x14ac:dyDescent="0.25">
      <c r="A506" s="14">
        <v>2016</v>
      </c>
      <c r="B506" s="14">
        <v>161</v>
      </c>
      <c r="C506" s="15">
        <v>42530</v>
      </c>
      <c r="D506" s="16">
        <v>0.40486111111111112</v>
      </c>
      <c r="E506" s="14">
        <v>210</v>
      </c>
      <c r="F506" s="14">
        <v>5</v>
      </c>
      <c r="G506" s="17" t="e">
        <v>#N/A</v>
      </c>
      <c r="H506" s="1" t="s">
        <v>0</v>
      </c>
      <c r="I506" s="14"/>
    </row>
    <row r="507" spans="1:9" x14ac:dyDescent="0.25">
      <c r="A507" s="14">
        <v>2016</v>
      </c>
      <c r="B507" s="14">
        <v>161</v>
      </c>
      <c r="C507" s="15">
        <v>42530</v>
      </c>
      <c r="D507" s="16">
        <v>0.40972222222222227</v>
      </c>
      <c r="E507" s="14">
        <v>210</v>
      </c>
      <c r="F507" s="14">
        <v>6</v>
      </c>
      <c r="G507" s="17" t="e">
        <v>#N/A</v>
      </c>
      <c r="H507" s="1" t="s">
        <v>0</v>
      </c>
      <c r="I507" s="14"/>
    </row>
    <row r="508" spans="1:9" x14ac:dyDescent="0.25">
      <c r="A508" s="14">
        <v>2016</v>
      </c>
      <c r="B508" s="14">
        <v>161</v>
      </c>
      <c r="C508" s="15">
        <v>42530</v>
      </c>
      <c r="D508" s="16">
        <v>0.41041666666666665</v>
      </c>
      <c r="E508" s="14">
        <v>210</v>
      </c>
      <c r="F508" s="14">
        <v>7</v>
      </c>
      <c r="G508" s="17">
        <v>0.27767206615245721</v>
      </c>
      <c r="H508" s="1" t="s">
        <v>143</v>
      </c>
      <c r="I508" s="14"/>
    </row>
    <row r="509" spans="1:9" x14ac:dyDescent="0.25">
      <c r="A509" s="14">
        <v>2016</v>
      </c>
      <c r="B509" s="14">
        <v>161</v>
      </c>
      <c r="C509" s="15">
        <v>42530</v>
      </c>
      <c r="D509" s="16">
        <v>0.41736111111111113</v>
      </c>
      <c r="E509" s="14">
        <v>210</v>
      </c>
      <c r="F509" s="14">
        <v>8</v>
      </c>
      <c r="G509" s="17">
        <v>0.29910248621777369</v>
      </c>
      <c r="H509" s="1" t="s">
        <v>143</v>
      </c>
      <c r="I509" s="14"/>
    </row>
    <row r="510" spans="1:9" x14ac:dyDescent="0.25">
      <c r="A510" s="14">
        <v>2016</v>
      </c>
      <c r="B510" s="14">
        <v>161</v>
      </c>
      <c r="C510" s="15">
        <v>42530</v>
      </c>
      <c r="D510" s="16">
        <v>0.4284722222222222</v>
      </c>
      <c r="E510" s="14">
        <v>210</v>
      </c>
      <c r="F510" s="14">
        <v>9</v>
      </c>
      <c r="G510" s="17">
        <v>0.2983239060155824</v>
      </c>
      <c r="H510" s="1" t="s">
        <v>143</v>
      </c>
      <c r="I510" s="14"/>
    </row>
    <row r="511" spans="1:9" x14ac:dyDescent="0.25">
      <c r="A511" s="14">
        <v>2016</v>
      </c>
      <c r="B511" s="14">
        <v>161</v>
      </c>
      <c r="C511" s="15">
        <v>42530</v>
      </c>
      <c r="D511" s="16">
        <v>0.43541666666666662</v>
      </c>
      <c r="E511" s="14">
        <v>210</v>
      </c>
      <c r="F511" s="14">
        <v>10</v>
      </c>
      <c r="G511" s="17">
        <v>0.26688873035210725</v>
      </c>
      <c r="H511" s="1" t="s">
        <v>143</v>
      </c>
      <c r="I511" s="14"/>
    </row>
    <row r="512" spans="1:9" x14ac:dyDescent="0.25">
      <c r="A512" s="14">
        <v>2016</v>
      </c>
      <c r="B512" s="14">
        <v>161</v>
      </c>
      <c r="C512" s="15">
        <v>42530</v>
      </c>
      <c r="D512" s="16">
        <v>0.51388888888888895</v>
      </c>
      <c r="E512" s="14">
        <v>210</v>
      </c>
      <c r="F512" s="14">
        <v>11</v>
      </c>
      <c r="G512" s="17">
        <v>0.30034821454127986</v>
      </c>
      <c r="H512" s="1" t="s">
        <v>144</v>
      </c>
      <c r="I512" s="14"/>
    </row>
    <row r="513" spans="1:9" x14ac:dyDescent="0.25">
      <c r="A513" s="14">
        <v>2016</v>
      </c>
      <c r="B513" s="14">
        <v>161</v>
      </c>
      <c r="C513" s="15">
        <v>42530</v>
      </c>
      <c r="D513" s="16">
        <v>0.51458333333333328</v>
      </c>
      <c r="E513" s="14">
        <v>210</v>
      </c>
      <c r="F513" s="14">
        <v>12</v>
      </c>
      <c r="G513" s="17">
        <v>0.30128251078390944</v>
      </c>
      <c r="H513" s="1" t="s">
        <v>144</v>
      </c>
      <c r="I513" s="14"/>
    </row>
    <row r="514" spans="1:9" x14ac:dyDescent="0.25">
      <c r="A514" s="14">
        <v>2016</v>
      </c>
      <c r="B514" s="14">
        <v>161</v>
      </c>
      <c r="C514" s="15">
        <v>42530</v>
      </c>
      <c r="D514" s="16">
        <v>0.52569444444444446</v>
      </c>
      <c r="E514" s="14">
        <v>210</v>
      </c>
      <c r="F514" s="14">
        <v>13</v>
      </c>
      <c r="G514" s="17">
        <v>0.28479607500250792</v>
      </c>
      <c r="H514" s="1" t="s">
        <v>144</v>
      </c>
      <c r="I514" s="14"/>
    </row>
    <row r="515" spans="1:9" x14ac:dyDescent="0.25">
      <c r="A515" s="14">
        <v>2016</v>
      </c>
      <c r="B515" s="14">
        <v>161</v>
      </c>
      <c r="C515" s="15">
        <v>42530</v>
      </c>
      <c r="D515" s="16">
        <v>0.53194444444444444</v>
      </c>
      <c r="E515" s="14">
        <v>210</v>
      </c>
      <c r="F515" s="14">
        <v>14</v>
      </c>
      <c r="G515" s="17">
        <v>0.26223671364401402</v>
      </c>
      <c r="H515" s="1" t="s">
        <v>144</v>
      </c>
      <c r="I515" s="14"/>
    </row>
    <row r="516" spans="1:9" x14ac:dyDescent="0.25">
      <c r="A516" s="14">
        <v>2016</v>
      </c>
      <c r="B516" s="14">
        <v>161</v>
      </c>
      <c r="C516" s="15">
        <v>42530</v>
      </c>
      <c r="D516" s="16">
        <v>0.53819444444444442</v>
      </c>
      <c r="E516" s="14">
        <v>210</v>
      </c>
      <c r="F516" s="14">
        <v>15</v>
      </c>
      <c r="G516" s="17" t="e">
        <v>#N/A</v>
      </c>
      <c r="H516" s="1" t="s">
        <v>1</v>
      </c>
      <c r="I516" s="14"/>
    </row>
    <row r="517" spans="1:9" x14ac:dyDescent="0.25">
      <c r="A517" s="14">
        <v>2016</v>
      </c>
      <c r="B517" s="14">
        <v>161</v>
      </c>
      <c r="C517" s="15">
        <v>42530</v>
      </c>
      <c r="D517" s="16">
        <v>0.54305555555555551</v>
      </c>
      <c r="E517" s="14">
        <v>210</v>
      </c>
      <c r="F517" s="14">
        <v>16</v>
      </c>
      <c r="G517" s="17" t="e">
        <v>#N/A</v>
      </c>
      <c r="H517" s="1" t="s">
        <v>1</v>
      </c>
      <c r="I517" s="14"/>
    </row>
    <row r="518" spans="1:9" x14ac:dyDescent="0.25">
      <c r="A518" s="14">
        <v>2016</v>
      </c>
      <c r="B518" s="14">
        <v>161</v>
      </c>
      <c r="C518" s="15">
        <v>42530</v>
      </c>
      <c r="D518" s="16">
        <v>0.54236111111111118</v>
      </c>
      <c r="E518" s="14">
        <v>210</v>
      </c>
      <c r="F518" s="14">
        <v>17</v>
      </c>
      <c r="G518" s="17">
        <v>0.30200269747093644</v>
      </c>
      <c r="H518" s="1" t="s">
        <v>144</v>
      </c>
      <c r="I518" s="14"/>
    </row>
    <row r="519" spans="1:9" x14ac:dyDescent="0.25">
      <c r="A519" s="14">
        <v>2016</v>
      </c>
      <c r="B519" s="14">
        <v>161</v>
      </c>
      <c r="C519" s="15">
        <v>42530</v>
      </c>
      <c r="D519" s="16">
        <v>0.54861111111111105</v>
      </c>
      <c r="E519" s="14">
        <v>210</v>
      </c>
      <c r="F519" s="14">
        <v>18</v>
      </c>
      <c r="G519" s="17">
        <v>0.29579352035846057</v>
      </c>
      <c r="H519" s="1" t="s">
        <v>144</v>
      </c>
      <c r="I519" s="14"/>
    </row>
    <row r="520" spans="1:9" x14ac:dyDescent="0.25">
      <c r="A520" s="14">
        <v>2016</v>
      </c>
      <c r="B520" s="14">
        <v>161</v>
      </c>
      <c r="C520" s="15">
        <v>42530</v>
      </c>
      <c r="D520" s="16">
        <v>0.56041666666666667</v>
      </c>
      <c r="E520" s="14">
        <v>210</v>
      </c>
      <c r="F520" s="14">
        <v>19</v>
      </c>
      <c r="G520" s="17">
        <v>0.28997363334708032</v>
      </c>
      <c r="H520" s="1" t="s">
        <v>144</v>
      </c>
      <c r="I520" s="14"/>
    </row>
    <row r="521" spans="1:9" x14ac:dyDescent="0.25">
      <c r="A521" s="14">
        <v>2016</v>
      </c>
      <c r="B521" s="14">
        <v>161</v>
      </c>
      <c r="C521" s="15">
        <v>42530</v>
      </c>
      <c r="D521" s="16">
        <v>0.56041666666666667</v>
      </c>
      <c r="E521" s="14">
        <v>210</v>
      </c>
      <c r="F521" s="14">
        <v>20</v>
      </c>
      <c r="G521" s="17">
        <v>0.28997363334708032</v>
      </c>
      <c r="H521" s="1" t="s">
        <v>144</v>
      </c>
      <c r="I521" s="14"/>
    </row>
    <row r="522" spans="1:9" x14ac:dyDescent="0.25">
      <c r="A522" s="14">
        <v>2016</v>
      </c>
      <c r="B522" s="14">
        <v>161</v>
      </c>
      <c r="C522" s="15">
        <v>42530</v>
      </c>
      <c r="D522" s="16">
        <v>0.37777777777777777</v>
      </c>
      <c r="E522" s="14">
        <v>190</v>
      </c>
      <c r="F522" s="14">
        <v>1</v>
      </c>
      <c r="G522" s="17">
        <v>0.28181800572912608</v>
      </c>
      <c r="H522" s="1" t="s">
        <v>143</v>
      </c>
      <c r="I522" s="14"/>
    </row>
    <row r="523" spans="1:9" x14ac:dyDescent="0.25">
      <c r="A523" s="14">
        <v>2016</v>
      </c>
      <c r="B523" s="14">
        <v>161</v>
      </c>
      <c r="C523" s="15">
        <v>42530</v>
      </c>
      <c r="D523" s="16">
        <v>0.38541666666666669</v>
      </c>
      <c r="E523" s="14">
        <v>190</v>
      </c>
      <c r="F523" s="14">
        <v>2</v>
      </c>
      <c r="G523" s="17">
        <v>0.28946755621565595</v>
      </c>
      <c r="H523" s="1" t="s">
        <v>143</v>
      </c>
      <c r="I523" s="14"/>
    </row>
    <row r="524" spans="1:9" x14ac:dyDescent="0.25">
      <c r="A524" s="14">
        <v>2016</v>
      </c>
      <c r="B524" s="14">
        <v>161</v>
      </c>
      <c r="C524" s="15">
        <v>42530</v>
      </c>
      <c r="D524" s="16">
        <v>0.3923611111111111</v>
      </c>
      <c r="E524" s="14">
        <v>190</v>
      </c>
      <c r="F524" s="14">
        <v>3</v>
      </c>
      <c r="G524" s="17">
        <v>0.29513172718659786</v>
      </c>
      <c r="H524" s="1" t="s">
        <v>143</v>
      </c>
      <c r="I524" s="14"/>
    </row>
    <row r="525" spans="1:9" x14ac:dyDescent="0.25">
      <c r="A525" s="14">
        <v>2016</v>
      </c>
      <c r="B525" s="14">
        <v>161</v>
      </c>
      <c r="C525" s="15">
        <v>42530</v>
      </c>
      <c r="D525" s="16">
        <v>0.39861111111111108</v>
      </c>
      <c r="E525" s="14">
        <v>190</v>
      </c>
      <c r="F525" s="14">
        <v>4</v>
      </c>
      <c r="G525" s="17">
        <v>0.28623644837656187</v>
      </c>
      <c r="H525" s="1" t="s">
        <v>143</v>
      </c>
      <c r="I525" s="14"/>
    </row>
    <row r="526" spans="1:9" x14ac:dyDescent="0.25">
      <c r="A526" s="14">
        <v>2016</v>
      </c>
      <c r="B526" s="14">
        <v>161</v>
      </c>
      <c r="C526" s="15">
        <v>42530</v>
      </c>
      <c r="D526" s="16">
        <v>0.40486111111111112</v>
      </c>
      <c r="E526" s="14">
        <v>190</v>
      </c>
      <c r="F526" s="14">
        <v>5</v>
      </c>
      <c r="G526" s="17">
        <v>0.33238678986145326</v>
      </c>
      <c r="H526" s="1" t="s">
        <v>0</v>
      </c>
      <c r="I526" s="14"/>
    </row>
    <row r="527" spans="1:9" x14ac:dyDescent="0.25">
      <c r="A527" s="14">
        <v>2016</v>
      </c>
      <c r="B527" s="14">
        <v>161</v>
      </c>
      <c r="C527" s="15">
        <v>42530</v>
      </c>
      <c r="D527" s="16">
        <v>0.40972222222222227</v>
      </c>
      <c r="E527" s="14">
        <v>190</v>
      </c>
      <c r="F527" s="14">
        <v>6</v>
      </c>
      <c r="G527" s="17">
        <v>0.34134046218665365</v>
      </c>
      <c r="H527" s="1" t="s">
        <v>0</v>
      </c>
      <c r="I527" s="14"/>
    </row>
    <row r="528" spans="1:9" x14ac:dyDescent="0.25">
      <c r="A528" s="14">
        <v>2016</v>
      </c>
      <c r="B528" s="14">
        <v>161</v>
      </c>
      <c r="C528" s="15">
        <v>42530</v>
      </c>
      <c r="D528" s="16">
        <v>0.41041666666666665</v>
      </c>
      <c r="E528" s="14">
        <v>190</v>
      </c>
      <c r="F528" s="14">
        <v>7</v>
      </c>
      <c r="G528" s="17">
        <v>0.28392017227504268</v>
      </c>
      <c r="H528" s="1" t="s">
        <v>143</v>
      </c>
      <c r="I528" s="14"/>
    </row>
    <row r="529" spans="1:9" x14ac:dyDescent="0.25">
      <c r="A529" s="14">
        <v>2016</v>
      </c>
      <c r="B529" s="14">
        <v>161</v>
      </c>
      <c r="C529" s="15">
        <v>42530</v>
      </c>
      <c r="D529" s="16">
        <v>0.41736111111111113</v>
      </c>
      <c r="E529" s="14">
        <v>190</v>
      </c>
      <c r="F529" s="14">
        <v>8</v>
      </c>
      <c r="G529" s="17">
        <v>0.28711235110402716</v>
      </c>
      <c r="H529" s="1" t="s">
        <v>143</v>
      </c>
      <c r="I529" s="14"/>
    </row>
    <row r="530" spans="1:9" x14ac:dyDescent="0.25">
      <c r="A530" s="14">
        <v>2016</v>
      </c>
      <c r="B530" s="14">
        <v>161</v>
      </c>
      <c r="C530" s="15">
        <v>42530</v>
      </c>
      <c r="D530" s="16">
        <v>0.4284722222222222</v>
      </c>
      <c r="E530" s="14">
        <v>190</v>
      </c>
      <c r="F530" s="14">
        <v>9</v>
      </c>
      <c r="G530" s="17">
        <v>0.28847486645786202</v>
      </c>
      <c r="H530" s="1" t="s">
        <v>143</v>
      </c>
      <c r="I530" s="14"/>
    </row>
    <row r="531" spans="1:9" x14ac:dyDescent="0.25">
      <c r="A531" s="14">
        <v>2016</v>
      </c>
      <c r="B531" s="14">
        <v>161</v>
      </c>
      <c r="C531" s="15">
        <v>42530</v>
      </c>
      <c r="D531" s="16">
        <v>0.43541666666666662</v>
      </c>
      <c r="E531" s="14">
        <v>190</v>
      </c>
      <c r="F531" s="14">
        <v>10</v>
      </c>
      <c r="G531" s="17">
        <v>0.2917643678121204</v>
      </c>
      <c r="H531" s="1" t="s">
        <v>143</v>
      </c>
      <c r="I531" s="14"/>
    </row>
    <row r="532" spans="1:9" x14ac:dyDescent="0.25">
      <c r="A532" s="14">
        <v>2016</v>
      </c>
      <c r="B532" s="14">
        <v>161</v>
      </c>
      <c r="C532" s="15">
        <v>42530</v>
      </c>
      <c r="D532" s="16">
        <v>0.51388888888888895</v>
      </c>
      <c r="E532" s="14">
        <v>190</v>
      </c>
      <c r="F532" s="14">
        <v>11</v>
      </c>
      <c r="G532" s="17">
        <v>0.30149662033951202</v>
      </c>
      <c r="H532" s="1" t="s">
        <v>144</v>
      </c>
      <c r="I532" s="14"/>
    </row>
    <row r="533" spans="1:9" x14ac:dyDescent="0.25">
      <c r="A533" s="14">
        <v>2016</v>
      </c>
      <c r="B533" s="14">
        <v>161</v>
      </c>
      <c r="C533" s="15">
        <v>42530</v>
      </c>
      <c r="D533" s="16">
        <v>0.51458333333333328</v>
      </c>
      <c r="E533" s="14">
        <v>190</v>
      </c>
      <c r="F533" s="14">
        <v>12</v>
      </c>
      <c r="G533" s="17">
        <v>0.30657685615881053</v>
      </c>
      <c r="H533" s="1" t="s">
        <v>144</v>
      </c>
      <c r="I533" s="14"/>
    </row>
    <row r="534" spans="1:9" x14ac:dyDescent="0.25">
      <c r="A534" s="14">
        <v>2016</v>
      </c>
      <c r="B534" s="14">
        <v>161</v>
      </c>
      <c r="C534" s="15">
        <v>42530</v>
      </c>
      <c r="D534" s="16">
        <v>0.52569444444444446</v>
      </c>
      <c r="E534" s="14">
        <v>190</v>
      </c>
      <c r="F534" s="14">
        <v>13</v>
      </c>
      <c r="G534" s="17">
        <v>0.28195425726450957</v>
      </c>
      <c r="H534" s="1" t="s">
        <v>144</v>
      </c>
      <c r="I534" s="14"/>
    </row>
    <row r="535" spans="1:9" x14ac:dyDescent="0.25">
      <c r="A535" s="14">
        <v>2016</v>
      </c>
      <c r="B535" s="14">
        <v>161</v>
      </c>
      <c r="C535" s="15">
        <v>42530</v>
      </c>
      <c r="D535" s="16">
        <v>0.53194444444444444</v>
      </c>
      <c r="E535" s="14">
        <v>190</v>
      </c>
      <c r="F535" s="14">
        <v>14</v>
      </c>
      <c r="G535" s="17">
        <v>0.29314634767101</v>
      </c>
      <c r="H535" s="1" t="s">
        <v>144</v>
      </c>
      <c r="I535" s="14"/>
    </row>
    <row r="536" spans="1:9" x14ac:dyDescent="0.25">
      <c r="A536" s="14">
        <v>2016</v>
      </c>
      <c r="B536" s="14">
        <v>161</v>
      </c>
      <c r="C536" s="15">
        <v>42530</v>
      </c>
      <c r="D536" s="16">
        <v>0.53819444444444442</v>
      </c>
      <c r="E536" s="14">
        <v>190</v>
      </c>
      <c r="F536" s="14">
        <v>15</v>
      </c>
      <c r="G536" s="17">
        <v>0.32827977929489399</v>
      </c>
      <c r="H536" s="1" t="s">
        <v>1</v>
      </c>
      <c r="I536" s="14"/>
    </row>
    <row r="537" spans="1:9" x14ac:dyDescent="0.25">
      <c r="A537" s="14">
        <v>2016</v>
      </c>
      <c r="B537" s="14">
        <v>161</v>
      </c>
      <c r="C537" s="15">
        <v>42530</v>
      </c>
      <c r="D537" s="16">
        <v>0.54305555555555551</v>
      </c>
      <c r="E537" s="14">
        <v>190</v>
      </c>
      <c r="F537" s="14">
        <v>16</v>
      </c>
      <c r="G537" s="17">
        <v>0.31710715339344836</v>
      </c>
      <c r="H537" s="1" t="s">
        <v>1</v>
      </c>
      <c r="I537" s="14"/>
    </row>
    <row r="538" spans="1:9" x14ac:dyDescent="0.25">
      <c r="A538" s="14">
        <v>2016</v>
      </c>
      <c r="B538" s="14">
        <v>161</v>
      </c>
      <c r="C538" s="15">
        <v>42530</v>
      </c>
      <c r="D538" s="16">
        <v>0.54236111111111118</v>
      </c>
      <c r="E538" s="14">
        <v>190</v>
      </c>
      <c r="F538" s="14">
        <v>17</v>
      </c>
      <c r="G538" s="17">
        <v>0.31593928309016134</v>
      </c>
      <c r="H538" s="1" t="s">
        <v>144</v>
      </c>
      <c r="I538" s="14"/>
    </row>
    <row r="539" spans="1:9" x14ac:dyDescent="0.25">
      <c r="A539" s="14">
        <v>2016</v>
      </c>
      <c r="B539" s="14">
        <v>161</v>
      </c>
      <c r="C539" s="15">
        <v>42530</v>
      </c>
      <c r="D539" s="16">
        <v>0.54861111111111105</v>
      </c>
      <c r="E539" s="14">
        <v>190</v>
      </c>
      <c r="F539" s="14">
        <v>18</v>
      </c>
      <c r="G539" s="17">
        <v>0.30737490086605662</v>
      </c>
      <c r="H539" s="1" t="s">
        <v>144</v>
      </c>
      <c r="I539" s="14"/>
    </row>
    <row r="540" spans="1:9" x14ac:dyDescent="0.25">
      <c r="A540" s="14">
        <v>2016</v>
      </c>
      <c r="B540" s="14">
        <v>161</v>
      </c>
      <c r="C540" s="15">
        <v>42530</v>
      </c>
      <c r="D540" s="16">
        <v>0.56041666666666667</v>
      </c>
      <c r="E540" s="14">
        <v>190</v>
      </c>
      <c r="F540" s="14">
        <v>19</v>
      </c>
      <c r="G540" s="17">
        <v>0.29956963433908851</v>
      </c>
      <c r="H540" s="1" t="s">
        <v>144</v>
      </c>
      <c r="I540" s="14"/>
    </row>
    <row r="541" spans="1:9" x14ac:dyDescent="0.25">
      <c r="A541" s="14">
        <v>2016</v>
      </c>
      <c r="B541" s="14">
        <v>161</v>
      </c>
      <c r="C541" s="15">
        <v>42530</v>
      </c>
      <c r="D541" s="16">
        <v>0.56041666666666667</v>
      </c>
      <c r="E541" s="14">
        <v>190</v>
      </c>
      <c r="F541" s="14">
        <v>20</v>
      </c>
      <c r="G541" s="17">
        <v>0.29956963433908851</v>
      </c>
      <c r="H541" s="1" t="s">
        <v>144</v>
      </c>
      <c r="I541" s="14"/>
    </row>
    <row r="542" spans="1:9" x14ac:dyDescent="0.25">
      <c r="A542" s="14">
        <v>2016</v>
      </c>
      <c r="B542" s="14">
        <v>161</v>
      </c>
      <c r="C542" s="15">
        <v>42530</v>
      </c>
      <c r="D542" s="16">
        <v>0.37777777777777777</v>
      </c>
      <c r="E542" s="14">
        <v>170</v>
      </c>
      <c r="F542" s="14">
        <v>1</v>
      </c>
      <c r="G542" s="17">
        <v>0.27665991188960848</v>
      </c>
      <c r="H542" s="1" t="s">
        <v>143</v>
      </c>
      <c r="I542" s="14"/>
    </row>
    <row r="543" spans="1:9" x14ac:dyDescent="0.25">
      <c r="A543" s="14">
        <v>2016</v>
      </c>
      <c r="B543" s="14">
        <v>161</v>
      </c>
      <c r="C543" s="15">
        <v>42530</v>
      </c>
      <c r="D543" s="16">
        <v>0.38541666666666669</v>
      </c>
      <c r="E543" s="14">
        <v>170</v>
      </c>
      <c r="F543" s="14">
        <v>2</v>
      </c>
      <c r="G543" s="17">
        <v>0.27292272691909009</v>
      </c>
      <c r="H543" s="1" t="s">
        <v>143</v>
      </c>
      <c r="I543" s="14"/>
    </row>
    <row r="544" spans="1:9" x14ac:dyDescent="0.25">
      <c r="A544" s="14">
        <v>2016</v>
      </c>
      <c r="B544" s="14">
        <v>161</v>
      </c>
      <c r="C544" s="15">
        <v>42530</v>
      </c>
      <c r="D544" s="16">
        <v>0.3923611111111111</v>
      </c>
      <c r="E544" s="14">
        <v>170</v>
      </c>
      <c r="F544" s="14">
        <v>3</v>
      </c>
      <c r="G544" s="17">
        <v>0.28756003472028718</v>
      </c>
      <c r="H544" s="1" t="s">
        <v>143</v>
      </c>
      <c r="I544" s="14"/>
    </row>
    <row r="545" spans="1:9" x14ac:dyDescent="0.25">
      <c r="A545" s="14">
        <v>2016</v>
      </c>
      <c r="B545" s="14">
        <v>161</v>
      </c>
      <c r="C545" s="15">
        <v>42530</v>
      </c>
      <c r="D545" s="16">
        <v>0.39861111111111108</v>
      </c>
      <c r="E545" s="14">
        <v>170</v>
      </c>
      <c r="F545" s="14">
        <v>4</v>
      </c>
      <c r="G545" s="17">
        <v>0.28384231425482354</v>
      </c>
      <c r="H545" s="1" t="s">
        <v>143</v>
      </c>
      <c r="I545" s="14"/>
    </row>
    <row r="546" spans="1:9" x14ac:dyDescent="0.25">
      <c r="A546" s="14">
        <v>2016</v>
      </c>
      <c r="B546" s="14">
        <v>161</v>
      </c>
      <c r="C546" s="15">
        <v>42530</v>
      </c>
      <c r="D546" s="16">
        <v>0.40486111111111112</v>
      </c>
      <c r="E546" s="14">
        <v>170</v>
      </c>
      <c r="F546" s="14">
        <v>5</v>
      </c>
      <c r="G546" s="17">
        <v>0.32504867145579996</v>
      </c>
      <c r="H546" s="1" t="s">
        <v>0</v>
      </c>
      <c r="I546" s="14"/>
    </row>
    <row r="547" spans="1:9" x14ac:dyDescent="0.25">
      <c r="A547" s="14">
        <v>2016</v>
      </c>
      <c r="B547" s="14">
        <v>161</v>
      </c>
      <c r="C547" s="15">
        <v>42530</v>
      </c>
      <c r="D547" s="16">
        <v>0.40972222222222227</v>
      </c>
      <c r="E547" s="14">
        <v>170</v>
      </c>
      <c r="F547" s="14">
        <v>6</v>
      </c>
      <c r="G547" s="17">
        <v>0.32703405097138788</v>
      </c>
      <c r="H547" s="1" t="s">
        <v>0</v>
      </c>
      <c r="I547" s="14"/>
    </row>
    <row r="548" spans="1:9" x14ac:dyDescent="0.25">
      <c r="A548" s="14">
        <v>2016</v>
      </c>
      <c r="B548" s="14">
        <v>161</v>
      </c>
      <c r="C548" s="15">
        <v>42530</v>
      </c>
      <c r="D548" s="16">
        <v>0.41041666666666665</v>
      </c>
      <c r="E548" s="14">
        <v>170</v>
      </c>
      <c r="F548" s="14">
        <v>7</v>
      </c>
      <c r="G548" s="17">
        <v>0.29991999543007458</v>
      </c>
      <c r="H548" s="1" t="s">
        <v>143</v>
      </c>
      <c r="I548" s="14"/>
    </row>
    <row r="549" spans="1:9" x14ac:dyDescent="0.25">
      <c r="A549" s="14">
        <v>2016</v>
      </c>
      <c r="B549" s="14">
        <v>161</v>
      </c>
      <c r="C549" s="15">
        <v>42530</v>
      </c>
      <c r="D549" s="16">
        <v>0.41736111111111113</v>
      </c>
      <c r="E549" s="14">
        <v>170</v>
      </c>
      <c r="F549" s="14">
        <v>8</v>
      </c>
      <c r="G549" s="17">
        <v>0.30003678246040333</v>
      </c>
      <c r="H549" s="1" t="s">
        <v>143</v>
      </c>
      <c r="I549" s="14"/>
    </row>
    <row r="550" spans="1:9" x14ac:dyDescent="0.25">
      <c r="A550" s="14">
        <v>2016</v>
      </c>
      <c r="B550" s="14">
        <v>161</v>
      </c>
      <c r="C550" s="15">
        <v>42530</v>
      </c>
      <c r="D550" s="16">
        <v>0.4284722222222222</v>
      </c>
      <c r="E550" s="14">
        <v>170</v>
      </c>
      <c r="F550" s="14">
        <v>9</v>
      </c>
      <c r="G550" s="17">
        <v>0.2990051636924998</v>
      </c>
      <c r="H550" s="1" t="s">
        <v>143</v>
      </c>
      <c r="I550" s="14"/>
    </row>
    <row r="551" spans="1:9" x14ac:dyDescent="0.25">
      <c r="A551" s="14">
        <v>2016</v>
      </c>
      <c r="B551" s="14">
        <v>161</v>
      </c>
      <c r="C551" s="15">
        <v>42530</v>
      </c>
      <c r="D551" s="16">
        <v>0.43541666666666662</v>
      </c>
      <c r="E551" s="14">
        <v>170</v>
      </c>
      <c r="F551" s="14">
        <v>10</v>
      </c>
      <c r="G551" s="17">
        <v>0.30618756605771486</v>
      </c>
      <c r="H551" s="1" t="s">
        <v>143</v>
      </c>
      <c r="I551" s="14"/>
    </row>
    <row r="552" spans="1:9" x14ac:dyDescent="0.25">
      <c r="A552" s="14">
        <v>2016</v>
      </c>
      <c r="B552" s="14">
        <v>161</v>
      </c>
      <c r="C552" s="15">
        <v>42530</v>
      </c>
      <c r="D552" s="16">
        <v>0.51388888888888895</v>
      </c>
      <c r="E552" s="14">
        <v>170</v>
      </c>
      <c r="F552" s="14">
        <v>11</v>
      </c>
      <c r="G552" s="17">
        <v>0.3172823339389414</v>
      </c>
      <c r="H552" s="1" t="s">
        <v>144</v>
      </c>
      <c r="I552" s="14"/>
    </row>
    <row r="553" spans="1:9" x14ac:dyDescent="0.25">
      <c r="A553" s="14">
        <v>2016</v>
      </c>
      <c r="B553" s="14">
        <v>161</v>
      </c>
      <c r="C553" s="15">
        <v>42530</v>
      </c>
      <c r="D553" s="16">
        <v>0.51458333333333328</v>
      </c>
      <c r="E553" s="14">
        <v>170</v>
      </c>
      <c r="F553" s="14">
        <v>12</v>
      </c>
      <c r="G553" s="17">
        <v>0.32915568202235923</v>
      </c>
      <c r="H553" s="1" t="s">
        <v>144</v>
      </c>
      <c r="I553" s="14"/>
    </row>
    <row r="554" spans="1:9" x14ac:dyDescent="0.25">
      <c r="A554" s="14">
        <v>2016</v>
      </c>
      <c r="B554" s="14">
        <v>161</v>
      </c>
      <c r="C554" s="15">
        <v>42530</v>
      </c>
      <c r="D554" s="16">
        <v>0.52569444444444446</v>
      </c>
      <c r="E554" s="14">
        <v>170</v>
      </c>
      <c r="F554" s="14">
        <v>13</v>
      </c>
      <c r="G554" s="17">
        <v>0.29842122854085629</v>
      </c>
      <c r="H554" s="1" t="s">
        <v>144</v>
      </c>
      <c r="I554" s="14"/>
    </row>
    <row r="555" spans="1:9" x14ac:dyDescent="0.25">
      <c r="A555" s="14">
        <v>2016</v>
      </c>
      <c r="B555" s="14">
        <v>161</v>
      </c>
      <c r="C555" s="15">
        <v>42530</v>
      </c>
      <c r="D555" s="16">
        <v>0.53194444444444444</v>
      </c>
      <c r="E555" s="14">
        <v>170</v>
      </c>
      <c r="F555" s="14">
        <v>14</v>
      </c>
      <c r="G555" s="17">
        <v>0.32362776258680076</v>
      </c>
      <c r="H555" s="1" t="s">
        <v>144</v>
      </c>
      <c r="I555" s="14"/>
    </row>
    <row r="556" spans="1:9" x14ac:dyDescent="0.25">
      <c r="A556" s="14">
        <v>2016</v>
      </c>
      <c r="B556" s="14">
        <v>161</v>
      </c>
      <c r="C556" s="15">
        <v>42530</v>
      </c>
      <c r="D556" s="16">
        <v>0.53819444444444442</v>
      </c>
      <c r="E556" s="14">
        <v>170</v>
      </c>
      <c r="F556" s="14">
        <v>15</v>
      </c>
      <c r="G556" s="17">
        <v>0.32646958032479911</v>
      </c>
      <c r="H556" s="1" t="s">
        <v>1</v>
      </c>
      <c r="I556" s="14"/>
    </row>
    <row r="557" spans="1:9" x14ac:dyDescent="0.25">
      <c r="A557" s="14">
        <v>2016</v>
      </c>
      <c r="B557" s="14">
        <v>161</v>
      </c>
      <c r="C557" s="15">
        <v>42530</v>
      </c>
      <c r="D557" s="16">
        <v>0.54305555555555551</v>
      </c>
      <c r="E557" s="14">
        <v>170</v>
      </c>
      <c r="F557" s="14">
        <v>16</v>
      </c>
      <c r="G557" s="17">
        <v>0.31615339264576398</v>
      </c>
      <c r="H557" s="1" t="s">
        <v>1</v>
      </c>
      <c r="I557" s="14"/>
    </row>
    <row r="558" spans="1:9" x14ac:dyDescent="0.25">
      <c r="A558" s="14">
        <v>2016</v>
      </c>
      <c r="B558" s="14">
        <v>161</v>
      </c>
      <c r="C558" s="15">
        <v>42530</v>
      </c>
      <c r="D558" s="16">
        <v>0.54236111111111118</v>
      </c>
      <c r="E558" s="14">
        <v>170</v>
      </c>
      <c r="F558" s="14">
        <v>17</v>
      </c>
      <c r="G558" s="17">
        <v>0.31788573359563965</v>
      </c>
      <c r="H558" s="1" t="s">
        <v>144</v>
      </c>
      <c r="I558" s="14"/>
    </row>
    <row r="559" spans="1:9" x14ac:dyDescent="0.25">
      <c r="A559" s="14">
        <v>2016</v>
      </c>
      <c r="B559" s="14">
        <v>161</v>
      </c>
      <c r="C559" s="15">
        <v>42530</v>
      </c>
      <c r="D559" s="16">
        <v>0.54861111111111105</v>
      </c>
      <c r="E559" s="14">
        <v>170</v>
      </c>
      <c r="F559" s="14">
        <v>18</v>
      </c>
      <c r="G559" s="17">
        <v>0.32730655404215481</v>
      </c>
      <c r="H559" s="1" t="s">
        <v>144</v>
      </c>
      <c r="I559" s="14"/>
    </row>
    <row r="560" spans="1:9" x14ac:dyDescent="0.25">
      <c r="A560" s="14">
        <v>2016</v>
      </c>
      <c r="B560" s="14">
        <v>161</v>
      </c>
      <c r="C560" s="15">
        <v>42530</v>
      </c>
      <c r="D560" s="16">
        <v>0.56041666666666667</v>
      </c>
      <c r="E560" s="14">
        <v>170</v>
      </c>
      <c r="F560" s="14">
        <v>19</v>
      </c>
      <c r="G560" s="17">
        <v>0.30897099028054886</v>
      </c>
      <c r="H560" s="1" t="s">
        <v>144</v>
      </c>
      <c r="I560" s="14"/>
    </row>
    <row r="561" spans="1:9" x14ac:dyDescent="0.25">
      <c r="A561" s="14">
        <v>2016</v>
      </c>
      <c r="B561" s="14">
        <v>161</v>
      </c>
      <c r="C561" s="15">
        <v>42530</v>
      </c>
      <c r="D561" s="16">
        <v>0.56041666666666667</v>
      </c>
      <c r="E561" s="14">
        <v>170</v>
      </c>
      <c r="F561" s="14">
        <v>20</v>
      </c>
      <c r="G561" s="17">
        <v>0.30897099028054886</v>
      </c>
      <c r="H561" s="1" t="s">
        <v>144</v>
      </c>
      <c r="I561" s="14"/>
    </row>
    <row r="562" spans="1:9" x14ac:dyDescent="0.25">
      <c r="A562" s="14">
        <v>2016</v>
      </c>
      <c r="B562" s="14">
        <v>161</v>
      </c>
      <c r="C562" s="15">
        <v>42530</v>
      </c>
      <c r="D562" s="16">
        <v>0.37777777777777777</v>
      </c>
      <c r="E562" s="14">
        <v>150</v>
      </c>
      <c r="F562" s="14">
        <v>1</v>
      </c>
      <c r="G562" s="17">
        <v>0.33532593012472556</v>
      </c>
      <c r="H562" s="1" t="s">
        <v>143</v>
      </c>
      <c r="I562" s="14"/>
    </row>
    <row r="563" spans="1:9" x14ac:dyDescent="0.25">
      <c r="A563" s="14">
        <v>2016</v>
      </c>
      <c r="B563" s="14">
        <v>161</v>
      </c>
      <c r="C563" s="15">
        <v>42530</v>
      </c>
      <c r="D563" s="16">
        <v>0.38541666666666669</v>
      </c>
      <c r="E563" s="14">
        <v>150</v>
      </c>
      <c r="F563" s="14">
        <v>2</v>
      </c>
      <c r="G563" s="17">
        <v>0.32576885814282691</v>
      </c>
      <c r="H563" s="1" t="s">
        <v>143</v>
      </c>
      <c r="I563" s="14"/>
    </row>
    <row r="564" spans="1:9" x14ac:dyDescent="0.25">
      <c r="A564" s="14">
        <v>2016</v>
      </c>
      <c r="B564" s="14">
        <v>161</v>
      </c>
      <c r="C564" s="15">
        <v>42530</v>
      </c>
      <c r="D564" s="16">
        <v>0.3923611111111111</v>
      </c>
      <c r="E564" s="14">
        <v>150</v>
      </c>
      <c r="F564" s="14">
        <v>3</v>
      </c>
      <c r="G564" s="17">
        <v>0.3099247510282333</v>
      </c>
      <c r="H564" s="1" t="s">
        <v>143</v>
      </c>
      <c r="I564" s="14"/>
    </row>
    <row r="565" spans="1:9" x14ac:dyDescent="0.25">
      <c r="A565" s="14">
        <v>2016</v>
      </c>
      <c r="B565" s="14">
        <v>161</v>
      </c>
      <c r="C565" s="15">
        <v>42530</v>
      </c>
      <c r="D565" s="16">
        <v>0.39861111111111108</v>
      </c>
      <c r="E565" s="14">
        <v>150</v>
      </c>
      <c r="F565" s="14">
        <v>4</v>
      </c>
      <c r="G565" s="17">
        <v>0.2945672565400092</v>
      </c>
      <c r="H565" s="1" t="s">
        <v>143</v>
      </c>
      <c r="I565" s="14"/>
    </row>
    <row r="566" spans="1:9" x14ac:dyDescent="0.25">
      <c r="A566" s="14">
        <v>2016</v>
      </c>
      <c r="B566" s="14">
        <v>161</v>
      </c>
      <c r="C566" s="15">
        <v>42530</v>
      </c>
      <c r="D566" s="16">
        <v>0.40486111111111112</v>
      </c>
      <c r="E566" s="14">
        <v>150</v>
      </c>
      <c r="F566" s="14">
        <v>5</v>
      </c>
      <c r="G566" s="17">
        <v>0.36076603823132741</v>
      </c>
      <c r="H566" s="1" t="s">
        <v>0</v>
      </c>
      <c r="I566" s="14"/>
    </row>
    <row r="567" spans="1:9" x14ac:dyDescent="0.25">
      <c r="A567" s="14">
        <v>2016</v>
      </c>
      <c r="B567" s="14">
        <v>161</v>
      </c>
      <c r="C567" s="15">
        <v>42530</v>
      </c>
      <c r="D567" s="16">
        <v>0.40972222222222227</v>
      </c>
      <c r="E567" s="14">
        <v>150</v>
      </c>
      <c r="F567" s="14">
        <v>6</v>
      </c>
      <c r="G567" s="17">
        <v>0.34466889255102157</v>
      </c>
      <c r="H567" s="1" t="s">
        <v>0</v>
      </c>
      <c r="I567" s="14"/>
    </row>
    <row r="568" spans="1:9" x14ac:dyDescent="0.25">
      <c r="A568" s="14">
        <v>2016</v>
      </c>
      <c r="B568" s="14">
        <v>161</v>
      </c>
      <c r="C568" s="15">
        <v>42530</v>
      </c>
      <c r="D568" s="16">
        <v>0.41041666666666665</v>
      </c>
      <c r="E568" s="14">
        <v>150</v>
      </c>
      <c r="F568" s="14">
        <v>7</v>
      </c>
      <c r="G568" s="17">
        <v>0.3333016215990281</v>
      </c>
      <c r="H568" s="1" t="s">
        <v>143</v>
      </c>
      <c r="I568" s="14"/>
    </row>
    <row r="569" spans="1:9" x14ac:dyDescent="0.25">
      <c r="A569" s="14">
        <v>2016</v>
      </c>
      <c r="B569" s="14">
        <v>161</v>
      </c>
      <c r="C569" s="15">
        <v>42530</v>
      </c>
      <c r="D569" s="16">
        <v>0.41736111111111113</v>
      </c>
      <c r="E569" s="14">
        <v>150</v>
      </c>
      <c r="F569" s="14">
        <v>8</v>
      </c>
      <c r="G569" s="17">
        <v>0.33888793454975091</v>
      </c>
      <c r="H569" s="1" t="s">
        <v>143</v>
      </c>
      <c r="I569" s="14"/>
    </row>
    <row r="570" spans="1:9" x14ac:dyDescent="0.25">
      <c r="A570" s="14">
        <v>2016</v>
      </c>
      <c r="B570" s="14">
        <v>161</v>
      </c>
      <c r="C570" s="15">
        <v>42530</v>
      </c>
      <c r="D570" s="16">
        <v>0.4284722222222222</v>
      </c>
      <c r="E570" s="14">
        <v>150</v>
      </c>
      <c r="F570" s="14">
        <v>9</v>
      </c>
      <c r="G570" s="17">
        <v>0.33201696426541244</v>
      </c>
      <c r="H570" s="1" t="s">
        <v>143</v>
      </c>
      <c r="I570" s="14"/>
    </row>
    <row r="571" spans="1:9" x14ac:dyDescent="0.25">
      <c r="A571" s="14">
        <v>2016</v>
      </c>
      <c r="B571" s="14">
        <v>161</v>
      </c>
      <c r="C571" s="15">
        <v>42530</v>
      </c>
      <c r="D571" s="16">
        <v>0.43541666666666662</v>
      </c>
      <c r="E571" s="14">
        <v>150</v>
      </c>
      <c r="F571" s="14">
        <v>10</v>
      </c>
      <c r="G571" s="17">
        <v>0.34464942804596677</v>
      </c>
      <c r="H571" s="1" t="s">
        <v>143</v>
      </c>
      <c r="I571" s="14"/>
    </row>
    <row r="572" spans="1:9" x14ac:dyDescent="0.25">
      <c r="A572" s="14">
        <v>2016</v>
      </c>
      <c r="B572" s="14">
        <v>161</v>
      </c>
      <c r="C572" s="15">
        <v>42530</v>
      </c>
      <c r="D572" s="16">
        <v>0.51388888888888895</v>
      </c>
      <c r="E572" s="14">
        <v>150</v>
      </c>
      <c r="F572" s="14">
        <v>11</v>
      </c>
      <c r="G572" s="17">
        <v>0.33701934206449174</v>
      </c>
      <c r="H572" s="1" t="s">
        <v>144</v>
      </c>
      <c r="I572" s="14"/>
    </row>
    <row r="573" spans="1:9" x14ac:dyDescent="0.25">
      <c r="A573" s="14">
        <v>2016</v>
      </c>
      <c r="B573" s="14">
        <v>161</v>
      </c>
      <c r="C573" s="15">
        <v>42530</v>
      </c>
      <c r="D573" s="16">
        <v>0.51458333333333328</v>
      </c>
      <c r="E573" s="14">
        <v>150</v>
      </c>
      <c r="F573" s="14">
        <v>12</v>
      </c>
      <c r="G573" s="17">
        <v>0.3333210861040829</v>
      </c>
      <c r="H573" s="1" t="s">
        <v>144</v>
      </c>
      <c r="I573" s="14"/>
    </row>
    <row r="574" spans="1:9" x14ac:dyDescent="0.25">
      <c r="A574" s="14">
        <v>2016</v>
      </c>
      <c r="B574" s="14">
        <v>161</v>
      </c>
      <c r="C574" s="15">
        <v>42530</v>
      </c>
      <c r="D574" s="16">
        <v>0.52569444444444446</v>
      </c>
      <c r="E574" s="14">
        <v>150</v>
      </c>
      <c r="F574" s="14">
        <v>13</v>
      </c>
      <c r="G574" s="17">
        <v>0.29908302171271894</v>
      </c>
      <c r="H574" s="1" t="s">
        <v>144</v>
      </c>
      <c r="I574" s="14"/>
    </row>
    <row r="575" spans="1:9" x14ac:dyDescent="0.25">
      <c r="A575" s="14">
        <v>2016</v>
      </c>
      <c r="B575" s="14">
        <v>161</v>
      </c>
      <c r="C575" s="15">
        <v>42530</v>
      </c>
      <c r="D575" s="16">
        <v>0.53194444444444444</v>
      </c>
      <c r="E575" s="14">
        <v>150</v>
      </c>
      <c r="F575" s="14">
        <v>14</v>
      </c>
      <c r="G575" s="17">
        <v>0.29929713126832153</v>
      </c>
      <c r="H575" s="1" t="s">
        <v>144</v>
      </c>
      <c r="I575" s="14"/>
    </row>
    <row r="576" spans="1:9" x14ac:dyDescent="0.25">
      <c r="A576" s="14">
        <v>2016</v>
      </c>
      <c r="B576" s="14">
        <v>161</v>
      </c>
      <c r="C576" s="15">
        <v>42530</v>
      </c>
      <c r="D576" s="16">
        <v>0.53819444444444442</v>
      </c>
      <c r="E576" s="14">
        <v>150</v>
      </c>
      <c r="F576" s="14">
        <v>15</v>
      </c>
      <c r="G576" s="17">
        <v>0.33939401168117528</v>
      </c>
      <c r="H576" s="1" t="s">
        <v>1</v>
      </c>
      <c r="I576" s="14"/>
    </row>
    <row r="577" spans="1:9" x14ac:dyDescent="0.25">
      <c r="A577" s="14">
        <v>2016</v>
      </c>
      <c r="B577" s="14">
        <v>161</v>
      </c>
      <c r="C577" s="15">
        <v>42530</v>
      </c>
      <c r="D577" s="16">
        <v>0.54305555555555551</v>
      </c>
      <c r="E577" s="14">
        <v>150</v>
      </c>
      <c r="F577" s="14">
        <v>16</v>
      </c>
      <c r="G577" s="17">
        <v>0.32335525951603378</v>
      </c>
      <c r="H577" s="1" t="s">
        <v>1</v>
      </c>
      <c r="I577" s="14"/>
    </row>
    <row r="578" spans="1:9" x14ac:dyDescent="0.25">
      <c r="A578" s="14">
        <v>2016</v>
      </c>
      <c r="B578" s="14">
        <v>161</v>
      </c>
      <c r="C578" s="15">
        <v>42530</v>
      </c>
      <c r="D578" s="16">
        <v>0.54236111111111118</v>
      </c>
      <c r="E578" s="14">
        <v>150</v>
      </c>
      <c r="F578" s="14">
        <v>17</v>
      </c>
      <c r="G578" s="17">
        <v>0.32037719024265193</v>
      </c>
      <c r="H578" s="1" t="s">
        <v>144</v>
      </c>
      <c r="I578" s="14"/>
    </row>
    <row r="579" spans="1:9" x14ac:dyDescent="0.25">
      <c r="A579" s="14">
        <v>2016</v>
      </c>
      <c r="B579" s="14">
        <v>161</v>
      </c>
      <c r="C579" s="15">
        <v>42530</v>
      </c>
      <c r="D579" s="16">
        <v>0.54861111111111105</v>
      </c>
      <c r="E579" s="14">
        <v>150</v>
      </c>
      <c r="F579" s="14">
        <v>18</v>
      </c>
      <c r="G579" s="17">
        <v>0.32789048919379832</v>
      </c>
      <c r="H579" s="1" t="s">
        <v>144</v>
      </c>
      <c r="I579" s="14"/>
    </row>
    <row r="580" spans="1:9" x14ac:dyDescent="0.25">
      <c r="A580" s="14">
        <v>2016</v>
      </c>
      <c r="B580" s="14">
        <v>161</v>
      </c>
      <c r="C580" s="15">
        <v>42530</v>
      </c>
      <c r="D580" s="16">
        <v>0.56041666666666667</v>
      </c>
      <c r="E580" s="14">
        <v>150</v>
      </c>
      <c r="F580" s="14">
        <v>19</v>
      </c>
      <c r="G580" s="17">
        <v>0.32763745062808614</v>
      </c>
      <c r="H580" s="1" t="s">
        <v>144</v>
      </c>
      <c r="I580" s="14"/>
    </row>
    <row r="581" spans="1:9" x14ac:dyDescent="0.25">
      <c r="A581" s="14">
        <v>2016</v>
      </c>
      <c r="B581" s="14">
        <v>161</v>
      </c>
      <c r="C581" s="15">
        <v>42530</v>
      </c>
      <c r="D581" s="16">
        <v>0.56041666666666667</v>
      </c>
      <c r="E581" s="14">
        <v>150</v>
      </c>
      <c r="F581" s="14">
        <v>20</v>
      </c>
      <c r="G581" s="17">
        <v>0.32763745062808614</v>
      </c>
      <c r="H581" s="1" t="s">
        <v>144</v>
      </c>
      <c r="I581" s="14"/>
    </row>
    <row r="582" spans="1:9" x14ac:dyDescent="0.25">
      <c r="A582" s="14">
        <v>2016</v>
      </c>
      <c r="B582" s="14">
        <v>161</v>
      </c>
      <c r="C582" s="15">
        <v>42530</v>
      </c>
      <c r="D582" s="16">
        <v>0.37777777777777777</v>
      </c>
      <c r="E582" s="14">
        <v>130</v>
      </c>
      <c r="F582" s="14">
        <v>1</v>
      </c>
      <c r="G582" s="17">
        <v>0.31420694214028561</v>
      </c>
      <c r="H582" s="1" t="s">
        <v>143</v>
      </c>
      <c r="I582" s="14"/>
    </row>
    <row r="583" spans="1:9" x14ac:dyDescent="0.25">
      <c r="A583" s="14">
        <v>2016</v>
      </c>
      <c r="B583" s="14">
        <v>161</v>
      </c>
      <c r="C583" s="15">
        <v>42530</v>
      </c>
      <c r="D583" s="16">
        <v>0.38541666666666669</v>
      </c>
      <c r="E583" s="14">
        <v>130</v>
      </c>
      <c r="F583" s="14">
        <v>2</v>
      </c>
      <c r="G583" s="17">
        <v>0.31300014282688904</v>
      </c>
      <c r="H583" s="1" t="s">
        <v>143</v>
      </c>
      <c r="I583" s="14"/>
    </row>
    <row r="584" spans="1:9" x14ac:dyDescent="0.25">
      <c r="A584" s="14">
        <v>2016</v>
      </c>
      <c r="B584" s="14">
        <v>161</v>
      </c>
      <c r="C584" s="15">
        <v>42530</v>
      </c>
      <c r="D584" s="16">
        <v>0.3923611111111111</v>
      </c>
      <c r="E584" s="14">
        <v>130</v>
      </c>
      <c r="F584" s="14">
        <v>3</v>
      </c>
      <c r="G584" s="17">
        <v>0.30468879916849656</v>
      </c>
      <c r="H584" s="1" t="s">
        <v>143</v>
      </c>
      <c r="I584" s="14"/>
    </row>
    <row r="585" spans="1:9" x14ac:dyDescent="0.25">
      <c r="A585" s="14">
        <v>2016</v>
      </c>
      <c r="B585" s="14">
        <v>161</v>
      </c>
      <c r="C585" s="15">
        <v>42530</v>
      </c>
      <c r="D585" s="16">
        <v>0.39861111111111108</v>
      </c>
      <c r="E585" s="14">
        <v>130</v>
      </c>
      <c r="F585" s="14">
        <v>4</v>
      </c>
      <c r="G585" s="17">
        <v>0.3004455370665538</v>
      </c>
      <c r="H585" s="1" t="s">
        <v>143</v>
      </c>
      <c r="I585" s="14"/>
    </row>
    <row r="586" spans="1:9" x14ac:dyDescent="0.25">
      <c r="A586" s="14">
        <v>2016</v>
      </c>
      <c r="B586" s="14">
        <v>161</v>
      </c>
      <c r="C586" s="15">
        <v>42530</v>
      </c>
      <c r="D586" s="16">
        <v>0.40486111111111112</v>
      </c>
      <c r="E586" s="14">
        <v>130</v>
      </c>
      <c r="F586" s="14">
        <v>5</v>
      </c>
      <c r="G586" s="17">
        <v>0.31115101484668461</v>
      </c>
      <c r="H586" s="1" t="s">
        <v>0</v>
      </c>
      <c r="I586" s="14"/>
    </row>
    <row r="587" spans="1:9" x14ac:dyDescent="0.25">
      <c r="A587" s="14">
        <v>2016</v>
      </c>
      <c r="B587" s="14">
        <v>161</v>
      </c>
      <c r="C587" s="15">
        <v>42530</v>
      </c>
      <c r="D587" s="16">
        <v>0.40972222222222227</v>
      </c>
      <c r="E587" s="14">
        <v>130</v>
      </c>
      <c r="F587" s="14">
        <v>6</v>
      </c>
      <c r="G587" s="17">
        <v>0.30620703056276966</v>
      </c>
      <c r="H587" s="1" t="s">
        <v>0</v>
      </c>
      <c r="I587" s="14"/>
    </row>
    <row r="588" spans="1:9" x14ac:dyDescent="0.25">
      <c r="A588" s="14">
        <v>2016</v>
      </c>
      <c r="B588" s="14">
        <v>161</v>
      </c>
      <c r="C588" s="15">
        <v>42530</v>
      </c>
      <c r="D588" s="16">
        <v>0.41041666666666665</v>
      </c>
      <c r="E588" s="14">
        <v>130</v>
      </c>
      <c r="F588" s="14">
        <v>7</v>
      </c>
      <c r="G588" s="17">
        <v>0.31000260904845239</v>
      </c>
      <c r="H588" s="1" t="s">
        <v>143</v>
      </c>
      <c r="I588" s="14"/>
    </row>
    <row r="589" spans="1:9" x14ac:dyDescent="0.25">
      <c r="A589" s="14">
        <v>2016</v>
      </c>
      <c r="B589" s="14">
        <v>161</v>
      </c>
      <c r="C589" s="15">
        <v>42530</v>
      </c>
      <c r="D589" s="16">
        <v>0.41736111111111113</v>
      </c>
      <c r="E589" s="14">
        <v>130</v>
      </c>
      <c r="F589" s="14">
        <v>8</v>
      </c>
      <c r="G589" s="17">
        <v>0.34190493283324241</v>
      </c>
      <c r="H589" s="1" t="s">
        <v>143</v>
      </c>
      <c r="I589" s="14"/>
    </row>
    <row r="590" spans="1:9" x14ac:dyDescent="0.25">
      <c r="A590" s="14">
        <v>2016</v>
      </c>
      <c r="B590" s="14">
        <v>161</v>
      </c>
      <c r="C590" s="15">
        <v>42530</v>
      </c>
      <c r="D590" s="16">
        <v>0.4284722222222222</v>
      </c>
      <c r="E590" s="14">
        <v>130</v>
      </c>
      <c r="F590" s="14">
        <v>9</v>
      </c>
      <c r="G590" s="17">
        <v>0.30733597185594708</v>
      </c>
      <c r="H590" s="1" t="s">
        <v>143</v>
      </c>
      <c r="I590" s="14"/>
    </row>
    <row r="591" spans="1:9" x14ac:dyDescent="0.25">
      <c r="A591" s="14">
        <v>2016</v>
      </c>
      <c r="B591" s="14">
        <v>161</v>
      </c>
      <c r="C591" s="15">
        <v>42530</v>
      </c>
      <c r="D591" s="16">
        <v>0.43541666666666662</v>
      </c>
      <c r="E591" s="14">
        <v>130</v>
      </c>
      <c r="F591" s="14">
        <v>10</v>
      </c>
      <c r="G591" s="17">
        <v>0.31759376601981792</v>
      </c>
      <c r="H591" s="1" t="s">
        <v>143</v>
      </c>
      <c r="I591" s="14"/>
    </row>
    <row r="592" spans="1:9" x14ac:dyDescent="0.25">
      <c r="A592" s="14">
        <v>2016</v>
      </c>
      <c r="B592" s="14">
        <v>161</v>
      </c>
      <c r="C592" s="15">
        <v>42530</v>
      </c>
      <c r="D592" s="16">
        <v>0.51388888888888895</v>
      </c>
      <c r="E592" s="14">
        <v>130</v>
      </c>
      <c r="F592" s="14">
        <v>11</v>
      </c>
      <c r="G592" s="17">
        <v>0.30618756605771486</v>
      </c>
      <c r="H592" s="1" t="s">
        <v>144</v>
      </c>
      <c r="I592" s="14"/>
    </row>
    <row r="593" spans="1:9" x14ac:dyDescent="0.25">
      <c r="A593" s="14">
        <v>2016</v>
      </c>
      <c r="B593" s="14">
        <v>161</v>
      </c>
      <c r="C593" s="15">
        <v>42530</v>
      </c>
      <c r="D593" s="16">
        <v>0.51458333333333328</v>
      </c>
      <c r="E593" s="14">
        <v>130</v>
      </c>
      <c r="F593" s="14">
        <v>12</v>
      </c>
      <c r="G593" s="17">
        <v>0.29768157734877454</v>
      </c>
      <c r="H593" s="1" t="s">
        <v>144</v>
      </c>
      <c r="I593" s="14"/>
    </row>
    <row r="594" spans="1:9" x14ac:dyDescent="0.25">
      <c r="A594" s="14">
        <v>2016</v>
      </c>
      <c r="B594" s="14">
        <v>161</v>
      </c>
      <c r="C594" s="15">
        <v>42530</v>
      </c>
      <c r="D594" s="16">
        <v>0.52569444444444446</v>
      </c>
      <c r="E594" s="14">
        <v>130</v>
      </c>
      <c r="F594" s="14">
        <v>13</v>
      </c>
      <c r="G594" s="17">
        <v>0.31311692985721773</v>
      </c>
      <c r="H594" s="1" t="s">
        <v>144</v>
      </c>
      <c r="I594" s="14"/>
    </row>
    <row r="595" spans="1:9" x14ac:dyDescent="0.25">
      <c r="A595" s="14">
        <v>2016</v>
      </c>
      <c r="B595" s="14">
        <v>161</v>
      </c>
      <c r="C595" s="15">
        <v>42530</v>
      </c>
      <c r="D595" s="16">
        <v>0.53194444444444444</v>
      </c>
      <c r="E595" s="14">
        <v>130</v>
      </c>
      <c r="F595" s="14">
        <v>14</v>
      </c>
      <c r="G595" s="17">
        <v>0.3143237291706143</v>
      </c>
      <c r="H595" s="1" t="s">
        <v>144</v>
      </c>
      <c r="I595" s="14"/>
    </row>
    <row r="596" spans="1:9" x14ac:dyDescent="0.25">
      <c r="A596" s="14">
        <v>2016</v>
      </c>
      <c r="B596" s="14">
        <v>161</v>
      </c>
      <c r="C596" s="15">
        <v>42530</v>
      </c>
      <c r="D596" s="16">
        <v>0.53819444444444442</v>
      </c>
      <c r="E596" s="14">
        <v>130</v>
      </c>
      <c r="F596" s="14">
        <v>15</v>
      </c>
      <c r="G596" s="17">
        <v>0.29980320839974589</v>
      </c>
      <c r="H596" s="1" t="s">
        <v>1</v>
      </c>
      <c r="I596" s="14"/>
    </row>
    <row r="597" spans="1:9" x14ac:dyDescent="0.25">
      <c r="A597" s="14">
        <v>2016</v>
      </c>
      <c r="B597" s="14">
        <v>161</v>
      </c>
      <c r="C597" s="15">
        <v>42530</v>
      </c>
      <c r="D597" s="16">
        <v>0.54305555555555551</v>
      </c>
      <c r="E597" s="14">
        <v>130</v>
      </c>
      <c r="F597" s="14">
        <v>16</v>
      </c>
      <c r="G597" s="17">
        <v>0.29178383231717514</v>
      </c>
      <c r="H597" s="1" t="s">
        <v>1</v>
      </c>
      <c r="I597" s="14"/>
    </row>
    <row r="598" spans="1:9" x14ac:dyDescent="0.25">
      <c r="A598" s="14">
        <v>2016</v>
      </c>
      <c r="B598" s="14">
        <v>161</v>
      </c>
      <c r="C598" s="15">
        <v>42530</v>
      </c>
      <c r="D598" s="16">
        <v>0.54236111111111118</v>
      </c>
      <c r="E598" s="14">
        <v>130</v>
      </c>
      <c r="F598" s="14">
        <v>17</v>
      </c>
      <c r="G598" s="17">
        <v>0.31043082815965761</v>
      </c>
      <c r="H598" s="1" t="s">
        <v>144</v>
      </c>
      <c r="I598" s="14"/>
    </row>
    <row r="599" spans="1:9" x14ac:dyDescent="0.25">
      <c r="A599" s="14">
        <v>2016</v>
      </c>
      <c r="B599" s="14">
        <v>161</v>
      </c>
      <c r="C599" s="15">
        <v>42530</v>
      </c>
      <c r="D599" s="16">
        <v>0.54861111111111105</v>
      </c>
      <c r="E599" s="14">
        <v>130</v>
      </c>
      <c r="F599" s="14">
        <v>18</v>
      </c>
      <c r="G599" s="17">
        <v>0.30945760290691848</v>
      </c>
      <c r="H599" s="1" t="s">
        <v>144</v>
      </c>
      <c r="I599" s="14"/>
    </row>
    <row r="600" spans="1:9" x14ac:dyDescent="0.25">
      <c r="A600" s="14">
        <v>2016</v>
      </c>
      <c r="B600" s="14">
        <v>161</v>
      </c>
      <c r="C600" s="15">
        <v>42530</v>
      </c>
      <c r="D600" s="16">
        <v>0.56041666666666667</v>
      </c>
      <c r="E600" s="14">
        <v>130</v>
      </c>
      <c r="F600" s="14">
        <v>19</v>
      </c>
      <c r="G600" s="17">
        <v>0.30340414183488085</v>
      </c>
      <c r="H600" s="1" t="s">
        <v>144</v>
      </c>
      <c r="I600" s="14"/>
    </row>
    <row r="601" spans="1:9" x14ac:dyDescent="0.25">
      <c r="A601" s="14">
        <v>2016</v>
      </c>
      <c r="B601" s="14">
        <v>161</v>
      </c>
      <c r="C601" s="15">
        <v>42530</v>
      </c>
      <c r="D601" s="16">
        <v>0.56041666666666667</v>
      </c>
      <c r="E601" s="14">
        <v>130</v>
      </c>
      <c r="F601" s="14">
        <v>20</v>
      </c>
      <c r="G601" s="17">
        <v>0.30340414183488085</v>
      </c>
      <c r="H601" s="1" t="s">
        <v>144</v>
      </c>
      <c r="I601" s="14"/>
    </row>
    <row r="602" spans="1:9" x14ac:dyDescent="0.25">
      <c r="A602" s="14">
        <v>2016</v>
      </c>
      <c r="B602" s="14">
        <v>161</v>
      </c>
      <c r="C602" s="15">
        <v>42530</v>
      </c>
      <c r="D602" s="16">
        <v>0.37777777777777777</v>
      </c>
      <c r="E602" s="14">
        <v>110</v>
      </c>
      <c r="F602" s="14">
        <v>1</v>
      </c>
      <c r="G602" s="17">
        <v>0.33842252598727113</v>
      </c>
      <c r="H602" s="1" t="s">
        <v>143</v>
      </c>
      <c r="I602" s="14"/>
    </row>
    <row r="603" spans="1:9" x14ac:dyDescent="0.25">
      <c r="A603" s="14">
        <v>2016</v>
      </c>
      <c r="B603" s="14">
        <v>161</v>
      </c>
      <c r="C603" s="15">
        <v>42530</v>
      </c>
      <c r="D603" s="16">
        <v>0.38541666666666669</v>
      </c>
      <c r="E603" s="14">
        <v>110</v>
      </c>
      <c r="F603" s="14">
        <v>2</v>
      </c>
      <c r="G603" s="17">
        <v>0.34068945792882066</v>
      </c>
      <c r="H603" s="1" t="s">
        <v>143</v>
      </c>
      <c r="I603" s="14"/>
    </row>
    <row r="604" spans="1:9" x14ac:dyDescent="0.25">
      <c r="A604" s="14">
        <v>2016</v>
      </c>
      <c r="B604" s="14">
        <v>161</v>
      </c>
      <c r="C604" s="15">
        <v>42530</v>
      </c>
      <c r="D604" s="16">
        <v>0.3923611111111111</v>
      </c>
      <c r="E604" s="14">
        <v>110</v>
      </c>
      <c r="F604" s="14">
        <v>3</v>
      </c>
      <c r="G604" s="17">
        <v>0.32498122245505312</v>
      </c>
      <c r="H604" s="1" t="s">
        <v>143</v>
      </c>
      <c r="I604" s="14"/>
    </row>
    <row r="605" spans="1:9" x14ac:dyDescent="0.25">
      <c r="A605" s="14">
        <v>2016</v>
      </c>
      <c r="B605" s="14">
        <v>161</v>
      </c>
      <c r="C605" s="15">
        <v>42530</v>
      </c>
      <c r="D605" s="16">
        <v>0.39861111111111108</v>
      </c>
      <c r="E605" s="14">
        <v>110</v>
      </c>
      <c r="F605" s="14">
        <v>4</v>
      </c>
      <c r="G605" s="17">
        <v>0.33677384821159873</v>
      </c>
      <c r="H605" s="1" t="s">
        <v>143</v>
      </c>
      <c r="I605" s="14"/>
    </row>
    <row r="606" spans="1:9" x14ac:dyDescent="0.25">
      <c r="A606" s="14">
        <v>2016</v>
      </c>
      <c r="B606" s="14">
        <v>161</v>
      </c>
      <c r="C606" s="15">
        <v>42530</v>
      </c>
      <c r="D606" s="16">
        <v>0.40486111111111112</v>
      </c>
      <c r="E606" s="14">
        <v>110</v>
      </c>
      <c r="F606" s="14">
        <v>5</v>
      </c>
      <c r="G606" s="17">
        <v>0.33173622167482197</v>
      </c>
      <c r="H606" s="1" t="s">
        <v>0</v>
      </c>
      <c r="I606" s="14"/>
    </row>
    <row r="607" spans="1:9" x14ac:dyDescent="0.25">
      <c r="A607" s="14">
        <v>2016</v>
      </c>
      <c r="B607" s="14">
        <v>161</v>
      </c>
      <c r="C607" s="15">
        <v>42530</v>
      </c>
      <c r="D607" s="16">
        <v>0.40972222222222227</v>
      </c>
      <c r="E607" s="14">
        <v>110</v>
      </c>
      <c r="F607" s="14">
        <v>6</v>
      </c>
      <c r="G607" s="17">
        <v>0.32305776505010203</v>
      </c>
      <c r="H607" s="1" t="s">
        <v>0</v>
      </c>
      <c r="I607" s="14"/>
    </row>
    <row r="608" spans="1:9" x14ac:dyDescent="0.25">
      <c r="A608" s="14">
        <v>2016</v>
      </c>
      <c r="B608" s="14">
        <v>161</v>
      </c>
      <c r="C608" s="15">
        <v>42530</v>
      </c>
      <c r="D608" s="16">
        <v>0.41041666666666665</v>
      </c>
      <c r="E608" s="14">
        <v>110</v>
      </c>
      <c r="F608" s="14">
        <v>7</v>
      </c>
      <c r="G608" s="17">
        <v>0.33968193262146529</v>
      </c>
      <c r="H608" s="1" t="s">
        <v>143</v>
      </c>
      <c r="I608" s="14"/>
    </row>
    <row r="609" spans="1:9" x14ac:dyDescent="0.25">
      <c r="A609" s="14">
        <v>2016</v>
      </c>
      <c r="B609" s="14">
        <v>161</v>
      </c>
      <c r="C609" s="15">
        <v>42530</v>
      </c>
      <c r="D609" s="16">
        <v>0.41736111111111113</v>
      </c>
      <c r="E609" s="14">
        <v>110</v>
      </c>
      <c r="F609" s="14">
        <v>8</v>
      </c>
      <c r="G609" s="17">
        <v>0.33826223787019183</v>
      </c>
      <c r="H609" s="1" t="s">
        <v>143</v>
      </c>
      <c r="I609" s="14"/>
    </row>
    <row r="610" spans="1:9" x14ac:dyDescent="0.25">
      <c r="A610" s="14">
        <v>2016</v>
      </c>
      <c r="B610" s="14">
        <v>161</v>
      </c>
      <c r="C610" s="15">
        <v>42530</v>
      </c>
      <c r="D610" s="16">
        <v>0.4284722222222222</v>
      </c>
      <c r="E610" s="14">
        <v>110</v>
      </c>
      <c r="F610" s="14">
        <v>9</v>
      </c>
      <c r="G610" s="17">
        <v>0.33393445870905181</v>
      </c>
      <c r="H610" s="1" t="s">
        <v>143</v>
      </c>
      <c r="I610" s="14"/>
    </row>
    <row r="611" spans="1:9" x14ac:dyDescent="0.25">
      <c r="A611" s="14">
        <v>2016</v>
      </c>
      <c r="B611" s="14">
        <v>161</v>
      </c>
      <c r="C611" s="15">
        <v>42530</v>
      </c>
      <c r="D611" s="16">
        <v>0.43541666666666662</v>
      </c>
      <c r="E611" s="14">
        <v>110</v>
      </c>
      <c r="F611" s="14">
        <v>10</v>
      </c>
      <c r="G611" s="17">
        <v>0.34112452567517859</v>
      </c>
      <c r="H611" s="1" t="s">
        <v>143</v>
      </c>
      <c r="I611" s="14"/>
    </row>
    <row r="612" spans="1:9" x14ac:dyDescent="0.25">
      <c r="A612" s="14">
        <v>2016</v>
      </c>
      <c r="B612" s="14">
        <v>161</v>
      </c>
      <c r="C612" s="15">
        <v>42530</v>
      </c>
      <c r="D612" s="16">
        <v>0.51388888888888895</v>
      </c>
      <c r="E612" s="14">
        <v>110</v>
      </c>
      <c r="F612" s="14">
        <v>11</v>
      </c>
      <c r="G612" s="17">
        <v>0.32820988309907823</v>
      </c>
      <c r="H612" s="1" t="s">
        <v>144</v>
      </c>
      <c r="I612" s="14"/>
    </row>
    <row r="613" spans="1:9" x14ac:dyDescent="0.25">
      <c r="A613" s="14">
        <v>2016</v>
      </c>
      <c r="B613" s="14">
        <v>161</v>
      </c>
      <c r="C613" s="15">
        <v>42530</v>
      </c>
      <c r="D613" s="16">
        <v>0.51458333333333328</v>
      </c>
      <c r="E613" s="14">
        <v>110</v>
      </c>
      <c r="F613" s="14">
        <v>12</v>
      </c>
      <c r="G613" s="17">
        <v>0.34144510190933713</v>
      </c>
      <c r="H613" s="1" t="s">
        <v>144</v>
      </c>
      <c r="I613" s="14"/>
    </row>
    <row r="614" spans="1:9" x14ac:dyDescent="0.25">
      <c r="A614" s="14">
        <v>2016</v>
      </c>
      <c r="B614" s="14">
        <v>161</v>
      </c>
      <c r="C614" s="15">
        <v>42530</v>
      </c>
      <c r="D614" s="16">
        <v>0.52569444444444446</v>
      </c>
      <c r="E614" s="14">
        <v>110</v>
      </c>
      <c r="F614" s="14">
        <v>13</v>
      </c>
      <c r="G614" s="17">
        <v>0.33393445870905181</v>
      </c>
      <c r="H614" s="1" t="s">
        <v>144</v>
      </c>
      <c r="I614" s="14"/>
    </row>
    <row r="615" spans="1:9" x14ac:dyDescent="0.25">
      <c r="A615" s="14">
        <v>2016</v>
      </c>
      <c r="B615" s="14">
        <v>161</v>
      </c>
      <c r="C615" s="15">
        <v>42530</v>
      </c>
      <c r="D615" s="16">
        <v>0.53194444444444444</v>
      </c>
      <c r="E615" s="14">
        <v>110</v>
      </c>
      <c r="F615" s="14">
        <v>14</v>
      </c>
      <c r="G615" s="17">
        <v>0.3222334261622658</v>
      </c>
      <c r="H615" s="1" t="s">
        <v>144</v>
      </c>
      <c r="I615" s="14"/>
    </row>
    <row r="616" spans="1:9" x14ac:dyDescent="0.25">
      <c r="A616" s="14">
        <v>2016</v>
      </c>
      <c r="B616" s="14">
        <v>161</v>
      </c>
      <c r="C616" s="15">
        <v>42530</v>
      </c>
      <c r="D616" s="16">
        <v>0.53819444444444442</v>
      </c>
      <c r="E616" s="14">
        <v>110</v>
      </c>
      <c r="F616" s="14">
        <v>15</v>
      </c>
      <c r="G616" s="17">
        <v>0.33132405223090389</v>
      </c>
      <c r="H616" s="1" t="s">
        <v>1</v>
      </c>
      <c r="I616" s="14"/>
    </row>
    <row r="617" spans="1:9" x14ac:dyDescent="0.25">
      <c r="A617" s="14">
        <v>2016</v>
      </c>
      <c r="B617" s="14">
        <v>161</v>
      </c>
      <c r="C617" s="15">
        <v>42530</v>
      </c>
      <c r="D617" s="16">
        <v>0.54305555555555551</v>
      </c>
      <c r="E617" s="14">
        <v>110</v>
      </c>
      <c r="F617" s="14">
        <v>16</v>
      </c>
      <c r="G617" s="17">
        <v>0.32138618897198967</v>
      </c>
      <c r="H617" s="1" t="s">
        <v>1</v>
      </c>
      <c r="I617" s="14"/>
    </row>
    <row r="618" spans="1:9" x14ac:dyDescent="0.25">
      <c r="A618" s="14">
        <v>2016</v>
      </c>
      <c r="B618" s="14">
        <v>161</v>
      </c>
      <c r="C618" s="15">
        <v>42530</v>
      </c>
      <c r="D618" s="16">
        <v>0.54236111111111118</v>
      </c>
      <c r="E618" s="14">
        <v>110</v>
      </c>
      <c r="F618" s="14">
        <v>17</v>
      </c>
      <c r="G618" s="17">
        <v>0.33636167876768058</v>
      </c>
      <c r="H618" s="1" t="s">
        <v>144</v>
      </c>
      <c r="I618" s="14"/>
    </row>
    <row r="619" spans="1:9" x14ac:dyDescent="0.25">
      <c r="A619" s="14">
        <v>2016</v>
      </c>
      <c r="B619" s="14">
        <v>161</v>
      </c>
      <c r="C619" s="15">
        <v>42530</v>
      </c>
      <c r="D619" s="16">
        <v>0.54861111111111105</v>
      </c>
      <c r="E619" s="14">
        <v>110</v>
      </c>
      <c r="F619" s="14">
        <v>18</v>
      </c>
      <c r="G619" s="17">
        <v>0.33521676364568587</v>
      </c>
      <c r="H619" s="1" t="s">
        <v>144</v>
      </c>
      <c r="I619" s="14"/>
    </row>
    <row r="620" spans="1:9" x14ac:dyDescent="0.25">
      <c r="A620" s="14">
        <v>2016</v>
      </c>
      <c r="B620" s="14">
        <v>161</v>
      </c>
      <c r="C620" s="15">
        <v>42530</v>
      </c>
      <c r="D620" s="16">
        <v>0.56041666666666667</v>
      </c>
      <c r="E620" s="14">
        <v>110</v>
      </c>
      <c r="F620" s="14">
        <v>19</v>
      </c>
      <c r="G620" s="17">
        <v>0.33963613601658549</v>
      </c>
      <c r="H620" s="1" t="s">
        <v>144</v>
      </c>
      <c r="I620" s="14"/>
    </row>
    <row r="621" spans="1:9" x14ac:dyDescent="0.25">
      <c r="A621" s="14">
        <v>2016</v>
      </c>
      <c r="B621" s="14">
        <v>161</v>
      </c>
      <c r="C621" s="15">
        <v>42530</v>
      </c>
      <c r="D621" s="16">
        <v>0.56041666666666667</v>
      </c>
      <c r="E621" s="14">
        <v>110</v>
      </c>
      <c r="F621" s="14">
        <v>20</v>
      </c>
      <c r="G621" s="17">
        <v>0.33963613601658549</v>
      </c>
      <c r="H621" s="1" t="s">
        <v>144</v>
      </c>
      <c r="I621" s="14"/>
    </row>
    <row r="622" spans="1:9" x14ac:dyDescent="0.25">
      <c r="A622" s="14">
        <v>2016</v>
      </c>
      <c r="B622" s="14">
        <v>161</v>
      </c>
      <c r="C622" s="15">
        <v>42530</v>
      </c>
      <c r="D622" s="16">
        <v>0.37777777777777777</v>
      </c>
      <c r="E622" s="14">
        <v>90</v>
      </c>
      <c r="F622" s="14">
        <v>1</v>
      </c>
      <c r="G622" s="17">
        <v>0.34149089851421693</v>
      </c>
      <c r="H622" s="1" t="s">
        <v>143</v>
      </c>
      <c r="I622" s="14"/>
    </row>
    <row r="623" spans="1:9" x14ac:dyDescent="0.25">
      <c r="A623" s="14">
        <v>2016</v>
      </c>
      <c r="B623" s="14">
        <v>161</v>
      </c>
      <c r="C623" s="15">
        <v>42530</v>
      </c>
      <c r="D623" s="16">
        <v>0.38541666666666669</v>
      </c>
      <c r="E623" s="14">
        <v>90</v>
      </c>
      <c r="F623" s="14">
        <v>2</v>
      </c>
      <c r="G623" s="17">
        <v>0.34091844095321955</v>
      </c>
      <c r="H623" s="1" t="s">
        <v>143</v>
      </c>
      <c r="I623" s="14"/>
    </row>
    <row r="624" spans="1:9" x14ac:dyDescent="0.25">
      <c r="A624" s="14">
        <v>2016</v>
      </c>
      <c r="B624" s="14">
        <v>161</v>
      </c>
      <c r="C624" s="15">
        <v>42530</v>
      </c>
      <c r="D624" s="16">
        <v>0.3923611111111111</v>
      </c>
      <c r="E624" s="14">
        <v>90</v>
      </c>
      <c r="F624" s="14">
        <v>3</v>
      </c>
      <c r="G624" s="17">
        <v>0.33386576380173216</v>
      </c>
      <c r="H624" s="1" t="s">
        <v>143</v>
      </c>
      <c r="I624" s="14"/>
    </row>
    <row r="625" spans="1:9" x14ac:dyDescent="0.25">
      <c r="A625" s="14">
        <v>2016</v>
      </c>
      <c r="B625" s="14">
        <v>161</v>
      </c>
      <c r="C625" s="15">
        <v>42530</v>
      </c>
      <c r="D625" s="16">
        <v>0.39861111111111108</v>
      </c>
      <c r="E625" s="14">
        <v>90</v>
      </c>
      <c r="F625" s="14">
        <v>4</v>
      </c>
      <c r="G625" s="17">
        <v>0.3377355769140743</v>
      </c>
      <c r="H625" s="1" t="s">
        <v>143</v>
      </c>
      <c r="I625" s="14"/>
    </row>
    <row r="626" spans="1:9" x14ac:dyDescent="0.25">
      <c r="A626" s="14">
        <v>2016</v>
      </c>
      <c r="B626" s="14">
        <v>161</v>
      </c>
      <c r="C626" s="15">
        <v>42530</v>
      </c>
      <c r="D626" s="16">
        <v>0.40486111111111112</v>
      </c>
      <c r="E626" s="14">
        <v>90</v>
      </c>
      <c r="F626" s="14">
        <v>5</v>
      </c>
      <c r="G626" s="17">
        <v>0.33400315361637145</v>
      </c>
      <c r="H626" s="1" t="s">
        <v>0</v>
      </c>
      <c r="I626" s="14"/>
    </row>
    <row r="627" spans="1:9" x14ac:dyDescent="0.25">
      <c r="A627" s="14">
        <v>2016</v>
      </c>
      <c r="B627" s="14">
        <v>161</v>
      </c>
      <c r="C627" s="15">
        <v>42530</v>
      </c>
      <c r="D627" s="16">
        <v>0.40972222222222227</v>
      </c>
      <c r="E627" s="14">
        <v>90</v>
      </c>
      <c r="F627" s="14">
        <v>6</v>
      </c>
      <c r="G627" s="17">
        <v>0.32667569683560527</v>
      </c>
      <c r="H627" s="1" t="s">
        <v>0</v>
      </c>
      <c r="I627" s="14"/>
    </row>
    <row r="628" spans="1:9" x14ac:dyDescent="0.25">
      <c r="A628" s="14">
        <v>2016</v>
      </c>
      <c r="B628" s="14">
        <v>161</v>
      </c>
      <c r="C628" s="15">
        <v>42530</v>
      </c>
      <c r="D628" s="16">
        <v>0.41041666666666665</v>
      </c>
      <c r="E628" s="14">
        <v>90</v>
      </c>
      <c r="F628" s="14">
        <v>7</v>
      </c>
      <c r="G628" s="17">
        <v>0.34007120376294353</v>
      </c>
      <c r="H628" s="1" t="s">
        <v>143</v>
      </c>
      <c r="I628" s="14"/>
    </row>
    <row r="629" spans="1:9" x14ac:dyDescent="0.25">
      <c r="A629" s="14">
        <v>2016</v>
      </c>
      <c r="B629" s="14">
        <v>161</v>
      </c>
      <c r="C629" s="15">
        <v>42530</v>
      </c>
      <c r="D629" s="16">
        <v>0.41736111111111113</v>
      </c>
      <c r="E629" s="14">
        <v>90</v>
      </c>
      <c r="F629" s="14">
        <v>8</v>
      </c>
      <c r="G629" s="17">
        <v>0.33258345886509805</v>
      </c>
      <c r="H629" s="1" t="s">
        <v>143</v>
      </c>
      <c r="I629" s="14"/>
    </row>
    <row r="630" spans="1:9" x14ac:dyDescent="0.25">
      <c r="A630" s="14">
        <v>2016</v>
      </c>
      <c r="B630" s="14">
        <v>161</v>
      </c>
      <c r="C630" s="15">
        <v>42530</v>
      </c>
      <c r="D630" s="16">
        <v>0.4284722222222222</v>
      </c>
      <c r="E630" s="14">
        <v>90</v>
      </c>
      <c r="F630" s="14">
        <v>9</v>
      </c>
      <c r="G630" s="17">
        <v>0.34025439018246267</v>
      </c>
      <c r="H630" s="1" t="s">
        <v>143</v>
      </c>
      <c r="I630" s="14"/>
    </row>
    <row r="631" spans="1:9" x14ac:dyDescent="0.25">
      <c r="A631" s="14">
        <v>2016</v>
      </c>
      <c r="B631" s="14">
        <v>161</v>
      </c>
      <c r="C631" s="15">
        <v>42530</v>
      </c>
      <c r="D631" s="16">
        <v>0.43541666666666662</v>
      </c>
      <c r="E631" s="14">
        <v>90</v>
      </c>
      <c r="F631" s="14">
        <v>10</v>
      </c>
      <c r="G631" s="17">
        <v>0.34066655962638076</v>
      </c>
      <c r="H631" s="1" t="s">
        <v>143</v>
      </c>
      <c r="I631" s="14"/>
    </row>
    <row r="632" spans="1:9" x14ac:dyDescent="0.25">
      <c r="A632" s="14">
        <v>2016</v>
      </c>
      <c r="B632" s="14">
        <v>161</v>
      </c>
      <c r="C632" s="15">
        <v>42530</v>
      </c>
      <c r="D632" s="16">
        <v>0.51388888888888895</v>
      </c>
      <c r="E632" s="14">
        <v>90</v>
      </c>
      <c r="F632" s="14">
        <v>11</v>
      </c>
      <c r="G632" s="17">
        <v>0.33565183139204385</v>
      </c>
      <c r="H632" s="1" t="s">
        <v>144</v>
      </c>
      <c r="I632" s="14"/>
    </row>
    <row r="633" spans="1:9" x14ac:dyDescent="0.25">
      <c r="A633" s="14">
        <v>2016</v>
      </c>
      <c r="B633" s="14">
        <v>161</v>
      </c>
      <c r="C633" s="15">
        <v>42530</v>
      </c>
      <c r="D633" s="16">
        <v>0.51458333333333328</v>
      </c>
      <c r="E633" s="14">
        <v>90</v>
      </c>
      <c r="F633" s="14">
        <v>12</v>
      </c>
      <c r="G633" s="17">
        <v>0.33631588216280084</v>
      </c>
      <c r="H633" s="1" t="s">
        <v>144</v>
      </c>
      <c r="I633" s="14"/>
    </row>
    <row r="634" spans="1:9" x14ac:dyDescent="0.25">
      <c r="A634" s="14">
        <v>2016</v>
      </c>
      <c r="B634" s="14">
        <v>161</v>
      </c>
      <c r="C634" s="15">
        <v>42530</v>
      </c>
      <c r="D634" s="16">
        <v>0.52569444444444446</v>
      </c>
      <c r="E634" s="14">
        <v>90</v>
      </c>
      <c r="F634" s="14">
        <v>13</v>
      </c>
      <c r="G634" s="17">
        <v>0.33118666241626449</v>
      </c>
      <c r="H634" s="1" t="s">
        <v>144</v>
      </c>
      <c r="I634" s="14"/>
    </row>
    <row r="635" spans="1:9" x14ac:dyDescent="0.25">
      <c r="A635" s="14">
        <v>2016</v>
      </c>
      <c r="B635" s="14">
        <v>161</v>
      </c>
      <c r="C635" s="15">
        <v>42530</v>
      </c>
      <c r="D635" s="16">
        <v>0.53194444444444444</v>
      </c>
      <c r="E635" s="14">
        <v>90</v>
      </c>
      <c r="F635" s="14">
        <v>14</v>
      </c>
      <c r="G635" s="17">
        <v>0.32530179868921166</v>
      </c>
      <c r="H635" s="1" t="s">
        <v>144</v>
      </c>
      <c r="I635" s="14"/>
    </row>
    <row r="636" spans="1:9" x14ac:dyDescent="0.25">
      <c r="A636" s="14">
        <v>2016</v>
      </c>
      <c r="B636" s="14">
        <v>161</v>
      </c>
      <c r="C636" s="15">
        <v>42530</v>
      </c>
      <c r="D636" s="16">
        <v>0.53819444444444442</v>
      </c>
      <c r="E636" s="14">
        <v>90</v>
      </c>
      <c r="F636" s="14">
        <v>15</v>
      </c>
      <c r="G636" s="17">
        <v>0.32365312091353926</v>
      </c>
      <c r="H636" s="1" t="s">
        <v>1</v>
      </c>
      <c r="I636" s="14"/>
    </row>
    <row r="637" spans="1:9" x14ac:dyDescent="0.25">
      <c r="A637" s="14">
        <v>2016</v>
      </c>
      <c r="B637" s="14">
        <v>161</v>
      </c>
      <c r="C637" s="15">
        <v>42530</v>
      </c>
      <c r="D637" s="16">
        <v>0.54305555555555551</v>
      </c>
      <c r="E637" s="14">
        <v>90</v>
      </c>
      <c r="F637" s="14">
        <v>16</v>
      </c>
      <c r="G637" s="17">
        <v>0.32679018834780477</v>
      </c>
      <c r="H637" s="1" t="s">
        <v>1</v>
      </c>
      <c r="I637" s="14"/>
    </row>
    <row r="638" spans="1:9" x14ac:dyDescent="0.25">
      <c r="A638" s="14">
        <v>2016</v>
      </c>
      <c r="B638" s="14">
        <v>161</v>
      </c>
      <c r="C638" s="15">
        <v>42530</v>
      </c>
      <c r="D638" s="16">
        <v>0.54236111111111118</v>
      </c>
      <c r="E638" s="14">
        <v>90</v>
      </c>
      <c r="F638" s="14">
        <v>17</v>
      </c>
      <c r="G638" s="17">
        <v>0.3375981870994349</v>
      </c>
      <c r="H638" s="1" t="s">
        <v>144</v>
      </c>
      <c r="I638" s="14"/>
    </row>
    <row r="639" spans="1:9" x14ac:dyDescent="0.25">
      <c r="A639" s="14">
        <v>2016</v>
      </c>
      <c r="B639" s="14">
        <v>161</v>
      </c>
      <c r="C639" s="15">
        <v>42530</v>
      </c>
      <c r="D639" s="16">
        <v>0.54861111111111105</v>
      </c>
      <c r="E639" s="14">
        <v>90</v>
      </c>
      <c r="F639" s="14">
        <v>18</v>
      </c>
      <c r="G639" s="17">
        <v>0.33276664528461719</v>
      </c>
      <c r="H639" s="1" t="s">
        <v>144</v>
      </c>
      <c r="I639" s="14"/>
    </row>
    <row r="640" spans="1:9" x14ac:dyDescent="0.25">
      <c r="A640" s="14">
        <v>2016</v>
      </c>
      <c r="B640" s="14">
        <v>161</v>
      </c>
      <c r="C640" s="15">
        <v>42530</v>
      </c>
      <c r="D640" s="16">
        <v>0.56041666666666667</v>
      </c>
      <c r="E640" s="14">
        <v>90</v>
      </c>
      <c r="F640" s="14">
        <v>19</v>
      </c>
      <c r="G640" s="17">
        <v>0.33100347599674534</v>
      </c>
      <c r="H640" s="1" t="s">
        <v>144</v>
      </c>
      <c r="I640" s="14"/>
    </row>
    <row r="641" spans="1:9" x14ac:dyDescent="0.25">
      <c r="A641" s="14">
        <v>2016</v>
      </c>
      <c r="B641" s="14">
        <v>161</v>
      </c>
      <c r="C641" s="15">
        <v>42530</v>
      </c>
      <c r="D641" s="16">
        <v>0.56041666666666667</v>
      </c>
      <c r="E641" s="14">
        <v>90</v>
      </c>
      <c r="F641" s="14">
        <v>20</v>
      </c>
      <c r="G641" s="17">
        <v>0.33100347599674534</v>
      </c>
      <c r="H641" s="1" t="s">
        <v>144</v>
      </c>
      <c r="I641" s="14"/>
    </row>
    <row r="642" spans="1:9" x14ac:dyDescent="0.25">
      <c r="A642" s="14">
        <v>2016</v>
      </c>
      <c r="B642" s="14">
        <v>161</v>
      </c>
      <c r="C642" s="15">
        <v>42530</v>
      </c>
      <c r="D642" s="16">
        <v>0.37777777777777777</v>
      </c>
      <c r="E642" s="14">
        <v>70</v>
      </c>
      <c r="F642" s="14">
        <v>1</v>
      </c>
      <c r="G642" s="17">
        <v>0.34384942366552607</v>
      </c>
      <c r="H642" s="1" t="s">
        <v>143</v>
      </c>
      <c r="I642" s="14"/>
    </row>
    <row r="643" spans="1:9" x14ac:dyDescent="0.25">
      <c r="A643" s="14">
        <v>2016</v>
      </c>
      <c r="B643" s="14">
        <v>161</v>
      </c>
      <c r="C643" s="15">
        <v>42530</v>
      </c>
      <c r="D643" s="16">
        <v>0.38541666666666669</v>
      </c>
      <c r="E643" s="14">
        <v>70</v>
      </c>
      <c r="F643" s="14">
        <v>2</v>
      </c>
      <c r="G643" s="17">
        <v>0.35122267705117205</v>
      </c>
      <c r="H643" s="1" t="s">
        <v>143</v>
      </c>
      <c r="I643" s="14"/>
    </row>
    <row r="644" spans="1:9" x14ac:dyDescent="0.25">
      <c r="A644" s="14">
        <v>2016</v>
      </c>
      <c r="B644" s="14">
        <v>161</v>
      </c>
      <c r="C644" s="15">
        <v>42530</v>
      </c>
      <c r="D644" s="16">
        <v>0.3923611111111111</v>
      </c>
      <c r="E644" s="14">
        <v>70</v>
      </c>
      <c r="F644" s="14">
        <v>3</v>
      </c>
      <c r="G644" s="17">
        <v>0.34426159310944421</v>
      </c>
      <c r="H644" s="1" t="s">
        <v>143</v>
      </c>
      <c r="I644" s="14"/>
    </row>
    <row r="645" spans="1:9" x14ac:dyDescent="0.25">
      <c r="A645" s="14">
        <v>2016</v>
      </c>
      <c r="B645" s="14">
        <v>161</v>
      </c>
      <c r="C645" s="15">
        <v>42530</v>
      </c>
      <c r="D645" s="16">
        <v>0.39861111111111108</v>
      </c>
      <c r="E645" s="14">
        <v>70</v>
      </c>
      <c r="F645" s="14">
        <v>4</v>
      </c>
      <c r="G645" s="17">
        <v>0.33844542428971103</v>
      </c>
      <c r="H645" s="1" t="s">
        <v>143</v>
      </c>
      <c r="I645" s="14"/>
    </row>
    <row r="646" spans="1:9" x14ac:dyDescent="0.25">
      <c r="A646" s="14">
        <v>2016</v>
      </c>
      <c r="B646" s="14">
        <v>161</v>
      </c>
      <c r="C646" s="15">
        <v>42530</v>
      </c>
      <c r="D646" s="16">
        <v>0.40486111111111112</v>
      </c>
      <c r="E646" s="14">
        <v>70</v>
      </c>
      <c r="F646" s="14">
        <v>5</v>
      </c>
      <c r="G646" s="17">
        <v>0.34378072875820637</v>
      </c>
      <c r="H646" s="1" t="s">
        <v>0</v>
      </c>
      <c r="I646" s="14"/>
    </row>
    <row r="647" spans="1:9" x14ac:dyDescent="0.25">
      <c r="A647" s="14">
        <v>2016</v>
      </c>
      <c r="B647" s="14">
        <v>161</v>
      </c>
      <c r="C647" s="15">
        <v>42530</v>
      </c>
      <c r="D647" s="16">
        <v>0.40972222222222227</v>
      </c>
      <c r="E647" s="14">
        <v>70</v>
      </c>
      <c r="F647" s="14">
        <v>6</v>
      </c>
      <c r="G647" s="17">
        <v>0.34201755947033452</v>
      </c>
      <c r="H647" s="1" t="s">
        <v>0</v>
      </c>
      <c r="I647" s="14"/>
    </row>
    <row r="648" spans="1:9" x14ac:dyDescent="0.25">
      <c r="A648" s="14">
        <v>2016</v>
      </c>
      <c r="B648" s="14">
        <v>161</v>
      </c>
      <c r="C648" s="15">
        <v>42530</v>
      </c>
      <c r="D648" s="16">
        <v>0.41041666666666665</v>
      </c>
      <c r="E648" s="14">
        <v>70</v>
      </c>
      <c r="F648" s="14">
        <v>7</v>
      </c>
      <c r="G648" s="17">
        <v>0.34291059326549039</v>
      </c>
      <c r="H648" s="1" t="s">
        <v>143</v>
      </c>
      <c r="I648" s="14"/>
    </row>
    <row r="649" spans="1:9" x14ac:dyDescent="0.25">
      <c r="A649" s="14">
        <v>2016</v>
      </c>
      <c r="B649" s="14">
        <v>161</v>
      </c>
      <c r="C649" s="15">
        <v>42530</v>
      </c>
      <c r="D649" s="16">
        <v>0.41736111111111113</v>
      </c>
      <c r="E649" s="14">
        <v>70</v>
      </c>
      <c r="F649" s="14">
        <v>8</v>
      </c>
      <c r="G649" s="17">
        <v>0.34270450854353135</v>
      </c>
      <c r="H649" s="1" t="s">
        <v>143</v>
      </c>
      <c r="I649" s="14"/>
    </row>
    <row r="650" spans="1:9" x14ac:dyDescent="0.25">
      <c r="A650" s="14">
        <v>2016</v>
      </c>
      <c r="B650" s="14">
        <v>161</v>
      </c>
      <c r="C650" s="15">
        <v>42530</v>
      </c>
      <c r="D650" s="16">
        <v>0.4284722222222222</v>
      </c>
      <c r="E650" s="14">
        <v>70</v>
      </c>
      <c r="F650" s="14">
        <v>9</v>
      </c>
      <c r="G650" s="17">
        <v>0.34135350869957759</v>
      </c>
      <c r="H650" s="1" t="s">
        <v>143</v>
      </c>
      <c r="I650" s="14"/>
    </row>
    <row r="651" spans="1:9" x14ac:dyDescent="0.25">
      <c r="A651" s="14">
        <v>2016</v>
      </c>
      <c r="B651" s="14">
        <v>161</v>
      </c>
      <c r="C651" s="15">
        <v>42530</v>
      </c>
      <c r="D651" s="16">
        <v>0.43541666666666662</v>
      </c>
      <c r="E651" s="14">
        <v>70</v>
      </c>
      <c r="F651" s="14">
        <v>10</v>
      </c>
      <c r="G651" s="17">
        <v>0.35087920251457366</v>
      </c>
      <c r="H651" s="1" t="s">
        <v>143</v>
      </c>
      <c r="I651" s="14"/>
    </row>
    <row r="652" spans="1:9" x14ac:dyDescent="0.25">
      <c r="A652" s="14">
        <v>2016</v>
      </c>
      <c r="B652" s="14">
        <v>161</v>
      </c>
      <c r="C652" s="15">
        <v>42530</v>
      </c>
      <c r="D652" s="16">
        <v>0.51388888888888895</v>
      </c>
      <c r="E652" s="14">
        <v>70</v>
      </c>
      <c r="F652" s="14">
        <v>11</v>
      </c>
      <c r="G652" s="17">
        <v>0.34192596626057498</v>
      </c>
      <c r="H652" s="1" t="s">
        <v>144</v>
      </c>
      <c r="I652" s="14"/>
    </row>
    <row r="653" spans="1:9" x14ac:dyDescent="0.25">
      <c r="A653" s="14">
        <v>2016</v>
      </c>
      <c r="B653" s="14">
        <v>161</v>
      </c>
      <c r="C653" s="15">
        <v>42530</v>
      </c>
      <c r="D653" s="16">
        <v>0.51458333333333328</v>
      </c>
      <c r="E653" s="14">
        <v>70</v>
      </c>
      <c r="F653" s="14">
        <v>12</v>
      </c>
      <c r="G653" s="17">
        <v>0.33620139065060134</v>
      </c>
      <c r="H653" s="1" t="s">
        <v>144</v>
      </c>
      <c r="I653" s="14"/>
    </row>
    <row r="654" spans="1:9" x14ac:dyDescent="0.25">
      <c r="A654" s="14">
        <v>2016</v>
      </c>
      <c r="B654" s="14">
        <v>161</v>
      </c>
      <c r="C654" s="15">
        <v>42530</v>
      </c>
      <c r="D654" s="16">
        <v>0.52569444444444446</v>
      </c>
      <c r="E654" s="14">
        <v>70</v>
      </c>
      <c r="F654" s="14">
        <v>13</v>
      </c>
      <c r="G654" s="17">
        <v>0.33143854374310333</v>
      </c>
      <c r="H654" s="1" t="s">
        <v>144</v>
      </c>
      <c r="I654" s="14"/>
    </row>
    <row r="655" spans="1:9" x14ac:dyDescent="0.25">
      <c r="A655" s="14">
        <v>2016</v>
      </c>
      <c r="B655" s="14">
        <v>161</v>
      </c>
      <c r="C655" s="15">
        <v>42530</v>
      </c>
      <c r="D655" s="16">
        <v>0.53194444444444444</v>
      </c>
      <c r="E655" s="14">
        <v>70</v>
      </c>
      <c r="F655" s="14">
        <v>14</v>
      </c>
      <c r="G655" s="17">
        <v>0.3407581528361403</v>
      </c>
      <c r="H655" s="1" t="s">
        <v>144</v>
      </c>
      <c r="I655" s="14"/>
    </row>
    <row r="656" spans="1:9" x14ac:dyDescent="0.25">
      <c r="A656" s="14">
        <v>2016</v>
      </c>
      <c r="B656" s="14">
        <v>161</v>
      </c>
      <c r="C656" s="15">
        <v>42530</v>
      </c>
      <c r="D656" s="16">
        <v>0.53819444444444442</v>
      </c>
      <c r="E656" s="14">
        <v>70</v>
      </c>
      <c r="F656" s="14">
        <v>15</v>
      </c>
      <c r="G656" s="17">
        <v>0.32875944235763571</v>
      </c>
      <c r="H656" s="1" t="s">
        <v>1</v>
      </c>
      <c r="I656" s="14"/>
    </row>
    <row r="657" spans="1:9" x14ac:dyDescent="0.25">
      <c r="A657" s="14">
        <v>2016</v>
      </c>
      <c r="B657" s="14">
        <v>161</v>
      </c>
      <c r="C657" s="15">
        <v>42530</v>
      </c>
      <c r="D657" s="16">
        <v>0.54305555555555551</v>
      </c>
      <c r="E657" s="14">
        <v>70</v>
      </c>
      <c r="F657" s="14">
        <v>16</v>
      </c>
      <c r="G657" s="17">
        <v>0.33178201827970172</v>
      </c>
      <c r="H657" s="1" t="s">
        <v>1</v>
      </c>
      <c r="I657" s="14"/>
    </row>
    <row r="658" spans="1:9" x14ac:dyDescent="0.25">
      <c r="A658" s="14">
        <v>2016</v>
      </c>
      <c r="B658" s="14">
        <v>161</v>
      </c>
      <c r="C658" s="15">
        <v>42530</v>
      </c>
      <c r="D658" s="16">
        <v>0.54236111111111118</v>
      </c>
      <c r="E658" s="14">
        <v>70</v>
      </c>
      <c r="F658" s="14">
        <v>17</v>
      </c>
      <c r="G658" s="17">
        <v>0.34311667798744944</v>
      </c>
      <c r="H658" s="1" t="s">
        <v>144</v>
      </c>
      <c r="I658" s="14"/>
    </row>
    <row r="659" spans="1:9" x14ac:dyDescent="0.25">
      <c r="A659" s="14">
        <v>2016</v>
      </c>
      <c r="B659" s="14">
        <v>161</v>
      </c>
      <c r="C659" s="15">
        <v>42530</v>
      </c>
      <c r="D659" s="16">
        <v>0.54861111111111105</v>
      </c>
      <c r="E659" s="14">
        <v>70</v>
      </c>
      <c r="F659" s="14">
        <v>18</v>
      </c>
      <c r="G659" s="17">
        <v>0.33036232352842831</v>
      </c>
      <c r="H659" s="1" t="s">
        <v>144</v>
      </c>
      <c r="I659" s="14"/>
    </row>
    <row r="660" spans="1:9" x14ac:dyDescent="0.25">
      <c r="A660" s="14">
        <v>2016</v>
      </c>
      <c r="B660" s="14">
        <v>161</v>
      </c>
      <c r="C660" s="15">
        <v>42530</v>
      </c>
      <c r="D660" s="16">
        <v>0.56041666666666667</v>
      </c>
      <c r="E660" s="14">
        <v>70</v>
      </c>
      <c r="F660" s="14">
        <v>19</v>
      </c>
      <c r="G660" s="17">
        <v>0.3391781699677876</v>
      </c>
      <c r="H660" s="1" t="s">
        <v>144</v>
      </c>
      <c r="I660" s="14"/>
    </row>
    <row r="661" spans="1:9" x14ac:dyDescent="0.25">
      <c r="A661" s="14">
        <v>2016</v>
      </c>
      <c r="B661" s="14">
        <v>161</v>
      </c>
      <c r="C661" s="15">
        <v>42530</v>
      </c>
      <c r="D661" s="16">
        <v>0.56041666666666667</v>
      </c>
      <c r="E661" s="14">
        <v>70</v>
      </c>
      <c r="F661" s="14">
        <v>20</v>
      </c>
      <c r="G661" s="17">
        <v>0.3391781699677876</v>
      </c>
      <c r="H661" s="1" t="s">
        <v>144</v>
      </c>
      <c r="I661" s="14"/>
    </row>
    <row r="662" spans="1:9" x14ac:dyDescent="0.25">
      <c r="A662" s="14">
        <v>2016</v>
      </c>
      <c r="B662" s="14">
        <v>161</v>
      </c>
      <c r="C662" s="15">
        <v>42530</v>
      </c>
      <c r="D662" s="16">
        <v>0.37777777777777777</v>
      </c>
      <c r="E662" s="14">
        <v>50</v>
      </c>
      <c r="F662" s="14">
        <v>1</v>
      </c>
      <c r="G662" s="17">
        <v>0.35048993137309542</v>
      </c>
      <c r="H662" s="1" t="s">
        <v>143</v>
      </c>
      <c r="I662" s="14"/>
    </row>
    <row r="663" spans="1:9" x14ac:dyDescent="0.25">
      <c r="A663" s="14">
        <v>2016</v>
      </c>
      <c r="B663" s="14">
        <v>161</v>
      </c>
      <c r="C663" s="15">
        <v>42530</v>
      </c>
      <c r="D663" s="16">
        <v>0.38541666666666669</v>
      </c>
      <c r="E663" s="14">
        <v>50</v>
      </c>
      <c r="F663" s="14">
        <v>2</v>
      </c>
      <c r="G663" s="17">
        <v>0.35630610019282855</v>
      </c>
      <c r="H663" s="1" t="s">
        <v>143</v>
      </c>
      <c r="I663" s="14"/>
    </row>
    <row r="664" spans="1:9" x14ac:dyDescent="0.25">
      <c r="A664" s="14">
        <v>2016</v>
      </c>
      <c r="B664" s="14">
        <v>161</v>
      </c>
      <c r="C664" s="15">
        <v>42530</v>
      </c>
      <c r="D664" s="16">
        <v>0.3923611111111111</v>
      </c>
      <c r="E664" s="14">
        <v>50</v>
      </c>
      <c r="F664" s="14">
        <v>3</v>
      </c>
      <c r="G664" s="17">
        <v>0.35229889726584707</v>
      </c>
      <c r="H664" s="1" t="s">
        <v>143</v>
      </c>
      <c r="I664" s="14"/>
    </row>
    <row r="665" spans="1:9" x14ac:dyDescent="0.25">
      <c r="A665" s="14">
        <v>2016</v>
      </c>
      <c r="B665" s="14">
        <v>161</v>
      </c>
      <c r="C665" s="15">
        <v>42530</v>
      </c>
      <c r="D665" s="16">
        <v>0.39861111111111108</v>
      </c>
      <c r="E665" s="14">
        <v>50</v>
      </c>
      <c r="F665" s="14">
        <v>4</v>
      </c>
      <c r="G665" s="17">
        <v>0.34668881316807298</v>
      </c>
      <c r="H665" s="1" t="s">
        <v>143</v>
      </c>
      <c r="I665" s="14"/>
    </row>
    <row r="666" spans="1:9" x14ac:dyDescent="0.25">
      <c r="A666" s="14">
        <v>2016</v>
      </c>
      <c r="B666" s="14">
        <v>161</v>
      </c>
      <c r="C666" s="15">
        <v>42530</v>
      </c>
      <c r="D666" s="16">
        <v>0.40486111111111112</v>
      </c>
      <c r="E666" s="14">
        <v>50</v>
      </c>
      <c r="F666" s="14">
        <v>5</v>
      </c>
      <c r="G666" s="17">
        <v>0.34797111810470704</v>
      </c>
      <c r="H666" s="1" t="s">
        <v>0</v>
      </c>
      <c r="I666" s="14"/>
    </row>
    <row r="667" spans="1:9" x14ac:dyDescent="0.25">
      <c r="A667" s="14">
        <v>2016</v>
      </c>
      <c r="B667" s="14">
        <v>161</v>
      </c>
      <c r="C667" s="15">
        <v>42530</v>
      </c>
      <c r="D667" s="16">
        <v>0.40972222222222227</v>
      </c>
      <c r="E667" s="14">
        <v>50</v>
      </c>
      <c r="F667" s="14">
        <v>6</v>
      </c>
      <c r="G667" s="17">
        <v>0.34975718569501885</v>
      </c>
      <c r="H667" s="1" t="s">
        <v>0</v>
      </c>
      <c r="I667" s="14"/>
    </row>
    <row r="668" spans="1:9" x14ac:dyDescent="0.25">
      <c r="A668" s="14">
        <v>2016</v>
      </c>
      <c r="B668" s="14">
        <v>161</v>
      </c>
      <c r="C668" s="15">
        <v>42530</v>
      </c>
      <c r="D668" s="16">
        <v>0.41041666666666665</v>
      </c>
      <c r="E668" s="14">
        <v>50</v>
      </c>
      <c r="F668" s="14">
        <v>7</v>
      </c>
      <c r="G668" s="17">
        <v>0.35811506608558019</v>
      </c>
      <c r="H668" s="1" t="s">
        <v>143</v>
      </c>
      <c r="I668" s="14"/>
    </row>
    <row r="669" spans="1:9" x14ac:dyDescent="0.25">
      <c r="A669" s="14">
        <v>2016</v>
      </c>
      <c r="B669" s="14">
        <v>161</v>
      </c>
      <c r="C669" s="15">
        <v>42530</v>
      </c>
      <c r="D669" s="16">
        <v>0.41736111111111113</v>
      </c>
      <c r="E669" s="14">
        <v>50</v>
      </c>
      <c r="F669" s="14">
        <v>8</v>
      </c>
      <c r="G669" s="17">
        <v>0.34508593199728033</v>
      </c>
      <c r="H669" s="1" t="s">
        <v>143</v>
      </c>
      <c r="I669" s="14"/>
    </row>
    <row r="670" spans="1:9" x14ac:dyDescent="0.25">
      <c r="A670" s="14">
        <v>2016</v>
      </c>
      <c r="B670" s="14">
        <v>161</v>
      </c>
      <c r="C670" s="15">
        <v>42530</v>
      </c>
      <c r="D670" s="16">
        <v>0.4284722222222222</v>
      </c>
      <c r="E670" s="14">
        <v>50</v>
      </c>
      <c r="F670" s="14">
        <v>9</v>
      </c>
      <c r="G670" s="17">
        <v>0.35630610019282855</v>
      </c>
      <c r="H670" s="1" t="s">
        <v>143</v>
      </c>
      <c r="I670" s="14"/>
    </row>
    <row r="671" spans="1:9" x14ac:dyDescent="0.25">
      <c r="A671" s="14">
        <v>2016</v>
      </c>
      <c r="B671" s="14">
        <v>161</v>
      </c>
      <c r="C671" s="15">
        <v>42530</v>
      </c>
      <c r="D671" s="16">
        <v>0.43541666666666662</v>
      </c>
      <c r="E671" s="14">
        <v>50</v>
      </c>
      <c r="F671" s="14">
        <v>10</v>
      </c>
      <c r="G671" s="17">
        <v>0.35893940497341642</v>
      </c>
      <c r="H671" s="1" t="s">
        <v>143</v>
      </c>
      <c r="I671" s="14"/>
    </row>
    <row r="672" spans="1:9" x14ac:dyDescent="0.25">
      <c r="A672" s="14">
        <v>2016</v>
      </c>
      <c r="B672" s="14">
        <v>161</v>
      </c>
      <c r="C672" s="15">
        <v>42530</v>
      </c>
      <c r="D672" s="16">
        <v>0.51388888888888895</v>
      </c>
      <c r="E672" s="14">
        <v>50</v>
      </c>
      <c r="F672" s="14">
        <v>11</v>
      </c>
      <c r="G672" s="17">
        <v>0.35397047334395937</v>
      </c>
      <c r="H672" s="1" t="s">
        <v>144</v>
      </c>
      <c r="I672" s="14"/>
    </row>
    <row r="673" spans="1:9" x14ac:dyDescent="0.25">
      <c r="A673" s="14">
        <v>2016</v>
      </c>
      <c r="B673" s="14">
        <v>161</v>
      </c>
      <c r="C673" s="15">
        <v>42530</v>
      </c>
      <c r="D673" s="16">
        <v>0.51458333333333328</v>
      </c>
      <c r="E673" s="14">
        <v>50</v>
      </c>
      <c r="F673" s="14">
        <v>12</v>
      </c>
      <c r="G673" s="17">
        <v>0.34506303369484048</v>
      </c>
      <c r="H673" s="1" t="s">
        <v>144</v>
      </c>
      <c r="I673" s="14"/>
    </row>
    <row r="674" spans="1:9" x14ac:dyDescent="0.25">
      <c r="A674" s="14">
        <v>2016</v>
      </c>
      <c r="B674" s="14">
        <v>161</v>
      </c>
      <c r="C674" s="15">
        <v>42530</v>
      </c>
      <c r="D674" s="16">
        <v>0.52569444444444446</v>
      </c>
      <c r="E674" s="14">
        <v>50</v>
      </c>
      <c r="F674" s="14">
        <v>13</v>
      </c>
      <c r="G674" s="17">
        <v>0.31355496953754586</v>
      </c>
      <c r="H674" s="1" t="s">
        <v>144</v>
      </c>
      <c r="I674" s="14"/>
    </row>
    <row r="675" spans="1:9" x14ac:dyDescent="0.25">
      <c r="A675" s="14">
        <v>2016</v>
      </c>
      <c r="B675" s="14">
        <v>161</v>
      </c>
      <c r="C675" s="15">
        <v>42530</v>
      </c>
      <c r="D675" s="16">
        <v>0.53194444444444444</v>
      </c>
      <c r="E675" s="14">
        <v>50</v>
      </c>
      <c r="F675" s="14">
        <v>14</v>
      </c>
      <c r="G675" s="17">
        <v>0.29926642881505183</v>
      </c>
      <c r="H675" s="1" t="s">
        <v>144</v>
      </c>
      <c r="I675" s="14"/>
    </row>
    <row r="676" spans="1:9" x14ac:dyDescent="0.25">
      <c r="A676" s="14">
        <v>2016</v>
      </c>
      <c r="B676" s="14">
        <v>161</v>
      </c>
      <c r="C676" s="15">
        <v>42530</v>
      </c>
      <c r="D676" s="16">
        <v>0.53819444444444442</v>
      </c>
      <c r="E676" s="14">
        <v>50</v>
      </c>
      <c r="F676" s="14">
        <v>15</v>
      </c>
      <c r="G676" s="17">
        <v>0.33672805160671893</v>
      </c>
      <c r="H676" s="1" t="s">
        <v>1</v>
      </c>
      <c r="I676" s="14"/>
    </row>
    <row r="677" spans="1:9" x14ac:dyDescent="0.25">
      <c r="A677" s="14">
        <v>2016</v>
      </c>
      <c r="B677" s="14">
        <v>161</v>
      </c>
      <c r="C677" s="15">
        <v>42530</v>
      </c>
      <c r="D677" s="16">
        <v>0.54305555555555551</v>
      </c>
      <c r="E677" s="14">
        <v>50</v>
      </c>
      <c r="F677" s="14">
        <v>16</v>
      </c>
      <c r="G677" s="17">
        <v>0.34311667798744944</v>
      </c>
      <c r="H677" s="1" t="s">
        <v>1</v>
      </c>
      <c r="I677" s="14"/>
    </row>
    <row r="678" spans="1:9" x14ac:dyDescent="0.25">
      <c r="A678" s="14">
        <v>2016</v>
      </c>
      <c r="B678" s="14">
        <v>161</v>
      </c>
      <c r="C678" s="15">
        <v>42530</v>
      </c>
      <c r="D678" s="16">
        <v>0.54236111111111118</v>
      </c>
      <c r="E678" s="14">
        <v>50</v>
      </c>
      <c r="F678" s="14">
        <v>17</v>
      </c>
      <c r="G678" s="17">
        <v>0.36191618429060268</v>
      </c>
      <c r="H678" s="1" t="s">
        <v>144</v>
      </c>
      <c r="I678" s="14"/>
    </row>
    <row r="679" spans="1:9" x14ac:dyDescent="0.25">
      <c r="A679" s="14">
        <v>2016</v>
      </c>
      <c r="B679" s="14">
        <v>161</v>
      </c>
      <c r="C679" s="15">
        <v>42530</v>
      </c>
      <c r="D679" s="16">
        <v>0.54861111111111105</v>
      </c>
      <c r="E679" s="14">
        <v>50</v>
      </c>
      <c r="F679" s="14">
        <v>18</v>
      </c>
      <c r="G679" s="17">
        <v>0.34597896579243625</v>
      </c>
      <c r="H679" s="1" t="s">
        <v>144</v>
      </c>
      <c r="I679" s="14"/>
    </row>
    <row r="680" spans="1:9" x14ac:dyDescent="0.25">
      <c r="A680" s="14">
        <v>2016</v>
      </c>
      <c r="B680" s="14">
        <v>161</v>
      </c>
      <c r="C680" s="15">
        <v>42530</v>
      </c>
      <c r="D680" s="16">
        <v>0.56041666666666667</v>
      </c>
      <c r="E680" s="14">
        <v>50</v>
      </c>
      <c r="F680" s="14">
        <v>19</v>
      </c>
      <c r="G680" s="17">
        <v>0.34884125359742307</v>
      </c>
      <c r="H680" s="1" t="s">
        <v>144</v>
      </c>
      <c r="I680" s="14"/>
    </row>
    <row r="681" spans="1:9" x14ac:dyDescent="0.25">
      <c r="A681" s="14">
        <v>2016</v>
      </c>
      <c r="B681" s="14">
        <v>161</v>
      </c>
      <c r="C681" s="15">
        <v>42530</v>
      </c>
      <c r="D681" s="16">
        <v>0.56041666666666667</v>
      </c>
      <c r="E681" s="14">
        <v>50</v>
      </c>
      <c r="F681" s="14">
        <v>20</v>
      </c>
      <c r="G681" s="17">
        <v>0.34884125359742307</v>
      </c>
      <c r="H681" s="1" t="s">
        <v>144</v>
      </c>
      <c r="I681" s="14"/>
    </row>
    <row r="682" spans="1:9" x14ac:dyDescent="0.25">
      <c r="A682" s="14">
        <v>2016</v>
      </c>
      <c r="B682" s="14">
        <v>161</v>
      </c>
      <c r="C682" s="15">
        <v>42530</v>
      </c>
      <c r="D682" s="16">
        <v>0.37777777777777777</v>
      </c>
      <c r="E682" s="14">
        <v>30</v>
      </c>
      <c r="F682" s="14">
        <v>1</v>
      </c>
      <c r="G682" s="17">
        <v>0.31243295271799104</v>
      </c>
      <c r="H682" s="1" t="s">
        <v>143</v>
      </c>
      <c r="I682" s="14"/>
    </row>
    <row r="683" spans="1:9" x14ac:dyDescent="0.25">
      <c r="A683" s="14">
        <v>2016</v>
      </c>
      <c r="B683" s="14">
        <v>161</v>
      </c>
      <c r="C683" s="15">
        <v>42530</v>
      </c>
      <c r="D683" s="16">
        <v>0.38541666666666669</v>
      </c>
      <c r="E683" s="14">
        <v>30</v>
      </c>
      <c r="F683" s="14">
        <v>2</v>
      </c>
      <c r="G683" s="17">
        <v>0.31758507076696729</v>
      </c>
      <c r="H683" s="1" t="s">
        <v>143</v>
      </c>
      <c r="I683" s="14"/>
    </row>
    <row r="684" spans="1:9" x14ac:dyDescent="0.25">
      <c r="A684" s="14">
        <v>2016</v>
      </c>
      <c r="B684" s="14">
        <v>161</v>
      </c>
      <c r="C684" s="15">
        <v>42530</v>
      </c>
      <c r="D684" s="16">
        <v>0.3923611111111111</v>
      </c>
      <c r="E684" s="14">
        <v>30</v>
      </c>
      <c r="F684" s="14">
        <v>3</v>
      </c>
      <c r="G684" s="17">
        <v>0.32431717168429619</v>
      </c>
      <c r="H684" s="1" t="s">
        <v>143</v>
      </c>
      <c r="I684" s="14"/>
    </row>
    <row r="685" spans="1:9" x14ac:dyDescent="0.25">
      <c r="A685" s="14">
        <v>2016</v>
      </c>
      <c r="B685" s="14">
        <v>161</v>
      </c>
      <c r="C685" s="15">
        <v>42530</v>
      </c>
      <c r="D685" s="16">
        <v>0.39861111111111108</v>
      </c>
      <c r="E685" s="14">
        <v>30</v>
      </c>
      <c r="F685" s="14">
        <v>4</v>
      </c>
      <c r="G685" s="17">
        <v>0.32122590085491048</v>
      </c>
      <c r="H685" s="1" t="s">
        <v>143</v>
      </c>
      <c r="I685" s="14"/>
    </row>
    <row r="686" spans="1:9" x14ac:dyDescent="0.25">
      <c r="A686" s="14">
        <v>2016</v>
      </c>
      <c r="B686" s="14">
        <v>161</v>
      </c>
      <c r="C686" s="15">
        <v>42530</v>
      </c>
      <c r="D686" s="16">
        <v>0.40486111111111112</v>
      </c>
      <c r="E686" s="14">
        <v>30</v>
      </c>
      <c r="F686" s="14">
        <v>5</v>
      </c>
      <c r="G686" s="17">
        <v>0.34542940653387877</v>
      </c>
      <c r="H686" s="1" t="s">
        <v>0</v>
      </c>
      <c r="I686" s="14"/>
    </row>
    <row r="687" spans="1:9" x14ac:dyDescent="0.25">
      <c r="A687" s="14">
        <v>2016</v>
      </c>
      <c r="B687" s="14">
        <v>161</v>
      </c>
      <c r="C687" s="15">
        <v>42530</v>
      </c>
      <c r="D687" s="16">
        <v>0.40972222222222227</v>
      </c>
      <c r="E687" s="14">
        <v>30</v>
      </c>
      <c r="F687" s="14">
        <v>6</v>
      </c>
      <c r="G687" s="17">
        <v>0.33702572953843757</v>
      </c>
      <c r="H687" s="1" t="s">
        <v>0</v>
      </c>
      <c r="I687" s="14"/>
    </row>
    <row r="688" spans="1:9" x14ac:dyDescent="0.25">
      <c r="A688" s="14">
        <v>2016</v>
      </c>
      <c r="B688" s="14">
        <v>161</v>
      </c>
      <c r="C688" s="15">
        <v>42530</v>
      </c>
      <c r="D688" s="16">
        <v>0.41041666666666665</v>
      </c>
      <c r="E688" s="14">
        <v>30</v>
      </c>
      <c r="F688" s="14">
        <v>7</v>
      </c>
      <c r="G688" s="17">
        <v>0.29912903900041243</v>
      </c>
      <c r="H688" s="1" t="s">
        <v>143</v>
      </c>
      <c r="I688" s="14"/>
    </row>
    <row r="689" spans="1:9" x14ac:dyDescent="0.25">
      <c r="A689" s="14">
        <v>2016</v>
      </c>
      <c r="B689" s="14">
        <v>161</v>
      </c>
      <c r="C689" s="15">
        <v>42530</v>
      </c>
      <c r="D689" s="16">
        <v>0.41736111111111113</v>
      </c>
      <c r="E689" s="14">
        <v>30</v>
      </c>
      <c r="F689" s="14">
        <v>8</v>
      </c>
      <c r="G689" s="17">
        <v>0.32321805316718122</v>
      </c>
      <c r="H689" s="1" t="s">
        <v>143</v>
      </c>
      <c r="I689" s="14"/>
    </row>
    <row r="690" spans="1:9" x14ac:dyDescent="0.25">
      <c r="A690" s="14">
        <v>2016</v>
      </c>
      <c r="B690" s="14">
        <v>161</v>
      </c>
      <c r="C690" s="15">
        <v>42530</v>
      </c>
      <c r="D690" s="16">
        <v>0.4284722222222222</v>
      </c>
      <c r="E690" s="14">
        <v>30</v>
      </c>
      <c r="F690" s="14">
        <v>9</v>
      </c>
      <c r="G690" s="17">
        <v>0.31012022417156171</v>
      </c>
      <c r="H690" s="1" t="s">
        <v>143</v>
      </c>
      <c r="I690" s="14"/>
    </row>
    <row r="691" spans="1:9" x14ac:dyDescent="0.25">
      <c r="A691" s="14">
        <v>2016</v>
      </c>
      <c r="B691" s="14">
        <v>161</v>
      </c>
      <c r="C691" s="15">
        <v>42530</v>
      </c>
      <c r="D691" s="16">
        <v>0.43541666666666662</v>
      </c>
      <c r="E691" s="14">
        <v>30</v>
      </c>
      <c r="F691" s="14">
        <v>10</v>
      </c>
      <c r="G691" s="17">
        <v>0.33638457707012048</v>
      </c>
      <c r="H691" s="1" t="s">
        <v>143</v>
      </c>
      <c r="I691" s="14"/>
    </row>
    <row r="692" spans="1:9" x14ac:dyDescent="0.25">
      <c r="A692" s="14">
        <v>2016</v>
      </c>
      <c r="B692" s="14">
        <v>161</v>
      </c>
      <c r="C692" s="15">
        <v>42530</v>
      </c>
      <c r="D692" s="16">
        <v>0.51388888888888895</v>
      </c>
      <c r="E692" s="14">
        <v>30</v>
      </c>
      <c r="F692" s="14">
        <v>11</v>
      </c>
      <c r="G692" s="17">
        <v>0.30570085180066209</v>
      </c>
      <c r="H692" s="1" t="s">
        <v>144</v>
      </c>
      <c r="I692" s="14"/>
    </row>
    <row r="693" spans="1:9" x14ac:dyDescent="0.25">
      <c r="A693" s="14">
        <v>2016</v>
      </c>
      <c r="B693" s="14">
        <v>161</v>
      </c>
      <c r="C693" s="15">
        <v>42530</v>
      </c>
      <c r="D693" s="16">
        <v>0.51458333333333328</v>
      </c>
      <c r="E693" s="14">
        <v>30</v>
      </c>
      <c r="F693" s="14">
        <v>12</v>
      </c>
      <c r="G693" s="17">
        <v>0.27957388871674266</v>
      </c>
      <c r="H693" s="1" t="s">
        <v>144</v>
      </c>
      <c r="I693" s="14"/>
    </row>
    <row r="694" spans="1:9" x14ac:dyDescent="0.25">
      <c r="A694" s="14">
        <v>2016</v>
      </c>
      <c r="B694" s="14">
        <v>161</v>
      </c>
      <c r="C694" s="15">
        <v>42530</v>
      </c>
      <c r="D694" s="16">
        <v>0.52569444444444446</v>
      </c>
      <c r="E694" s="14">
        <v>30</v>
      </c>
      <c r="F694" s="14">
        <v>13</v>
      </c>
      <c r="G694" s="17">
        <v>0.20886393078234894</v>
      </c>
      <c r="H694" s="1" t="s">
        <v>144</v>
      </c>
      <c r="I694" s="14"/>
    </row>
    <row r="695" spans="1:9" x14ac:dyDescent="0.25">
      <c r="A695" s="14">
        <v>2016</v>
      </c>
      <c r="B695" s="14">
        <v>161</v>
      </c>
      <c r="C695" s="15">
        <v>42530</v>
      </c>
      <c r="D695" s="16">
        <v>0.53194444444444444</v>
      </c>
      <c r="E695" s="14">
        <v>30</v>
      </c>
      <c r="F695" s="14">
        <v>14</v>
      </c>
      <c r="G695" s="17">
        <v>0.17666891755185749</v>
      </c>
      <c r="H695" s="1" t="s">
        <v>144</v>
      </c>
      <c r="I695" s="14"/>
    </row>
    <row r="696" spans="1:9" x14ac:dyDescent="0.25">
      <c r="A696" s="14">
        <v>2016</v>
      </c>
      <c r="B696" s="14">
        <v>161</v>
      </c>
      <c r="C696" s="15">
        <v>42530</v>
      </c>
      <c r="D696" s="16">
        <v>0.53819444444444442</v>
      </c>
      <c r="E696" s="14">
        <v>30</v>
      </c>
      <c r="F696" s="14">
        <v>15</v>
      </c>
      <c r="G696" s="17">
        <v>0.336064000835962</v>
      </c>
      <c r="H696" s="1" t="s">
        <v>1</v>
      </c>
      <c r="I696" s="14"/>
    </row>
    <row r="697" spans="1:9" x14ac:dyDescent="0.25">
      <c r="A697" s="14">
        <v>2016</v>
      </c>
      <c r="B697" s="14">
        <v>161</v>
      </c>
      <c r="C697" s="15">
        <v>42530</v>
      </c>
      <c r="D697" s="16">
        <v>0.54305555555555551</v>
      </c>
      <c r="E697" s="14">
        <v>30</v>
      </c>
      <c r="F697" s="14">
        <v>16</v>
      </c>
      <c r="G697" s="17">
        <v>0.33125535732358413</v>
      </c>
      <c r="H697" s="1" t="s">
        <v>1</v>
      </c>
      <c r="I697" s="14"/>
    </row>
    <row r="698" spans="1:9" x14ac:dyDescent="0.25">
      <c r="A698" s="14">
        <v>2016</v>
      </c>
      <c r="B698" s="14">
        <v>161</v>
      </c>
      <c r="C698" s="15">
        <v>42530</v>
      </c>
      <c r="D698" s="16">
        <v>0.54236111111111118</v>
      </c>
      <c r="E698" s="14">
        <v>30</v>
      </c>
      <c r="F698" s="14">
        <v>17</v>
      </c>
      <c r="G698" s="17">
        <v>0.33677384821159873</v>
      </c>
      <c r="H698" s="1" t="s">
        <v>144</v>
      </c>
      <c r="I698" s="14"/>
    </row>
    <row r="699" spans="1:9" x14ac:dyDescent="0.25">
      <c r="A699" s="14">
        <v>2016</v>
      </c>
      <c r="B699" s="14">
        <v>161</v>
      </c>
      <c r="C699" s="15">
        <v>42530</v>
      </c>
      <c r="D699" s="16">
        <v>0.54861111111111105</v>
      </c>
      <c r="E699" s="14">
        <v>30</v>
      </c>
      <c r="F699" s="14">
        <v>18</v>
      </c>
      <c r="G699" s="17">
        <v>0.31025761398620111</v>
      </c>
      <c r="H699" s="1" t="s">
        <v>144</v>
      </c>
      <c r="I699" s="14"/>
    </row>
    <row r="700" spans="1:9" x14ac:dyDescent="0.25">
      <c r="A700" s="14">
        <v>2016</v>
      </c>
      <c r="B700" s="14">
        <v>161</v>
      </c>
      <c r="C700" s="15">
        <v>42530</v>
      </c>
      <c r="D700" s="16">
        <v>0.56041666666666667</v>
      </c>
      <c r="E700" s="14">
        <v>30</v>
      </c>
      <c r="F700" s="14">
        <v>19</v>
      </c>
      <c r="G700" s="17">
        <v>0.32170676520614822</v>
      </c>
      <c r="H700" s="1" t="s">
        <v>144</v>
      </c>
      <c r="I700" s="14"/>
    </row>
    <row r="701" spans="1:9" x14ac:dyDescent="0.25">
      <c r="A701" s="14">
        <v>2016</v>
      </c>
      <c r="B701" s="14">
        <v>161</v>
      </c>
      <c r="C701" s="15">
        <v>42530</v>
      </c>
      <c r="D701" s="16">
        <v>0.56041666666666667</v>
      </c>
      <c r="E701" s="14">
        <v>30</v>
      </c>
      <c r="F701" s="14">
        <v>20</v>
      </c>
      <c r="G701" s="17">
        <v>0.32170676520614822</v>
      </c>
      <c r="H701" s="1" t="s">
        <v>144</v>
      </c>
      <c r="I701" s="14"/>
    </row>
    <row r="702" spans="1:9" x14ac:dyDescent="0.25">
      <c r="A702" s="14">
        <v>2016</v>
      </c>
      <c r="B702" s="14">
        <v>161</v>
      </c>
      <c r="C702" s="15">
        <v>42530</v>
      </c>
      <c r="D702" s="16">
        <v>0.37777777777777777</v>
      </c>
      <c r="E702" s="14">
        <v>10</v>
      </c>
      <c r="F702" s="14">
        <v>1</v>
      </c>
      <c r="G702" s="17">
        <v>0.21421761846695719</v>
      </c>
      <c r="H702" s="1" t="s">
        <v>143</v>
      </c>
      <c r="I702" s="14"/>
    </row>
    <row r="703" spans="1:9" x14ac:dyDescent="0.25">
      <c r="A703" s="14">
        <v>2016</v>
      </c>
      <c r="B703" s="14">
        <v>161</v>
      </c>
      <c r="C703" s="15">
        <v>42530</v>
      </c>
      <c r="D703" s="16">
        <v>0.38541666666666669</v>
      </c>
      <c r="E703" s="14">
        <v>10</v>
      </c>
      <c r="F703" s="14">
        <v>2</v>
      </c>
      <c r="G703" s="17">
        <v>0.21462042817972066</v>
      </c>
      <c r="H703" s="1" t="s">
        <v>143</v>
      </c>
      <c r="I703" s="14"/>
    </row>
    <row r="704" spans="1:9" x14ac:dyDescent="0.25">
      <c r="A704" s="14">
        <v>2016</v>
      </c>
      <c r="B704" s="14">
        <v>161</v>
      </c>
      <c r="C704" s="15">
        <v>42530</v>
      </c>
      <c r="D704" s="16">
        <v>0.3923611111111111</v>
      </c>
      <c r="E704" s="14">
        <v>10</v>
      </c>
      <c r="F704" s="14">
        <v>3</v>
      </c>
      <c r="G704" s="17">
        <v>0.22756788323283217</v>
      </c>
      <c r="H704" s="1" t="s">
        <v>143</v>
      </c>
      <c r="I704" s="14"/>
    </row>
    <row r="705" spans="1:9" x14ac:dyDescent="0.25">
      <c r="A705" s="14">
        <v>2016</v>
      </c>
      <c r="B705" s="14">
        <v>161</v>
      </c>
      <c r="C705" s="15">
        <v>42530</v>
      </c>
      <c r="D705" s="16">
        <v>0.39861111111111108</v>
      </c>
      <c r="E705" s="14">
        <v>10</v>
      </c>
      <c r="F705" s="14">
        <v>4</v>
      </c>
      <c r="G705" s="17">
        <v>0.23474173240300056</v>
      </c>
      <c r="H705" s="1" t="s">
        <v>143</v>
      </c>
      <c r="I705" s="14"/>
    </row>
    <row r="706" spans="1:9" x14ac:dyDescent="0.25">
      <c r="A706" s="14">
        <v>2016</v>
      </c>
      <c r="B706" s="14">
        <v>161</v>
      </c>
      <c r="C706" s="15">
        <v>42530</v>
      </c>
      <c r="D706" s="16">
        <v>0.40486111111111112</v>
      </c>
      <c r="E706" s="14">
        <v>10</v>
      </c>
      <c r="F706" s="14">
        <v>5</v>
      </c>
      <c r="G706" s="17">
        <v>0.24847562546674545</v>
      </c>
      <c r="H706" s="1" t="s">
        <v>0</v>
      </c>
      <c r="I706" s="14"/>
    </row>
    <row r="707" spans="1:9" x14ac:dyDescent="0.25">
      <c r="A707" s="14">
        <v>2016</v>
      </c>
      <c r="B707" s="14">
        <v>161</v>
      </c>
      <c r="C707" s="15">
        <v>42530</v>
      </c>
      <c r="D707" s="16">
        <v>0.40972222222222227</v>
      </c>
      <c r="E707" s="14">
        <v>10</v>
      </c>
      <c r="F707" s="14">
        <v>6</v>
      </c>
      <c r="G707" s="17">
        <v>0.23514454211576402</v>
      </c>
      <c r="H707" s="1" t="s">
        <v>0</v>
      </c>
      <c r="I707" s="14"/>
    </row>
    <row r="708" spans="1:9" x14ac:dyDescent="0.25">
      <c r="A708" s="14">
        <v>2016</v>
      </c>
      <c r="B708" s="14">
        <v>161</v>
      </c>
      <c r="C708" s="15">
        <v>42530</v>
      </c>
      <c r="D708" s="16">
        <v>0.41041666666666665</v>
      </c>
      <c r="E708" s="14">
        <v>10</v>
      </c>
      <c r="F708" s="14">
        <v>7</v>
      </c>
      <c r="G708" s="17">
        <v>0.222983525073286</v>
      </c>
      <c r="H708" s="1" t="s">
        <v>143</v>
      </c>
      <c r="I708" s="14"/>
    </row>
    <row r="709" spans="1:9" x14ac:dyDescent="0.25">
      <c r="A709" s="14">
        <v>2016</v>
      </c>
      <c r="B709" s="14">
        <v>161</v>
      </c>
      <c r="C709" s="15">
        <v>42530</v>
      </c>
      <c r="D709" s="16">
        <v>0.41736111111111113</v>
      </c>
      <c r="E709" s="14">
        <v>10</v>
      </c>
      <c r="F709" s="14">
        <v>8</v>
      </c>
      <c r="G709" s="17">
        <v>0.22676226380730519</v>
      </c>
      <c r="H709" s="1" t="s">
        <v>143</v>
      </c>
      <c r="I709" s="14"/>
    </row>
    <row r="710" spans="1:9" x14ac:dyDescent="0.25">
      <c r="A710" s="14">
        <v>2016</v>
      </c>
      <c r="B710" s="14">
        <v>161</v>
      </c>
      <c r="C710" s="15">
        <v>42530</v>
      </c>
      <c r="D710" s="16">
        <v>0.4284722222222222</v>
      </c>
      <c r="E710" s="14">
        <v>10</v>
      </c>
      <c r="F710" s="14">
        <v>9</v>
      </c>
      <c r="G710" s="17">
        <v>0.1994671104138569</v>
      </c>
      <c r="H710" s="1" t="s">
        <v>143</v>
      </c>
      <c r="I710" s="14"/>
    </row>
    <row r="711" spans="1:9" x14ac:dyDescent="0.25">
      <c r="A711" s="14">
        <v>2016</v>
      </c>
      <c r="B711" s="14">
        <v>161</v>
      </c>
      <c r="C711" s="15">
        <v>42530</v>
      </c>
      <c r="D711" s="16">
        <v>0.43541666666666662</v>
      </c>
      <c r="E711" s="14">
        <v>10</v>
      </c>
      <c r="F711" s="14">
        <v>10</v>
      </c>
      <c r="G711" s="17">
        <v>0.24830299273270395</v>
      </c>
      <c r="H711" s="1" t="s">
        <v>143</v>
      </c>
      <c r="I711" s="14"/>
    </row>
    <row r="712" spans="1:9" x14ac:dyDescent="0.25">
      <c r="A712" s="14">
        <v>2016</v>
      </c>
      <c r="B712" s="14">
        <v>161</v>
      </c>
      <c r="C712" s="15">
        <v>42530</v>
      </c>
      <c r="D712" s="16">
        <v>0.51388888888888895</v>
      </c>
      <c r="E712" s="14">
        <v>10</v>
      </c>
      <c r="F712" s="14">
        <v>11</v>
      </c>
      <c r="G712" s="17">
        <v>0.21264474244569037</v>
      </c>
      <c r="H712" s="1" t="s">
        <v>144</v>
      </c>
      <c r="I712" s="14"/>
    </row>
    <row r="713" spans="1:9" x14ac:dyDescent="0.25">
      <c r="A713" s="14">
        <v>2016</v>
      </c>
      <c r="B713" s="14">
        <v>161</v>
      </c>
      <c r="C713" s="15">
        <v>42530</v>
      </c>
      <c r="D713" s="16">
        <v>0.51458333333333328</v>
      </c>
      <c r="E713" s="14">
        <v>10</v>
      </c>
      <c r="F713" s="14">
        <v>12</v>
      </c>
      <c r="G713" s="17">
        <v>0.19820113703088599</v>
      </c>
      <c r="H713" s="1" t="s">
        <v>144</v>
      </c>
      <c r="I713" s="14"/>
    </row>
    <row r="714" spans="1:9" x14ac:dyDescent="0.25">
      <c r="A714" s="14">
        <v>2016</v>
      </c>
      <c r="B714" s="14">
        <v>161</v>
      </c>
      <c r="C714" s="15">
        <v>42530</v>
      </c>
      <c r="D714" s="16">
        <v>0.52569444444444446</v>
      </c>
      <c r="E714" s="14">
        <v>10</v>
      </c>
      <c r="F714" s="14">
        <v>13</v>
      </c>
      <c r="G714" s="17">
        <v>0.20846319399890767</v>
      </c>
      <c r="H714" s="1" t="s">
        <v>144</v>
      </c>
      <c r="I714" s="14"/>
    </row>
    <row r="715" spans="1:9" x14ac:dyDescent="0.25">
      <c r="A715" s="14">
        <v>2016</v>
      </c>
      <c r="B715" s="14">
        <v>161</v>
      </c>
      <c r="C715" s="15">
        <v>42530</v>
      </c>
      <c r="D715" s="16">
        <v>0.53194444444444444</v>
      </c>
      <c r="E715" s="14">
        <v>10</v>
      </c>
      <c r="F715" s="14">
        <v>14</v>
      </c>
      <c r="G715" s="17">
        <v>0.18556058461607056</v>
      </c>
      <c r="H715" s="1" t="s">
        <v>144</v>
      </c>
      <c r="I715" s="14"/>
    </row>
    <row r="716" spans="1:9" x14ac:dyDescent="0.25">
      <c r="A716" s="14">
        <v>2016</v>
      </c>
      <c r="B716" s="14">
        <v>161</v>
      </c>
      <c r="C716" s="15">
        <v>42530</v>
      </c>
      <c r="D716" s="16">
        <v>0.53819444444444442</v>
      </c>
      <c r="E716" s="14">
        <v>10</v>
      </c>
      <c r="F716" s="14">
        <v>15</v>
      </c>
      <c r="G716" s="17">
        <v>0.22373160025413247</v>
      </c>
      <c r="H716" s="1" t="s">
        <v>1</v>
      </c>
      <c r="I716" s="14"/>
    </row>
    <row r="717" spans="1:9" x14ac:dyDescent="0.25">
      <c r="A717" s="14">
        <v>2016</v>
      </c>
      <c r="B717" s="14">
        <v>161</v>
      </c>
      <c r="C717" s="15">
        <v>42530</v>
      </c>
      <c r="D717" s="16">
        <v>0.54305555555555551</v>
      </c>
      <c r="E717" s="14">
        <v>10</v>
      </c>
      <c r="F717" s="14">
        <v>16</v>
      </c>
      <c r="G717" s="17">
        <v>0.20915372493507361</v>
      </c>
      <c r="H717" s="1" t="s">
        <v>1</v>
      </c>
      <c r="I717" s="14"/>
    </row>
    <row r="718" spans="1:9" x14ac:dyDescent="0.25">
      <c r="A718" s="14">
        <v>2016</v>
      </c>
      <c r="B718" s="14">
        <v>161</v>
      </c>
      <c r="C718" s="15">
        <v>42530</v>
      </c>
      <c r="D718" s="16">
        <v>0.54236111111111118</v>
      </c>
      <c r="E718" s="14">
        <v>10</v>
      </c>
      <c r="F718" s="14">
        <v>17</v>
      </c>
      <c r="G718" s="17">
        <v>0.2267430823924117</v>
      </c>
      <c r="H718" s="1" t="s">
        <v>144</v>
      </c>
      <c r="I718" s="14"/>
    </row>
    <row r="719" spans="1:9" x14ac:dyDescent="0.25">
      <c r="A719" s="14">
        <v>2016</v>
      </c>
      <c r="B719" s="14">
        <v>161</v>
      </c>
      <c r="C719" s="15">
        <v>42530</v>
      </c>
      <c r="D719" s="16">
        <v>0.54861111111111105</v>
      </c>
      <c r="E719" s="14">
        <v>10</v>
      </c>
      <c r="F719" s="14">
        <v>18</v>
      </c>
      <c r="G719" s="17">
        <v>0.19894921221173245</v>
      </c>
      <c r="H719" s="1" t="s">
        <v>144</v>
      </c>
      <c r="I719" s="14"/>
    </row>
    <row r="720" spans="1:9" x14ac:dyDescent="0.25">
      <c r="A720" s="14">
        <v>2016</v>
      </c>
      <c r="B720" s="14">
        <v>161</v>
      </c>
      <c r="C720" s="15">
        <v>42530</v>
      </c>
      <c r="D720" s="16">
        <v>0.56041666666666667</v>
      </c>
      <c r="E720" s="14">
        <v>10</v>
      </c>
      <c r="F720" s="14">
        <v>19</v>
      </c>
      <c r="G720" s="17">
        <v>0.23017655565834794</v>
      </c>
      <c r="H720" s="1" t="s">
        <v>144</v>
      </c>
      <c r="I720" s="14"/>
    </row>
    <row r="721" spans="1:9" x14ac:dyDescent="0.25">
      <c r="A721" s="14">
        <v>2016</v>
      </c>
      <c r="B721" s="14">
        <v>161</v>
      </c>
      <c r="C721" s="15">
        <v>42530</v>
      </c>
      <c r="D721" s="16">
        <v>0.56041666666666667</v>
      </c>
      <c r="E721" s="14">
        <v>10</v>
      </c>
      <c r="F721" s="14">
        <v>20</v>
      </c>
      <c r="G721" s="17">
        <v>0.23017655565834794</v>
      </c>
      <c r="H721" s="1" t="s">
        <v>144</v>
      </c>
      <c r="I721" s="14"/>
    </row>
    <row r="722" spans="1:9" x14ac:dyDescent="0.25">
      <c r="A722" s="14">
        <v>2016</v>
      </c>
      <c r="B722" s="14">
        <v>167</v>
      </c>
      <c r="C722" s="15">
        <v>42536</v>
      </c>
      <c r="D722" s="16">
        <v>0.34861111111111115</v>
      </c>
      <c r="E722" s="14">
        <v>230</v>
      </c>
      <c r="F722" s="14">
        <v>1</v>
      </c>
      <c r="G722" s="17">
        <v>0.29497601114615962</v>
      </c>
      <c r="H722" s="1" t="s">
        <v>143</v>
      </c>
      <c r="I722" s="14"/>
    </row>
    <row r="723" spans="1:9" x14ac:dyDescent="0.25">
      <c r="A723" s="14">
        <v>2016</v>
      </c>
      <c r="B723" s="14">
        <v>167</v>
      </c>
      <c r="C723" s="15">
        <v>42536</v>
      </c>
      <c r="D723" s="16">
        <v>0.34166666666666662</v>
      </c>
      <c r="E723" s="14">
        <v>230</v>
      </c>
      <c r="F723" s="14">
        <v>2</v>
      </c>
      <c r="G723" s="17">
        <v>0.2989662346823902</v>
      </c>
      <c r="H723" s="1" t="s">
        <v>143</v>
      </c>
      <c r="I723" s="14"/>
    </row>
    <row r="724" spans="1:9" x14ac:dyDescent="0.25">
      <c r="A724" s="14">
        <v>2016</v>
      </c>
      <c r="B724" s="14">
        <v>167</v>
      </c>
      <c r="C724" s="15">
        <v>42536</v>
      </c>
      <c r="D724" s="16">
        <v>0.3354166666666667</v>
      </c>
      <c r="E724" s="14">
        <v>230</v>
      </c>
      <c r="F724" s="14">
        <v>3</v>
      </c>
      <c r="G724" s="17">
        <v>0.27800296273838854</v>
      </c>
      <c r="H724" s="1" t="s">
        <v>143</v>
      </c>
      <c r="I724" s="14"/>
    </row>
    <row r="725" spans="1:9" x14ac:dyDescent="0.25">
      <c r="A725" s="14">
        <v>2016</v>
      </c>
      <c r="B725" s="14">
        <v>167</v>
      </c>
      <c r="C725" s="15">
        <v>42536</v>
      </c>
      <c r="D725" s="16">
        <v>0.32847222222222222</v>
      </c>
      <c r="E725" s="14">
        <v>230</v>
      </c>
      <c r="F725" s="14">
        <v>4</v>
      </c>
      <c r="G725" s="17">
        <v>0.27726331154630673</v>
      </c>
      <c r="H725" s="1" t="s">
        <v>143</v>
      </c>
      <c r="I725" s="14"/>
    </row>
    <row r="726" spans="1:9" x14ac:dyDescent="0.25">
      <c r="A726" s="14">
        <v>2016</v>
      </c>
      <c r="B726" s="14">
        <v>167</v>
      </c>
      <c r="C726" s="15">
        <v>42536</v>
      </c>
      <c r="D726" s="16">
        <v>0.35625000000000001</v>
      </c>
      <c r="E726" s="14">
        <v>230</v>
      </c>
      <c r="F726" s="14">
        <v>5</v>
      </c>
      <c r="G726" s="17" t="e">
        <v>#N/A</v>
      </c>
      <c r="H726" s="1" t="s">
        <v>0</v>
      </c>
      <c r="I726" s="14"/>
    </row>
    <row r="727" spans="1:9" x14ac:dyDescent="0.25">
      <c r="A727" s="14">
        <v>2016</v>
      </c>
      <c r="B727" s="14">
        <v>167</v>
      </c>
      <c r="C727" s="15">
        <v>42536</v>
      </c>
      <c r="D727" s="16">
        <v>0.3611111111111111</v>
      </c>
      <c r="E727" s="14">
        <v>230</v>
      </c>
      <c r="F727" s="14">
        <v>6</v>
      </c>
      <c r="G727" s="17" t="e">
        <v>#N/A</v>
      </c>
      <c r="H727" s="1" t="s">
        <v>0</v>
      </c>
      <c r="I727" s="14"/>
    </row>
    <row r="728" spans="1:9" x14ac:dyDescent="0.25">
      <c r="A728" s="14">
        <v>2016</v>
      </c>
      <c r="B728" s="14">
        <v>167</v>
      </c>
      <c r="C728" s="15">
        <v>42536</v>
      </c>
      <c r="D728" s="16">
        <v>0.3611111111111111</v>
      </c>
      <c r="E728" s="14">
        <v>230</v>
      </c>
      <c r="F728" s="14">
        <v>7</v>
      </c>
      <c r="G728" s="17">
        <v>0.28374499172954959</v>
      </c>
      <c r="H728" s="1" t="s">
        <v>143</v>
      </c>
      <c r="I728" s="14"/>
    </row>
    <row r="729" spans="1:9" x14ac:dyDescent="0.25">
      <c r="A729" s="14">
        <v>2016</v>
      </c>
      <c r="B729" s="14">
        <v>167</v>
      </c>
      <c r="C729" s="15">
        <v>42536</v>
      </c>
      <c r="D729" s="16">
        <v>0.38611111111111113</v>
      </c>
      <c r="E729" s="14">
        <v>230</v>
      </c>
      <c r="F729" s="14">
        <v>8</v>
      </c>
      <c r="G729" s="17">
        <v>0.30523380531003047</v>
      </c>
      <c r="H729" s="1" t="s">
        <v>143</v>
      </c>
      <c r="I729" s="14"/>
    </row>
    <row r="730" spans="1:9" x14ac:dyDescent="0.25">
      <c r="A730" s="14">
        <v>2016</v>
      </c>
      <c r="B730" s="14">
        <v>167</v>
      </c>
      <c r="C730" s="15">
        <v>42536</v>
      </c>
      <c r="D730" s="16">
        <v>0.37986111111111115</v>
      </c>
      <c r="E730" s="14">
        <v>230</v>
      </c>
      <c r="F730" s="14">
        <v>9</v>
      </c>
      <c r="G730" s="17">
        <v>0.30873741621989148</v>
      </c>
      <c r="H730" s="1" t="s">
        <v>143</v>
      </c>
      <c r="I730" s="14"/>
    </row>
    <row r="731" spans="1:9" x14ac:dyDescent="0.25">
      <c r="A731" s="14">
        <v>2016</v>
      </c>
      <c r="B731" s="14">
        <v>167</v>
      </c>
      <c r="C731" s="15">
        <v>42536</v>
      </c>
      <c r="D731" s="16">
        <v>0.37291666666666662</v>
      </c>
      <c r="E731" s="14">
        <v>230</v>
      </c>
      <c r="F731" s="14">
        <v>10</v>
      </c>
      <c r="G731" s="17">
        <v>0.27632901530367715</v>
      </c>
      <c r="H731" s="1" t="s">
        <v>143</v>
      </c>
      <c r="I731" s="14"/>
    </row>
    <row r="732" spans="1:9" x14ac:dyDescent="0.25">
      <c r="A732" s="14">
        <v>2016</v>
      </c>
      <c r="B732" s="14">
        <v>167</v>
      </c>
      <c r="C732" s="15">
        <v>42536</v>
      </c>
      <c r="D732" s="16">
        <v>0.48680555555555555</v>
      </c>
      <c r="E732" s="14">
        <v>230</v>
      </c>
      <c r="F732" s="14">
        <v>11</v>
      </c>
      <c r="G732" s="17">
        <v>0.29439207599451617</v>
      </c>
      <c r="H732" s="1" t="s">
        <v>144</v>
      </c>
      <c r="I732" s="14"/>
    </row>
    <row r="733" spans="1:9" x14ac:dyDescent="0.25">
      <c r="A733" s="14">
        <v>2016</v>
      </c>
      <c r="B733" s="14">
        <v>167</v>
      </c>
      <c r="C733" s="15">
        <v>42536</v>
      </c>
      <c r="D733" s="16">
        <v>0.49444444444444446</v>
      </c>
      <c r="E733" s="14">
        <v>230</v>
      </c>
      <c r="F733" s="14">
        <v>12</v>
      </c>
      <c r="G733" s="17">
        <v>0.2945672565400092</v>
      </c>
      <c r="H733" s="1" t="s">
        <v>144</v>
      </c>
      <c r="I733" s="14"/>
    </row>
    <row r="734" spans="1:9" x14ac:dyDescent="0.25">
      <c r="A734" s="14">
        <v>2016</v>
      </c>
      <c r="B734" s="14">
        <v>167</v>
      </c>
      <c r="C734" s="15">
        <v>42536</v>
      </c>
      <c r="D734" s="16">
        <v>0.50069444444444444</v>
      </c>
      <c r="E734" s="14">
        <v>230</v>
      </c>
      <c r="F734" s="14">
        <v>13</v>
      </c>
      <c r="G734" s="17">
        <v>0.28253819241615302</v>
      </c>
      <c r="H734" s="1" t="s">
        <v>144</v>
      </c>
      <c r="I734" s="14"/>
    </row>
    <row r="735" spans="1:9" x14ac:dyDescent="0.25">
      <c r="A735" s="14">
        <v>2016</v>
      </c>
      <c r="B735" s="14">
        <v>167</v>
      </c>
      <c r="C735" s="15">
        <v>42536</v>
      </c>
      <c r="D735" s="16">
        <v>0.50763888888888886</v>
      </c>
      <c r="E735" s="14">
        <v>230</v>
      </c>
      <c r="F735" s="14">
        <v>14</v>
      </c>
      <c r="G735" s="17">
        <v>0.27854796887992245</v>
      </c>
      <c r="H735" s="1" t="s">
        <v>144</v>
      </c>
      <c r="I735" s="14"/>
    </row>
    <row r="736" spans="1:9" x14ac:dyDescent="0.25">
      <c r="A736" s="14">
        <v>2016</v>
      </c>
      <c r="B736" s="14">
        <v>167</v>
      </c>
      <c r="C736" s="15">
        <v>42536</v>
      </c>
      <c r="D736" s="16">
        <v>0.43055555555555558</v>
      </c>
      <c r="E736" s="14">
        <v>230</v>
      </c>
      <c r="F736" s="14">
        <v>15</v>
      </c>
      <c r="G736" s="17" t="e">
        <v>#N/A</v>
      </c>
      <c r="H736" s="1" t="s">
        <v>1</v>
      </c>
      <c r="I736" s="14"/>
    </row>
    <row r="737" spans="1:9" x14ac:dyDescent="0.25">
      <c r="A737" s="14">
        <v>2016</v>
      </c>
      <c r="B737" s="14">
        <v>167</v>
      </c>
      <c r="C737" s="15">
        <v>42536</v>
      </c>
      <c r="D737" s="16">
        <v>0.51458333333333328</v>
      </c>
      <c r="E737" s="14">
        <v>230</v>
      </c>
      <c r="F737" s="14">
        <v>16</v>
      </c>
      <c r="G737" s="17" t="e">
        <v>#N/A</v>
      </c>
      <c r="H737" s="1" t="s">
        <v>1</v>
      </c>
      <c r="I737" s="14"/>
    </row>
    <row r="738" spans="1:9" x14ac:dyDescent="0.25">
      <c r="A738" s="14">
        <v>2016</v>
      </c>
      <c r="B738" s="14">
        <v>167</v>
      </c>
      <c r="C738" s="15">
        <v>42536</v>
      </c>
      <c r="D738" s="16">
        <v>0.52083333333333337</v>
      </c>
      <c r="E738" s="14">
        <v>230</v>
      </c>
      <c r="F738" s="14">
        <v>17</v>
      </c>
      <c r="G738" s="17">
        <v>0.29857694458129458</v>
      </c>
      <c r="H738" s="1" t="s">
        <v>144</v>
      </c>
      <c r="I738" s="14"/>
    </row>
    <row r="739" spans="1:9" x14ac:dyDescent="0.25">
      <c r="A739" s="14">
        <v>2016</v>
      </c>
      <c r="B739" s="14">
        <v>167</v>
      </c>
      <c r="C739" s="15">
        <v>42536</v>
      </c>
      <c r="D739" s="16">
        <v>0.52152777777777781</v>
      </c>
      <c r="E739" s="14">
        <v>230</v>
      </c>
      <c r="F739" s="14">
        <v>18</v>
      </c>
      <c r="G739" s="17">
        <v>0.29626066847977534</v>
      </c>
      <c r="H739" s="1" t="s">
        <v>144</v>
      </c>
      <c r="I739" s="14"/>
    </row>
    <row r="740" spans="1:9" x14ac:dyDescent="0.25">
      <c r="A740" s="14">
        <v>2016</v>
      </c>
      <c r="B740" s="14">
        <v>167</v>
      </c>
      <c r="C740" s="15">
        <v>42536</v>
      </c>
      <c r="D740" s="16">
        <v>0.52847222222222223</v>
      </c>
      <c r="E740" s="14">
        <v>230</v>
      </c>
      <c r="F740" s="14">
        <v>19</v>
      </c>
      <c r="G740" s="17">
        <v>0.28787146680116371</v>
      </c>
      <c r="H740" s="1" t="s">
        <v>144</v>
      </c>
      <c r="I740" s="14"/>
    </row>
    <row r="741" spans="1:9" x14ac:dyDescent="0.25">
      <c r="A741" s="14">
        <v>2016</v>
      </c>
      <c r="B741" s="14">
        <v>167</v>
      </c>
      <c r="C741" s="15">
        <v>42536</v>
      </c>
      <c r="D741" s="16">
        <v>0.53541666666666665</v>
      </c>
      <c r="E741" s="14">
        <v>230</v>
      </c>
      <c r="F741" s="14">
        <v>20</v>
      </c>
      <c r="G741" s="17">
        <v>0.30871795171483668</v>
      </c>
      <c r="H741" s="1" t="s">
        <v>144</v>
      </c>
      <c r="I741" s="14"/>
    </row>
    <row r="742" spans="1:9" x14ac:dyDescent="0.25">
      <c r="A742" s="14">
        <v>2016</v>
      </c>
      <c r="B742" s="14">
        <v>167</v>
      </c>
      <c r="C742" s="15">
        <v>42536</v>
      </c>
      <c r="D742" s="16">
        <v>0.34861111111111115</v>
      </c>
      <c r="E742" s="14">
        <v>210</v>
      </c>
      <c r="F742" s="14">
        <v>1</v>
      </c>
      <c r="G742" s="17">
        <v>0.3039880769865243</v>
      </c>
      <c r="H742" s="1" t="s">
        <v>143</v>
      </c>
      <c r="I742" s="14"/>
    </row>
    <row r="743" spans="1:9" x14ac:dyDescent="0.25">
      <c r="A743" s="14">
        <v>2016</v>
      </c>
      <c r="B743" s="14">
        <v>167</v>
      </c>
      <c r="C743" s="15">
        <v>42536</v>
      </c>
      <c r="D743" s="16">
        <v>0.34166666666666662</v>
      </c>
      <c r="E743" s="14">
        <v>210</v>
      </c>
      <c r="F743" s="14">
        <v>2</v>
      </c>
      <c r="G743" s="17">
        <v>0.29820711898525365</v>
      </c>
      <c r="H743" s="1" t="s">
        <v>143</v>
      </c>
      <c r="I743" s="14"/>
    </row>
    <row r="744" spans="1:9" x14ac:dyDescent="0.25">
      <c r="A744" s="14">
        <v>2016</v>
      </c>
      <c r="B744" s="14">
        <v>167</v>
      </c>
      <c r="C744" s="15">
        <v>42536</v>
      </c>
      <c r="D744" s="16">
        <v>0.3354166666666667</v>
      </c>
      <c r="E744" s="14">
        <v>210</v>
      </c>
      <c r="F744" s="14">
        <v>3</v>
      </c>
      <c r="G744" s="17">
        <v>0.27860636239508679</v>
      </c>
      <c r="H744" s="1" t="s">
        <v>143</v>
      </c>
      <c r="I744" s="14"/>
    </row>
    <row r="745" spans="1:9" x14ac:dyDescent="0.25">
      <c r="A745" s="14">
        <v>2016</v>
      </c>
      <c r="B745" s="14">
        <v>167</v>
      </c>
      <c r="C745" s="15">
        <v>42536</v>
      </c>
      <c r="D745" s="16">
        <v>0.32847222222222222</v>
      </c>
      <c r="E745" s="14">
        <v>210</v>
      </c>
      <c r="F745" s="14">
        <v>4</v>
      </c>
      <c r="G745" s="17">
        <v>0.28837754393258808</v>
      </c>
      <c r="H745" s="1" t="s">
        <v>143</v>
      </c>
      <c r="I745" s="14"/>
    </row>
    <row r="746" spans="1:9" x14ac:dyDescent="0.25">
      <c r="A746" s="14">
        <v>2016</v>
      </c>
      <c r="B746" s="14">
        <v>167</v>
      </c>
      <c r="C746" s="15">
        <v>42536</v>
      </c>
      <c r="D746" s="16">
        <v>0.35625000000000001</v>
      </c>
      <c r="E746" s="14">
        <v>210</v>
      </c>
      <c r="F746" s="14">
        <v>5</v>
      </c>
      <c r="G746" s="17" t="e">
        <v>#N/A</v>
      </c>
      <c r="H746" s="1" t="s">
        <v>0</v>
      </c>
      <c r="I746" s="14"/>
    </row>
    <row r="747" spans="1:9" x14ac:dyDescent="0.25">
      <c r="A747" s="14">
        <v>2016</v>
      </c>
      <c r="B747" s="14">
        <v>167</v>
      </c>
      <c r="C747" s="15">
        <v>42536</v>
      </c>
      <c r="D747" s="16">
        <v>0.3611111111111111</v>
      </c>
      <c r="E747" s="14">
        <v>210</v>
      </c>
      <c r="F747" s="14">
        <v>6</v>
      </c>
      <c r="G747" s="17" t="e">
        <v>#N/A</v>
      </c>
      <c r="H747" s="1" t="s">
        <v>0</v>
      </c>
      <c r="I747" s="14"/>
    </row>
    <row r="748" spans="1:9" x14ac:dyDescent="0.25">
      <c r="A748" s="14">
        <v>2016</v>
      </c>
      <c r="B748" s="14">
        <v>167</v>
      </c>
      <c r="C748" s="15">
        <v>42536</v>
      </c>
      <c r="D748" s="16">
        <v>0.3611111111111111</v>
      </c>
      <c r="E748" s="14">
        <v>210</v>
      </c>
      <c r="F748" s="14">
        <v>7</v>
      </c>
      <c r="G748" s="17">
        <v>0.28179854122407128</v>
      </c>
      <c r="H748" s="1" t="s">
        <v>143</v>
      </c>
      <c r="I748" s="14"/>
    </row>
    <row r="749" spans="1:9" x14ac:dyDescent="0.25">
      <c r="A749" s="14">
        <v>2016</v>
      </c>
      <c r="B749" s="14">
        <v>167</v>
      </c>
      <c r="C749" s="15">
        <v>42536</v>
      </c>
      <c r="D749" s="16">
        <v>0.38611111111111113</v>
      </c>
      <c r="E749" s="14">
        <v>210</v>
      </c>
      <c r="F749" s="14">
        <v>8</v>
      </c>
      <c r="G749" s="17">
        <v>0.30032875003622506</v>
      </c>
      <c r="H749" s="1" t="s">
        <v>143</v>
      </c>
      <c r="I749" s="14"/>
    </row>
    <row r="750" spans="1:9" x14ac:dyDescent="0.25">
      <c r="A750" s="14">
        <v>2016</v>
      </c>
      <c r="B750" s="14">
        <v>167</v>
      </c>
      <c r="C750" s="15">
        <v>42536</v>
      </c>
      <c r="D750" s="16">
        <v>0.37986111111111115</v>
      </c>
      <c r="E750" s="14">
        <v>210</v>
      </c>
      <c r="F750" s="14">
        <v>9</v>
      </c>
      <c r="G750" s="17">
        <v>0.30042607256149895</v>
      </c>
      <c r="H750" s="1" t="s">
        <v>143</v>
      </c>
      <c r="I750" s="14"/>
    </row>
    <row r="751" spans="1:9" x14ac:dyDescent="0.25">
      <c r="A751" s="14">
        <v>2016</v>
      </c>
      <c r="B751" s="14">
        <v>167</v>
      </c>
      <c r="C751" s="15">
        <v>42536</v>
      </c>
      <c r="D751" s="16">
        <v>0.37291666666666662</v>
      </c>
      <c r="E751" s="14">
        <v>210</v>
      </c>
      <c r="F751" s="14">
        <v>10</v>
      </c>
      <c r="G751" s="17">
        <v>0.27043127027207781</v>
      </c>
      <c r="H751" s="1" t="s">
        <v>143</v>
      </c>
      <c r="I751" s="14"/>
    </row>
    <row r="752" spans="1:9" x14ac:dyDescent="0.25">
      <c r="A752" s="14">
        <v>2016</v>
      </c>
      <c r="B752" s="14">
        <v>167</v>
      </c>
      <c r="C752" s="15">
        <v>42536</v>
      </c>
      <c r="D752" s="16">
        <v>0.48680555555555555</v>
      </c>
      <c r="E752" s="14">
        <v>210</v>
      </c>
      <c r="F752" s="14">
        <v>11</v>
      </c>
      <c r="G752" s="17">
        <v>0.3055257728858522</v>
      </c>
      <c r="H752" s="1" t="s">
        <v>144</v>
      </c>
      <c r="I752" s="14"/>
    </row>
    <row r="753" spans="1:9" x14ac:dyDescent="0.25">
      <c r="A753" s="14">
        <v>2016</v>
      </c>
      <c r="B753" s="14">
        <v>167</v>
      </c>
      <c r="C753" s="15">
        <v>42536</v>
      </c>
      <c r="D753" s="16">
        <v>0.49444444444444446</v>
      </c>
      <c r="E753" s="14">
        <v>210</v>
      </c>
      <c r="F753" s="14">
        <v>12</v>
      </c>
      <c r="G753" s="17">
        <v>0.30751115240144011</v>
      </c>
      <c r="H753" s="1" t="s">
        <v>144</v>
      </c>
      <c r="I753" s="14"/>
    </row>
    <row r="754" spans="1:9" x14ac:dyDescent="0.25">
      <c r="A754" s="14">
        <v>2016</v>
      </c>
      <c r="B754" s="14">
        <v>167</v>
      </c>
      <c r="C754" s="15">
        <v>42536</v>
      </c>
      <c r="D754" s="16">
        <v>0.50069444444444444</v>
      </c>
      <c r="E754" s="14">
        <v>210</v>
      </c>
      <c r="F754" s="14">
        <v>13</v>
      </c>
      <c r="G754" s="17">
        <v>0.29579352035846057</v>
      </c>
      <c r="H754" s="1" t="s">
        <v>144</v>
      </c>
      <c r="I754" s="14"/>
    </row>
    <row r="755" spans="1:9" x14ac:dyDescent="0.25">
      <c r="A755" s="14">
        <v>2016</v>
      </c>
      <c r="B755" s="14">
        <v>167</v>
      </c>
      <c r="C755" s="15">
        <v>42536</v>
      </c>
      <c r="D755" s="16">
        <v>0.50763888888888886</v>
      </c>
      <c r="E755" s="14">
        <v>210</v>
      </c>
      <c r="F755" s="14">
        <v>14</v>
      </c>
      <c r="G755" s="17">
        <v>0.27397381019204836</v>
      </c>
      <c r="H755" s="1" t="s">
        <v>144</v>
      </c>
      <c r="I755" s="14"/>
    </row>
    <row r="756" spans="1:9" x14ac:dyDescent="0.25">
      <c r="A756" s="14">
        <v>2016</v>
      </c>
      <c r="B756" s="14">
        <v>167</v>
      </c>
      <c r="C756" s="15">
        <v>42536</v>
      </c>
      <c r="D756" s="16">
        <v>0.43055555555555558</v>
      </c>
      <c r="E756" s="14">
        <v>210</v>
      </c>
      <c r="F756" s="14">
        <v>15</v>
      </c>
      <c r="G756" s="17" t="e">
        <v>#N/A</v>
      </c>
      <c r="H756" s="1" t="s">
        <v>1</v>
      </c>
      <c r="I756" s="14"/>
    </row>
    <row r="757" spans="1:9" x14ac:dyDescent="0.25">
      <c r="A757" s="14">
        <v>2016</v>
      </c>
      <c r="B757" s="14">
        <v>167</v>
      </c>
      <c r="C757" s="15">
        <v>42536</v>
      </c>
      <c r="D757" s="16">
        <v>0.51458333333333328</v>
      </c>
      <c r="E757" s="14">
        <v>210</v>
      </c>
      <c r="F757" s="14">
        <v>16</v>
      </c>
      <c r="G757" s="17" t="e">
        <v>#N/A</v>
      </c>
      <c r="H757" s="1" t="s">
        <v>1</v>
      </c>
      <c r="I757" s="14"/>
    </row>
    <row r="758" spans="1:9" x14ac:dyDescent="0.25">
      <c r="A758" s="14">
        <v>2016</v>
      </c>
      <c r="B758" s="14">
        <v>167</v>
      </c>
      <c r="C758" s="15">
        <v>42536</v>
      </c>
      <c r="D758" s="16">
        <v>0.52083333333333337</v>
      </c>
      <c r="E758" s="14">
        <v>210</v>
      </c>
      <c r="F758" s="14">
        <v>17</v>
      </c>
      <c r="G758" s="17">
        <v>0.30548684387574265</v>
      </c>
      <c r="H758" s="1" t="s">
        <v>144</v>
      </c>
      <c r="I758" s="14"/>
    </row>
    <row r="759" spans="1:9" x14ac:dyDescent="0.25">
      <c r="A759" s="14">
        <v>2016</v>
      </c>
      <c r="B759" s="14">
        <v>167</v>
      </c>
      <c r="C759" s="15">
        <v>42536</v>
      </c>
      <c r="D759" s="16">
        <v>0.52152777777777781</v>
      </c>
      <c r="E759" s="14">
        <v>210</v>
      </c>
      <c r="F759" s="14">
        <v>18</v>
      </c>
      <c r="G759" s="17">
        <v>0.30603185001727656</v>
      </c>
      <c r="H759" s="1" t="s">
        <v>144</v>
      </c>
      <c r="I759" s="14"/>
    </row>
    <row r="760" spans="1:9" x14ac:dyDescent="0.25">
      <c r="A760" s="14">
        <v>2016</v>
      </c>
      <c r="B760" s="14">
        <v>167</v>
      </c>
      <c r="C760" s="15">
        <v>42536</v>
      </c>
      <c r="D760" s="16">
        <v>0.52847222222222223</v>
      </c>
      <c r="E760" s="14">
        <v>210</v>
      </c>
      <c r="F760" s="14">
        <v>19</v>
      </c>
      <c r="G760" s="17">
        <v>0.29696139066174754</v>
      </c>
      <c r="H760" s="1" t="s">
        <v>144</v>
      </c>
      <c r="I760" s="14"/>
    </row>
    <row r="761" spans="1:9" x14ac:dyDescent="0.25">
      <c r="A761" s="14">
        <v>2016</v>
      </c>
      <c r="B761" s="14">
        <v>167</v>
      </c>
      <c r="C761" s="15">
        <v>42536</v>
      </c>
      <c r="D761" s="16">
        <v>0.53541666666666665</v>
      </c>
      <c r="E761" s="14">
        <v>210</v>
      </c>
      <c r="F761" s="14">
        <v>20</v>
      </c>
      <c r="G761" s="17">
        <v>0.30459147664322261</v>
      </c>
      <c r="H761" s="1" t="s">
        <v>144</v>
      </c>
      <c r="I761" s="14"/>
    </row>
    <row r="762" spans="1:9" x14ac:dyDescent="0.25">
      <c r="A762" s="14">
        <v>2016</v>
      </c>
      <c r="B762" s="14">
        <v>167</v>
      </c>
      <c r="C762" s="15">
        <v>42536</v>
      </c>
      <c r="D762" s="16">
        <v>0.34861111111111115</v>
      </c>
      <c r="E762" s="14">
        <v>190</v>
      </c>
      <c r="F762" s="14">
        <v>1</v>
      </c>
      <c r="G762" s="17">
        <v>0.2872680671444654</v>
      </c>
      <c r="H762" s="1" t="s">
        <v>143</v>
      </c>
      <c r="I762" s="14"/>
    </row>
    <row r="763" spans="1:9" x14ac:dyDescent="0.25">
      <c r="A763" s="14">
        <v>2016</v>
      </c>
      <c r="B763" s="14">
        <v>167</v>
      </c>
      <c r="C763" s="15">
        <v>42536</v>
      </c>
      <c r="D763" s="16">
        <v>0.34166666666666662</v>
      </c>
      <c r="E763" s="14">
        <v>190</v>
      </c>
      <c r="F763" s="14">
        <v>2</v>
      </c>
      <c r="G763" s="17">
        <v>0.30077643365248508</v>
      </c>
      <c r="H763" s="1" t="s">
        <v>143</v>
      </c>
      <c r="I763" s="14"/>
    </row>
    <row r="764" spans="1:9" x14ac:dyDescent="0.25">
      <c r="A764" s="14">
        <v>2016</v>
      </c>
      <c r="B764" s="14">
        <v>167</v>
      </c>
      <c r="C764" s="15">
        <v>42536</v>
      </c>
      <c r="D764" s="16">
        <v>0.3354166666666667</v>
      </c>
      <c r="E764" s="14">
        <v>190</v>
      </c>
      <c r="F764" s="14">
        <v>3</v>
      </c>
      <c r="G764" s="17">
        <v>0.29647477803537797</v>
      </c>
      <c r="H764" s="1" t="s">
        <v>143</v>
      </c>
      <c r="I764" s="14"/>
    </row>
    <row r="765" spans="1:9" x14ac:dyDescent="0.25">
      <c r="A765" s="14">
        <v>2016</v>
      </c>
      <c r="B765" s="14">
        <v>167</v>
      </c>
      <c r="C765" s="15">
        <v>42536</v>
      </c>
      <c r="D765" s="16">
        <v>0.32847222222222222</v>
      </c>
      <c r="E765" s="14">
        <v>190</v>
      </c>
      <c r="F765" s="14">
        <v>4</v>
      </c>
      <c r="G765" s="17">
        <v>0.29297116712551691</v>
      </c>
      <c r="H765" s="1" t="s">
        <v>143</v>
      </c>
      <c r="I765" s="14"/>
    </row>
    <row r="766" spans="1:9" x14ac:dyDescent="0.25">
      <c r="A766" s="14">
        <v>2016</v>
      </c>
      <c r="B766" s="14">
        <v>167</v>
      </c>
      <c r="C766" s="15">
        <v>42536</v>
      </c>
      <c r="D766" s="16">
        <v>0.35625000000000001</v>
      </c>
      <c r="E766" s="14">
        <v>190</v>
      </c>
      <c r="F766" s="14">
        <v>5</v>
      </c>
      <c r="G766" s="17">
        <v>0.3324646478816724</v>
      </c>
      <c r="H766" s="1" t="s">
        <v>0</v>
      </c>
      <c r="I766" s="14"/>
    </row>
    <row r="767" spans="1:9" x14ac:dyDescent="0.25">
      <c r="A767" s="14">
        <v>2016</v>
      </c>
      <c r="B767" s="14">
        <v>167</v>
      </c>
      <c r="C767" s="15">
        <v>42536</v>
      </c>
      <c r="D767" s="16">
        <v>0.3611111111111111</v>
      </c>
      <c r="E767" s="14">
        <v>190</v>
      </c>
      <c r="F767" s="14">
        <v>6</v>
      </c>
      <c r="G767" s="17">
        <v>0.34803625192549908</v>
      </c>
      <c r="H767" s="1" t="s">
        <v>0</v>
      </c>
      <c r="I767" s="14"/>
    </row>
    <row r="768" spans="1:9" x14ac:dyDescent="0.25">
      <c r="A768" s="14">
        <v>2016</v>
      </c>
      <c r="B768" s="14">
        <v>167</v>
      </c>
      <c r="C768" s="15">
        <v>42536</v>
      </c>
      <c r="D768" s="16">
        <v>0.3611111111111111</v>
      </c>
      <c r="E768" s="14">
        <v>190</v>
      </c>
      <c r="F768" s="14">
        <v>7</v>
      </c>
      <c r="G768" s="17">
        <v>0.28812450536687584</v>
      </c>
      <c r="H768" s="1" t="s">
        <v>143</v>
      </c>
      <c r="I768" s="14"/>
    </row>
    <row r="769" spans="1:9" x14ac:dyDescent="0.25">
      <c r="A769" s="14">
        <v>2016</v>
      </c>
      <c r="B769" s="14">
        <v>167</v>
      </c>
      <c r="C769" s="15">
        <v>42536</v>
      </c>
      <c r="D769" s="16">
        <v>0.38611111111111113</v>
      </c>
      <c r="E769" s="14">
        <v>190</v>
      </c>
      <c r="F769" s="14">
        <v>8</v>
      </c>
      <c r="G769" s="17">
        <v>0.29664995858087101</v>
      </c>
      <c r="H769" s="1" t="s">
        <v>143</v>
      </c>
      <c r="I769" s="14"/>
    </row>
    <row r="770" spans="1:9" x14ac:dyDescent="0.25">
      <c r="A770" s="14">
        <v>2016</v>
      </c>
      <c r="B770" s="14">
        <v>167</v>
      </c>
      <c r="C770" s="15">
        <v>42536</v>
      </c>
      <c r="D770" s="16">
        <v>0.37986111111111115</v>
      </c>
      <c r="E770" s="14">
        <v>190</v>
      </c>
      <c r="F770" s="14">
        <v>9</v>
      </c>
      <c r="G770" s="17">
        <v>0.29322420569122915</v>
      </c>
      <c r="H770" s="1" t="s">
        <v>143</v>
      </c>
      <c r="I770" s="14"/>
    </row>
    <row r="771" spans="1:9" x14ac:dyDescent="0.25">
      <c r="A771" s="14">
        <v>2016</v>
      </c>
      <c r="B771" s="14">
        <v>167</v>
      </c>
      <c r="C771" s="15">
        <v>42536</v>
      </c>
      <c r="D771" s="16">
        <v>0.37291666666666662</v>
      </c>
      <c r="E771" s="14">
        <v>190</v>
      </c>
      <c r="F771" s="14">
        <v>10</v>
      </c>
      <c r="G771" s="17">
        <v>0.30065964662215638</v>
      </c>
      <c r="H771" s="1" t="s">
        <v>143</v>
      </c>
      <c r="I771" s="14"/>
    </row>
    <row r="772" spans="1:9" x14ac:dyDescent="0.25">
      <c r="A772" s="14">
        <v>2016</v>
      </c>
      <c r="B772" s="14">
        <v>167</v>
      </c>
      <c r="C772" s="15">
        <v>42536</v>
      </c>
      <c r="D772" s="16">
        <v>0.48680555555555555</v>
      </c>
      <c r="E772" s="14">
        <v>190</v>
      </c>
      <c r="F772" s="14">
        <v>11</v>
      </c>
      <c r="G772" s="17">
        <v>0.30825080359352192</v>
      </c>
      <c r="H772" s="1" t="s">
        <v>144</v>
      </c>
      <c r="I772" s="14"/>
    </row>
    <row r="773" spans="1:9" x14ac:dyDescent="0.25">
      <c r="A773" s="14">
        <v>2016</v>
      </c>
      <c r="B773" s="14">
        <v>167</v>
      </c>
      <c r="C773" s="15">
        <v>42536</v>
      </c>
      <c r="D773" s="16">
        <v>0.49444444444444446</v>
      </c>
      <c r="E773" s="14">
        <v>190</v>
      </c>
      <c r="F773" s="14">
        <v>12</v>
      </c>
      <c r="G773" s="17">
        <v>0.31362300698864209</v>
      </c>
      <c r="H773" s="1" t="s">
        <v>144</v>
      </c>
      <c r="I773" s="14"/>
    </row>
    <row r="774" spans="1:9" x14ac:dyDescent="0.25">
      <c r="A774" s="14">
        <v>2016</v>
      </c>
      <c r="B774" s="14">
        <v>167</v>
      </c>
      <c r="C774" s="15">
        <v>42536</v>
      </c>
      <c r="D774" s="16">
        <v>0.50069444444444444</v>
      </c>
      <c r="E774" s="14">
        <v>190</v>
      </c>
      <c r="F774" s="14">
        <v>13</v>
      </c>
      <c r="G774" s="17">
        <v>0.28894201457917679</v>
      </c>
      <c r="H774" s="1" t="s">
        <v>144</v>
      </c>
      <c r="I774" s="14"/>
    </row>
    <row r="775" spans="1:9" x14ac:dyDescent="0.25">
      <c r="A775" s="14">
        <v>2016</v>
      </c>
      <c r="B775" s="14">
        <v>167</v>
      </c>
      <c r="C775" s="15">
        <v>42536</v>
      </c>
      <c r="D775" s="16">
        <v>0.50763888888888886</v>
      </c>
      <c r="E775" s="14">
        <v>190</v>
      </c>
      <c r="F775" s="14">
        <v>14</v>
      </c>
      <c r="G775" s="17">
        <v>0.30147715583445728</v>
      </c>
      <c r="H775" s="1" t="s">
        <v>144</v>
      </c>
      <c r="I775" s="14"/>
    </row>
    <row r="776" spans="1:9" x14ac:dyDescent="0.25">
      <c r="A776" s="14">
        <v>2016</v>
      </c>
      <c r="B776" s="14">
        <v>167</v>
      </c>
      <c r="C776" s="15">
        <v>42536</v>
      </c>
      <c r="D776" s="16">
        <v>0.43055555555555558</v>
      </c>
      <c r="E776" s="14">
        <v>190</v>
      </c>
      <c r="F776" s="14">
        <v>15</v>
      </c>
      <c r="G776" s="17">
        <v>0.33713612909482038</v>
      </c>
      <c r="H776" s="1" t="s">
        <v>1</v>
      </c>
      <c r="I776" s="14"/>
    </row>
    <row r="777" spans="1:9" x14ac:dyDescent="0.25">
      <c r="A777" s="14">
        <v>2016</v>
      </c>
      <c r="B777" s="14">
        <v>167</v>
      </c>
      <c r="C777" s="15">
        <v>42536</v>
      </c>
      <c r="D777" s="16">
        <v>0.51458333333333328</v>
      </c>
      <c r="E777" s="14">
        <v>190</v>
      </c>
      <c r="F777" s="14">
        <v>16</v>
      </c>
      <c r="G777" s="17">
        <v>0.32611921923381304</v>
      </c>
      <c r="H777" s="1" t="s">
        <v>1</v>
      </c>
      <c r="I777" s="14"/>
    </row>
    <row r="778" spans="1:9" x14ac:dyDescent="0.25">
      <c r="A778" s="14">
        <v>2016</v>
      </c>
      <c r="B778" s="14">
        <v>167</v>
      </c>
      <c r="C778" s="15">
        <v>42536</v>
      </c>
      <c r="D778" s="16">
        <v>0.52083333333333337</v>
      </c>
      <c r="E778" s="14">
        <v>190</v>
      </c>
      <c r="F778" s="14">
        <v>17</v>
      </c>
      <c r="G778" s="17">
        <v>0.32253775030373288</v>
      </c>
      <c r="H778" s="1" t="s">
        <v>144</v>
      </c>
      <c r="I778" s="14"/>
    </row>
    <row r="779" spans="1:9" x14ac:dyDescent="0.25">
      <c r="A779" s="14">
        <v>2016</v>
      </c>
      <c r="B779" s="14">
        <v>167</v>
      </c>
      <c r="C779" s="15">
        <v>42536</v>
      </c>
      <c r="D779" s="16">
        <v>0.52152777777777781</v>
      </c>
      <c r="E779" s="14">
        <v>190</v>
      </c>
      <c r="F779" s="14">
        <v>18</v>
      </c>
      <c r="G779" s="17">
        <v>0.3114040534123968</v>
      </c>
      <c r="H779" s="1" t="s">
        <v>144</v>
      </c>
      <c r="I779" s="14"/>
    </row>
    <row r="780" spans="1:9" x14ac:dyDescent="0.25">
      <c r="A780" s="14">
        <v>2016</v>
      </c>
      <c r="B780" s="14">
        <v>167</v>
      </c>
      <c r="C780" s="15">
        <v>42536</v>
      </c>
      <c r="D780" s="16">
        <v>0.52847222222222223</v>
      </c>
      <c r="E780" s="14">
        <v>190</v>
      </c>
      <c r="F780" s="14">
        <v>19</v>
      </c>
      <c r="G780" s="17">
        <v>0.30620703056276966</v>
      </c>
      <c r="H780" s="1" t="s">
        <v>144</v>
      </c>
      <c r="I780" s="14"/>
    </row>
    <row r="781" spans="1:9" x14ac:dyDescent="0.25">
      <c r="A781" s="14">
        <v>2016</v>
      </c>
      <c r="B781" s="14">
        <v>167</v>
      </c>
      <c r="C781" s="15">
        <v>42536</v>
      </c>
      <c r="D781" s="16">
        <v>0.53541666666666665</v>
      </c>
      <c r="E781" s="14">
        <v>190</v>
      </c>
      <c r="F781" s="14">
        <v>20</v>
      </c>
      <c r="G781" s="17">
        <v>0.30825080359352192</v>
      </c>
      <c r="H781" s="1" t="s">
        <v>144</v>
      </c>
      <c r="I781" s="14"/>
    </row>
    <row r="782" spans="1:9" x14ac:dyDescent="0.25">
      <c r="A782" s="14">
        <v>2016</v>
      </c>
      <c r="B782" s="14">
        <v>167</v>
      </c>
      <c r="C782" s="15">
        <v>42536</v>
      </c>
      <c r="D782" s="16">
        <v>0.34861111111111115</v>
      </c>
      <c r="E782" s="14">
        <v>170</v>
      </c>
      <c r="F782" s="14">
        <v>1</v>
      </c>
      <c r="G782" s="17">
        <v>0.2843483913862479</v>
      </c>
      <c r="H782" s="1" t="s">
        <v>143</v>
      </c>
      <c r="I782" s="14"/>
    </row>
    <row r="783" spans="1:9" x14ac:dyDescent="0.25">
      <c r="A783" s="14">
        <v>2016</v>
      </c>
      <c r="B783" s="14">
        <v>167</v>
      </c>
      <c r="C783" s="15">
        <v>42536</v>
      </c>
      <c r="D783" s="16">
        <v>0.34166666666666662</v>
      </c>
      <c r="E783" s="14">
        <v>170</v>
      </c>
      <c r="F783" s="14">
        <v>2</v>
      </c>
      <c r="G783" s="17">
        <v>0.27605651223291022</v>
      </c>
      <c r="H783" s="1" t="s">
        <v>143</v>
      </c>
      <c r="I783" s="14"/>
    </row>
    <row r="784" spans="1:9" x14ac:dyDescent="0.25">
      <c r="A784" s="14">
        <v>2016</v>
      </c>
      <c r="B784" s="14">
        <v>167</v>
      </c>
      <c r="C784" s="15">
        <v>42536</v>
      </c>
      <c r="D784" s="16">
        <v>0.3354166666666667</v>
      </c>
      <c r="E784" s="14">
        <v>170</v>
      </c>
      <c r="F784" s="14">
        <v>3</v>
      </c>
      <c r="G784" s="17">
        <v>0.29530690773209095</v>
      </c>
      <c r="H784" s="1" t="s">
        <v>143</v>
      </c>
      <c r="I784" s="14"/>
    </row>
    <row r="785" spans="1:9" x14ac:dyDescent="0.25">
      <c r="A785" s="14">
        <v>2016</v>
      </c>
      <c r="B785" s="14">
        <v>167</v>
      </c>
      <c r="C785" s="15">
        <v>42536</v>
      </c>
      <c r="D785" s="16">
        <v>0.32847222222222222</v>
      </c>
      <c r="E785" s="14">
        <v>170</v>
      </c>
      <c r="F785" s="14">
        <v>4</v>
      </c>
      <c r="G785" s="17">
        <v>0.29793461591448667</v>
      </c>
      <c r="H785" s="1" t="s">
        <v>143</v>
      </c>
      <c r="I785" s="14"/>
    </row>
    <row r="786" spans="1:9" x14ac:dyDescent="0.25">
      <c r="A786" s="14">
        <v>2016</v>
      </c>
      <c r="B786" s="14">
        <v>167</v>
      </c>
      <c r="C786" s="15">
        <v>42536</v>
      </c>
      <c r="D786" s="16">
        <v>0.35625000000000001</v>
      </c>
      <c r="E786" s="14">
        <v>170</v>
      </c>
      <c r="F786" s="14">
        <v>5</v>
      </c>
      <c r="G786" s="17">
        <v>0.32668368988040175</v>
      </c>
      <c r="H786" s="1" t="s">
        <v>0</v>
      </c>
      <c r="I786" s="14"/>
    </row>
    <row r="787" spans="1:9" x14ac:dyDescent="0.25">
      <c r="A787" s="14">
        <v>2016</v>
      </c>
      <c r="B787" s="14">
        <v>167</v>
      </c>
      <c r="C787" s="15">
        <v>42536</v>
      </c>
      <c r="D787" s="16">
        <v>0.3611111111111111</v>
      </c>
      <c r="E787" s="14">
        <v>170</v>
      </c>
      <c r="F787" s="14">
        <v>6</v>
      </c>
      <c r="G787" s="17">
        <v>0.3324451833766176</v>
      </c>
      <c r="H787" s="1" t="s">
        <v>0</v>
      </c>
      <c r="I787" s="14"/>
    </row>
    <row r="788" spans="1:9" x14ac:dyDescent="0.25">
      <c r="A788" s="14">
        <v>2016</v>
      </c>
      <c r="B788" s="14">
        <v>167</v>
      </c>
      <c r="C788" s="15">
        <v>42536</v>
      </c>
      <c r="D788" s="16">
        <v>0.3611111111111111</v>
      </c>
      <c r="E788" s="14">
        <v>170</v>
      </c>
      <c r="F788" s="14">
        <v>7</v>
      </c>
      <c r="G788" s="17">
        <v>0.30344307084499039</v>
      </c>
      <c r="H788" s="1" t="s">
        <v>143</v>
      </c>
      <c r="I788" s="14"/>
    </row>
    <row r="789" spans="1:9" x14ac:dyDescent="0.25">
      <c r="A789" s="14">
        <v>2016</v>
      </c>
      <c r="B789" s="14">
        <v>167</v>
      </c>
      <c r="C789" s="15">
        <v>42536</v>
      </c>
      <c r="D789" s="16">
        <v>0.38611111111111113</v>
      </c>
      <c r="E789" s="14">
        <v>170</v>
      </c>
      <c r="F789" s="14">
        <v>8</v>
      </c>
      <c r="G789" s="17">
        <v>0.30642114011837224</v>
      </c>
      <c r="H789" s="1" t="s">
        <v>143</v>
      </c>
      <c r="I789" s="14"/>
    </row>
    <row r="790" spans="1:9" x14ac:dyDescent="0.25">
      <c r="A790" s="14">
        <v>2016</v>
      </c>
      <c r="B790" s="14">
        <v>167</v>
      </c>
      <c r="C790" s="15">
        <v>42536</v>
      </c>
      <c r="D790" s="16">
        <v>0.37986111111111115</v>
      </c>
      <c r="E790" s="14">
        <v>170</v>
      </c>
      <c r="F790" s="14">
        <v>9</v>
      </c>
      <c r="G790" s="17">
        <v>0.30359878688542868</v>
      </c>
      <c r="H790" s="1" t="s">
        <v>143</v>
      </c>
      <c r="I790" s="14"/>
    </row>
    <row r="791" spans="1:9" x14ac:dyDescent="0.25">
      <c r="A791" s="14">
        <v>2016</v>
      </c>
      <c r="B791" s="14">
        <v>167</v>
      </c>
      <c r="C791" s="15">
        <v>42536</v>
      </c>
      <c r="D791" s="16">
        <v>0.37291666666666662</v>
      </c>
      <c r="E791" s="14">
        <v>170</v>
      </c>
      <c r="F791" s="14">
        <v>10</v>
      </c>
      <c r="G791" s="17">
        <v>0.31683465032268138</v>
      </c>
      <c r="H791" s="1" t="s">
        <v>143</v>
      </c>
      <c r="I791" s="14"/>
    </row>
    <row r="792" spans="1:9" x14ac:dyDescent="0.25">
      <c r="A792" s="14">
        <v>2016</v>
      </c>
      <c r="B792" s="14">
        <v>167</v>
      </c>
      <c r="C792" s="15">
        <v>42536</v>
      </c>
      <c r="D792" s="16">
        <v>0.48680555555555555</v>
      </c>
      <c r="E792" s="14">
        <v>170</v>
      </c>
      <c r="F792" s="14">
        <v>11</v>
      </c>
      <c r="G792" s="17">
        <v>0.32209006668747286</v>
      </c>
      <c r="H792" s="1" t="s">
        <v>144</v>
      </c>
      <c r="I792" s="14"/>
    </row>
    <row r="793" spans="1:9" x14ac:dyDescent="0.25">
      <c r="A793" s="14">
        <v>2016</v>
      </c>
      <c r="B793" s="14">
        <v>167</v>
      </c>
      <c r="C793" s="15">
        <v>42536</v>
      </c>
      <c r="D793" s="16">
        <v>0.49444444444444446</v>
      </c>
      <c r="E793" s="14">
        <v>170</v>
      </c>
      <c r="F793" s="14">
        <v>12</v>
      </c>
      <c r="G793" s="17">
        <v>0.33793417380206658</v>
      </c>
      <c r="H793" s="1" t="s">
        <v>144</v>
      </c>
      <c r="I793" s="14"/>
    </row>
    <row r="794" spans="1:9" x14ac:dyDescent="0.25">
      <c r="A794" s="14">
        <v>2016</v>
      </c>
      <c r="B794" s="14">
        <v>167</v>
      </c>
      <c r="C794" s="15">
        <v>42536</v>
      </c>
      <c r="D794" s="16">
        <v>0.50069444444444444</v>
      </c>
      <c r="E794" s="14">
        <v>170</v>
      </c>
      <c r="F794" s="14">
        <v>13</v>
      </c>
      <c r="G794" s="17">
        <v>0.30381289644103127</v>
      </c>
      <c r="H794" s="1" t="s">
        <v>144</v>
      </c>
      <c r="I794" s="14"/>
    </row>
    <row r="795" spans="1:9" x14ac:dyDescent="0.25">
      <c r="A795" s="14">
        <v>2016</v>
      </c>
      <c r="B795" s="14">
        <v>167</v>
      </c>
      <c r="C795" s="15">
        <v>42536</v>
      </c>
      <c r="D795" s="16">
        <v>0.50763888888888886</v>
      </c>
      <c r="E795" s="14">
        <v>170</v>
      </c>
      <c r="F795" s="14">
        <v>14</v>
      </c>
      <c r="G795" s="17">
        <v>0.32084433836396675</v>
      </c>
      <c r="H795" s="1" t="s">
        <v>144</v>
      </c>
      <c r="I795" s="14"/>
    </row>
    <row r="796" spans="1:9" x14ac:dyDescent="0.25">
      <c r="A796" s="14">
        <v>2016</v>
      </c>
      <c r="B796" s="14">
        <v>167</v>
      </c>
      <c r="C796" s="15">
        <v>42536</v>
      </c>
      <c r="D796" s="16">
        <v>0.43055555555555558</v>
      </c>
      <c r="E796" s="14">
        <v>170</v>
      </c>
      <c r="F796" s="14">
        <v>15</v>
      </c>
      <c r="G796" s="17">
        <v>0.33030408782059145</v>
      </c>
      <c r="H796" s="1" t="s">
        <v>1</v>
      </c>
      <c r="I796" s="14"/>
    </row>
    <row r="797" spans="1:9" x14ac:dyDescent="0.25">
      <c r="A797" s="14">
        <v>2016</v>
      </c>
      <c r="B797" s="14">
        <v>167</v>
      </c>
      <c r="C797" s="15">
        <v>42536</v>
      </c>
      <c r="D797" s="16">
        <v>0.51458333333333328</v>
      </c>
      <c r="E797" s="14">
        <v>170</v>
      </c>
      <c r="F797" s="14">
        <v>16</v>
      </c>
      <c r="G797" s="17">
        <v>0.32218738921274676</v>
      </c>
      <c r="H797" s="1" t="s">
        <v>1</v>
      </c>
      <c r="I797" s="14"/>
    </row>
    <row r="798" spans="1:9" x14ac:dyDescent="0.25">
      <c r="A798" s="14">
        <v>2016</v>
      </c>
      <c r="B798" s="14">
        <v>167</v>
      </c>
      <c r="C798" s="15">
        <v>42536</v>
      </c>
      <c r="D798" s="16">
        <v>0.52083333333333337</v>
      </c>
      <c r="E798" s="14">
        <v>170</v>
      </c>
      <c r="F798" s="14">
        <v>17</v>
      </c>
      <c r="G798" s="17">
        <v>0.32569100012260782</v>
      </c>
      <c r="H798" s="1" t="s">
        <v>144</v>
      </c>
      <c r="I798" s="14"/>
    </row>
    <row r="799" spans="1:9" x14ac:dyDescent="0.25">
      <c r="A799" s="14">
        <v>2016</v>
      </c>
      <c r="B799" s="14">
        <v>167</v>
      </c>
      <c r="C799" s="15">
        <v>42536</v>
      </c>
      <c r="D799" s="16">
        <v>0.52152777777777781</v>
      </c>
      <c r="E799" s="14">
        <v>170</v>
      </c>
      <c r="F799" s="14">
        <v>18</v>
      </c>
      <c r="G799" s="17">
        <v>0.33717505810492998</v>
      </c>
      <c r="H799" s="1" t="s">
        <v>144</v>
      </c>
      <c r="I799" s="14"/>
    </row>
    <row r="800" spans="1:9" x14ac:dyDescent="0.25">
      <c r="A800" s="14">
        <v>2016</v>
      </c>
      <c r="B800" s="14">
        <v>167</v>
      </c>
      <c r="C800" s="15">
        <v>42536</v>
      </c>
      <c r="D800" s="16">
        <v>0.52847222222222223</v>
      </c>
      <c r="E800" s="14">
        <v>170</v>
      </c>
      <c r="F800" s="14">
        <v>19</v>
      </c>
      <c r="G800" s="17">
        <v>0.31325318139260122</v>
      </c>
      <c r="H800" s="1" t="s">
        <v>144</v>
      </c>
      <c r="I800" s="14"/>
    </row>
    <row r="801" spans="1:9" x14ac:dyDescent="0.25">
      <c r="A801" s="14">
        <v>2016</v>
      </c>
      <c r="B801" s="14">
        <v>167</v>
      </c>
      <c r="C801" s="15">
        <v>42536</v>
      </c>
      <c r="D801" s="16">
        <v>0.53541666666666665</v>
      </c>
      <c r="E801" s="14">
        <v>170</v>
      </c>
      <c r="F801" s="14">
        <v>20</v>
      </c>
      <c r="G801" s="17">
        <v>0.32413383971822513</v>
      </c>
      <c r="H801" s="1" t="s">
        <v>144</v>
      </c>
      <c r="I801" s="14"/>
    </row>
    <row r="802" spans="1:9" x14ac:dyDescent="0.25">
      <c r="A802" s="14">
        <v>2016</v>
      </c>
      <c r="B802" s="14">
        <v>167</v>
      </c>
      <c r="C802" s="15">
        <v>42536</v>
      </c>
      <c r="D802" s="16">
        <v>0.34861111111111115</v>
      </c>
      <c r="E802" s="14">
        <v>150</v>
      </c>
      <c r="F802" s="14">
        <v>1</v>
      </c>
      <c r="G802" s="17">
        <v>0.33947186970139442</v>
      </c>
      <c r="H802" s="1" t="s">
        <v>143</v>
      </c>
      <c r="I802" s="14"/>
    </row>
    <row r="803" spans="1:9" x14ac:dyDescent="0.25">
      <c r="A803" s="14">
        <v>2016</v>
      </c>
      <c r="B803" s="14">
        <v>167</v>
      </c>
      <c r="C803" s="15">
        <v>42536</v>
      </c>
      <c r="D803" s="16">
        <v>0.34166666666666662</v>
      </c>
      <c r="E803" s="14">
        <v>150</v>
      </c>
      <c r="F803" s="14">
        <v>2</v>
      </c>
      <c r="G803" s="17">
        <v>0.33515074957923252</v>
      </c>
      <c r="H803" s="1" t="s">
        <v>143</v>
      </c>
      <c r="I803" s="14"/>
    </row>
    <row r="804" spans="1:9" x14ac:dyDescent="0.25">
      <c r="A804" s="14">
        <v>2016</v>
      </c>
      <c r="B804" s="14">
        <v>167</v>
      </c>
      <c r="C804" s="15">
        <v>42536</v>
      </c>
      <c r="D804" s="16">
        <v>0.3354166666666667</v>
      </c>
      <c r="E804" s="14">
        <v>150</v>
      </c>
      <c r="F804" s="14">
        <v>3</v>
      </c>
      <c r="G804" s="17">
        <v>0.32530171002151209</v>
      </c>
      <c r="H804" s="1" t="s">
        <v>143</v>
      </c>
      <c r="I804" s="14"/>
    </row>
    <row r="805" spans="1:9" x14ac:dyDescent="0.25">
      <c r="A805" s="14">
        <v>2016</v>
      </c>
      <c r="B805" s="14">
        <v>167</v>
      </c>
      <c r="C805" s="15">
        <v>42536</v>
      </c>
      <c r="D805" s="16">
        <v>0.32847222222222222</v>
      </c>
      <c r="E805" s="14">
        <v>150</v>
      </c>
      <c r="F805" s="14">
        <v>4</v>
      </c>
      <c r="G805" s="17">
        <v>0.30239198757203212</v>
      </c>
      <c r="H805" s="1" t="s">
        <v>143</v>
      </c>
      <c r="I805" s="14"/>
    </row>
    <row r="806" spans="1:9" x14ac:dyDescent="0.25">
      <c r="A806" s="14">
        <v>2016</v>
      </c>
      <c r="B806" s="14">
        <v>167</v>
      </c>
      <c r="C806" s="15">
        <v>42536</v>
      </c>
      <c r="D806" s="16">
        <v>0.35625000000000001</v>
      </c>
      <c r="E806" s="14">
        <v>150</v>
      </c>
      <c r="F806" s="14">
        <v>5</v>
      </c>
      <c r="G806" s="17">
        <v>0.35646438261422031</v>
      </c>
      <c r="H806" s="1" t="s">
        <v>0</v>
      </c>
      <c r="I806" s="14"/>
    </row>
    <row r="807" spans="1:9" x14ac:dyDescent="0.25">
      <c r="A807" s="14">
        <v>2016</v>
      </c>
      <c r="B807" s="14">
        <v>167</v>
      </c>
      <c r="C807" s="15">
        <v>42536</v>
      </c>
      <c r="D807" s="16">
        <v>0.3611111111111111</v>
      </c>
      <c r="E807" s="14">
        <v>150</v>
      </c>
      <c r="F807" s="14">
        <v>6</v>
      </c>
      <c r="G807" s="17">
        <v>0.34437692497519989</v>
      </c>
      <c r="H807" s="1" t="s">
        <v>0</v>
      </c>
      <c r="I807" s="14"/>
    </row>
    <row r="808" spans="1:9" x14ac:dyDescent="0.25">
      <c r="A808" s="14">
        <v>2016</v>
      </c>
      <c r="B808" s="14">
        <v>167</v>
      </c>
      <c r="C808" s="15">
        <v>42536</v>
      </c>
      <c r="D808" s="16">
        <v>0.3611111111111111</v>
      </c>
      <c r="E808" s="14">
        <v>150</v>
      </c>
      <c r="F808" s="14">
        <v>7</v>
      </c>
      <c r="G808" s="17">
        <v>0.33456681442758901</v>
      </c>
      <c r="H808" s="1" t="s">
        <v>143</v>
      </c>
      <c r="I808" s="14"/>
    </row>
    <row r="809" spans="1:9" x14ac:dyDescent="0.25">
      <c r="A809" s="14">
        <v>2016</v>
      </c>
      <c r="B809" s="14">
        <v>167</v>
      </c>
      <c r="C809" s="15">
        <v>42536</v>
      </c>
      <c r="D809" s="16">
        <v>0.38611111111111113</v>
      </c>
      <c r="E809" s="14">
        <v>150</v>
      </c>
      <c r="F809" s="14">
        <v>8</v>
      </c>
      <c r="G809" s="17">
        <v>0.34336477071235111</v>
      </c>
      <c r="H809" s="1" t="s">
        <v>143</v>
      </c>
      <c r="I809" s="14"/>
    </row>
    <row r="810" spans="1:9" x14ac:dyDescent="0.25">
      <c r="A810" s="14">
        <v>2016</v>
      </c>
      <c r="B810" s="14">
        <v>167</v>
      </c>
      <c r="C810" s="15">
        <v>42536</v>
      </c>
      <c r="D810" s="16">
        <v>0.37986111111111115</v>
      </c>
      <c r="E810" s="14">
        <v>150</v>
      </c>
      <c r="F810" s="14">
        <v>9</v>
      </c>
      <c r="G810" s="17">
        <v>0.32987586870938623</v>
      </c>
      <c r="H810" s="1" t="s">
        <v>143</v>
      </c>
      <c r="I810" s="14"/>
    </row>
    <row r="811" spans="1:9" x14ac:dyDescent="0.25">
      <c r="A811" s="14">
        <v>2016</v>
      </c>
      <c r="B811" s="14">
        <v>167</v>
      </c>
      <c r="C811" s="15">
        <v>42536</v>
      </c>
      <c r="D811" s="16">
        <v>0.37291666666666662</v>
      </c>
      <c r="E811" s="14">
        <v>150</v>
      </c>
      <c r="F811" s="14">
        <v>10</v>
      </c>
      <c r="G811" s="17">
        <v>0.34877590311758089</v>
      </c>
      <c r="H811" s="1" t="s">
        <v>143</v>
      </c>
      <c r="I811" s="14"/>
    </row>
    <row r="812" spans="1:9" x14ac:dyDescent="0.25">
      <c r="A812" s="14">
        <v>2016</v>
      </c>
      <c r="B812" s="14">
        <v>167</v>
      </c>
      <c r="C812" s="15">
        <v>42536</v>
      </c>
      <c r="D812" s="16">
        <v>0.48680555555555555</v>
      </c>
      <c r="E812" s="14">
        <v>150</v>
      </c>
      <c r="F812" s="14">
        <v>11</v>
      </c>
      <c r="G812" s="17">
        <v>0.34371513180333718</v>
      </c>
      <c r="H812" s="1" t="s">
        <v>144</v>
      </c>
      <c r="I812" s="14"/>
    </row>
    <row r="813" spans="1:9" x14ac:dyDescent="0.25">
      <c r="A813" s="14">
        <v>2016</v>
      </c>
      <c r="B813" s="14">
        <v>167</v>
      </c>
      <c r="C813" s="15">
        <v>42536</v>
      </c>
      <c r="D813" s="16">
        <v>0.49444444444444446</v>
      </c>
      <c r="E813" s="14">
        <v>150</v>
      </c>
      <c r="F813" s="14">
        <v>12</v>
      </c>
      <c r="G813" s="17">
        <v>0.33326269258891855</v>
      </c>
      <c r="H813" s="1" t="s">
        <v>144</v>
      </c>
      <c r="I813" s="14"/>
    </row>
    <row r="814" spans="1:9" x14ac:dyDescent="0.25">
      <c r="A814" s="14">
        <v>2016</v>
      </c>
      <c r="B814" s="14">
        <v>167</v>
      </c>
      <c r="C814" s="15">
        <v>42536</v>
      </c>
      <c r="D814" s="16">
        <v>0.50069444444444444</v>
      </c>
      <c r="E814" s="14">
        <v>150</v>
      </c>
      <c r="F814" s="14">
        <v>13</v>
      </c>
      <c r="G814" s="17">
        <v>0.30250877460236081</v>
      </c>
      <c r="H814" s="1" t="s">
        <v>144</v>
      </c>
      <c r="I814" s="14"/>
    </row>
    <row r="815" spans="1:9" x14ac:dyDescent="0.25">
      <c r="A815" s="14">
        <v>2016</v>
      </c>
      <c r="B815" s="14">
        <v>167</v>
      </c>
      <c r="C815" s="15">
        <v>42536</v>
      </c>
      <c r="D815" s="16">
        <v>0.50763888888888886</v>
      </c>
      <c r="E815" s="14">
        <v>150</v>
      </c>
      <c r="F815" s="14">
        <v>14</v>
      </c>
      <c r="G815" s="17">
        <v>0.30429950906740083</v>
      </c>
      <c r="H815" s="1" t="s">
        <v>144</v>
      </c>
      <c r="I815" s="14"/>
    </row>
    <row r="816" spans="1:9" x14ac:dyDescent="0.25">
      <c r="A816" s="14">
        <v>2016</v>
      </c>
      <c r="B816" s="14">
        <v>167</v>
      </c>
      <c r="C816" s="15">
        <v>42536</v>
      </c>
      <c r="D816" s="16">
        <v>0.43055555555555558</v>
      </c>
      <c r="E816" s="14">
        <v>150</v>
      </c>
      <c r="F816" s="14">
        <v>15</v>
      </c>
      <c r="G816" s="17">
        <v>0.34021152089347617</v>
      </c>
      <c r="H816" s="1" t="s">
        <v>1</v>
      </c>
      <c r="I816" s="14"/>
    </row>
    <row r="817" spans="1:9" x14ac:dyDescent="0.25">
      <c r="A817" s="14">
        <v>2016</v>
      </c>
      <c r="B817" s="14">
        <v>167</v>
      </c>
      <c r="C817" s="15">
        <v>42536</v>
      </c>
      <c r="D817" s="16">
        <v>0.51458333333333328</v>
      </c>
      <c r="E817" s="14">
        <v>150</v>
      </c>
      <c r="F817" s="14">
        <v>16</v>
      </c>
      <c r="G817" s="17">
        <v>0.331063203517728</v>
      </c>
      <c r="H817" s="1" t="s">
        <v>1</v>
      </c>
      <c r="I817" s="14"/>
    </row>
    <row r="818" spans="1:9" x14ac:dyDescent="0.25">
      <c r="A818" s="14">
        <v>2016</v>
      </c>
      <c r="B818" s="14">
        <v>167</v>
      </c>
      <c r="C818" s="15">
        <v>42536</v>
      </c>
      <c r="D818" s="16">
        <v>0.52083333333333337</v>
      </c>
      <c r="E818" s="14">
        <v>150</v>
      </c>
      <c r="F818" s="14">
        <v>17</v>
      </c>
      <c r="G818" s="17">
        <v>0.32942818509312621</v>
      </c>
      <c r="H818" s="1" t="s">
        <v>144</v>
      </c>
      <c r="I818" s="14"/>
    </row>
    <row r="819" spans="1:9" x14ac:dyDescent="0.25">
      <c r="A819" s="14">
        <v>2016</v>
      </c>
      <c r="B819" s="14">
        <v>167</v>
      </c>
      <c r="C819" s="15">
        <v>42536</v>
      </c>
      <c r="D819" s="16">
        <v>0.52152777777777781</v>
      </c>
      <c r="E819" s="14">
        <v>150</v>
      </c>
      <c r="F819" s="14">
        <v>18</v>
      </c>
      <c r="G819" s="17">
        <v>0.33182231921486455</v>
      </c>
      <c r="H819" s="1" t="s">
        <v>144</v>
      </c>
      <c r="I819" s="14"/>
    </row>
    <row r="820" spans="1:9" x14ac:dyDescent="0.25">
      <c r="A820" s="14">
        <v>2016</v>
      </c>
      <c r="B820" s="14">
        <v>167</v>
      </c>
      <c r="C820" s="15">
        <v>42536</v>
      </c>
      <c r="D820" s="16">
        <v>0.52847222222222223</v>
      </c>
      <c r="E820" s="14">
        <v>150</v>
      </c>
      <c r="F820" s="14">
        <v>19</v>
      </c>
      <c r="G820" s="17">
        <v>0.33057659089135843</v>
      </c>
      <c r="H820" s="1" t="s">
        <v>144</v>
      </c>
      <c r="I820" s="14"/>
    </row>
    <row r="821" spans="1:9" x14ac:dyDescent="0.25">
      <c r="A821" s="14">
        <v>2016</v>
      </c>
      <c r="B821" s="14">
        <v>167</v>
      </c>
      <c r="C821" s="15">
        <v>42536</v>
      </c>
      <c r="D821" s="16">
        <v>0.53541666666666665</v>
      </c>
      <c r="E821" s="14">
        <v>150</v>
      </c>
      <c r="F821" s="14">
        <v>20</v>
      </c>
      <c r="G821" s="17">
        <v>0.34682945261210252</v>
      </c>
      <c r="H821" s="1" t="s">
        <v>144</v>
      </c>
      <c r="I821" s="14"/>
    </row>
    <row r="822" spans="1:9" x14ac:dyDescent="0.25">
      <c r="A822" s="14">
        <v>2016</v>
      </c>
      <c r="B822" s="14">
        <v>167</v>
      </c>
      <c r="C822" s="15">
        <v>42536</v>
      </c>
      <c r="D822" s="16">
        <v>0.34861111111111115</v>
      </c>
      <c r="E822" s="14">
        <v>130</v>
      </c>
      <c r="F822" s="14">
        <v>1</v>
      </c>
      <c r="G822" s="17">
        <v>0.31498552234247695</v>
      </c>
      <c r="H822" s="1" t="s">
        <v>143</v>
      </c>
      <c r="I822" s="14"/>
    </row>
    <row r="823" spans="1:9" x14ac:dyDescent="0.25">
      <c r="A823" s="14">
        <v>2016</v>
      </c>
      <c r="B823" s="14">
        <v>167</v>
      </c>
      <c r="C823" s="15">
        <v>42536</v>
      </c>
      <c r="D823" s="16">
        <v>0.34166666666666662</v>
      </c>
      <c r="E823" s="14">
        <v>130</v>
      </c>
      <c r="F823" s="14">
        <v>2</v>
      </c>
      <c r="G823" s="17">
        <v>0.31809984315124229</v>
      </c>
      <c r="H823" s="1" t="s">
        <v>143</v>
      </c>
      <c r="I823" s="14"/>
    </row>
    <row r="824" spans="1:9" x14ac:dyDescent="0.25">
      <c r="A824" s="14">
        <v>2016</v>
      </c>
      <c r="B824" s="14">
        <v>167</v>
      </c>
      <c r="C824" s="15">
        <v>42536</v>
      </c>
      <c r="D824" s="16">
        <v>0.3354166666666667</v>
      </c>
      <c r="E824" s="14">
        <v>130</v>
      </c>
      <c r="F824" s="14">
        <v>3</v>
      </c>
      <c r="G824" s="17">
        <v>0.30949653191702803</v>
      </c>
      <c r="H824" s="1" t="s">
        <v>143</v>
      </c>
      <c r="I824" s="14"/>
    </row>
    <row r="825" spans="1:9" x14ac:dyDescent="0.25">
      <c r="A825" s="14">
        <v>2016</v>
      </c>
      <c r="B825" s="14">
        <v>167</v>
      </c>
      <c r="C825" s="15">
        <v>42536</v>
      </c>
      <c r="D825" s="16">
        <v>0.32847222222222222</v>
      </c>
      <c r="E825" s="14">
        <v>130</v>
      </c>
      <c r="F825" s="14">
        <v>4</v>
      </c>
      <c r="G825" s="17">
        <v>0.30690775274474186</v>
      </c>
      <c r="H825" s="1" t="s">
        <v>143</v>
      </c>
      <c r="I825" s="14"/>
    </row>
    <row r="826" spans="1:9" x14ac:dyDescent="0.25">
      <c r="A826" s="14">
        <v>2016</v>
      </c>
      <c r="B826" s="14">
        <v>167</v>
      </c>
      <c r="C826" s="15">
        <v>42536</v>
      </c>
      <c r="D826" s="16">
        <v>0.35625000000000001</v>
      </c>
      <c r="E826" s="14">
        <v>130</v>
      </c>
      <c r="F826" s="14">
        <v>5</v>
      </c>
      <c r="G826" s="17">
        <v>0.31229942064491684</v>
      </c>
      <c r="H826" s="1" t="s">
        <v>0</v>
      </c>
      <c r="I826" s="14"/>
    </row>
    <row r="827" spans="1:9" x14ac:dyDescent="0.25">
      <c r="A827" s="14">
        <v>2016</v>
      </c>
      <c r="B827" s="14">
        <v>167</v>
      </c>
      <c r="C827" s="15">
        <v>42536</v>
      </c>
      <c r="D827" s="16">
        <v>0.3611111111111111</v>
      </c>
      <c r="E827" s="14">
        <v>130</v>
      </c>
      <c r="F827" s="14">
        <v>6</v>
      </c>
      <c r="G827" s="17">
        <v>0.30827026809857666</v>
      </c>
      <c r="H827" s="1" t="s">
        <v>0</v>
      </c>
      <c r="I827" s="14"/>
    </row>
    <row r="828" spans="1:9" x14ac:dyDescent="0.25">
      <c r="A828" s="14">
        <v>2016</v>
      </c>
      <c r="B828" s="14">
        <v>167</v>
      </c>
      <c r="C828" s="15">
        <v>42536</v>
      </c>
      <c r="D828" s="16">
        <v>0.3611111111111111</v>
      </c>
      <c r="E828" s="14">
        <v>130</v>
      </c>
      <c r="F828" s="14">
        <v>7</v>
      </c>
      <c r="G828" s="17">
        <v>0.3135062199583134</v>
      </c>
      <c r="H828" s="1" t="s">
        <v>143</v>
      </c>
      <c r="I828" s="14"/>
    </row>
    <row r="829" spans="1:9" x14ac:dyDescent="0.25">
      <c r="A829" s="14">
        <v>2016</v>
      </c>
      <c r="B829" s="14">
        <v>167</v>
      </c>
      <c r="C829" s="15">
        <v>42536</v>
      </c>
      <c r="D829" s="16">
        <v>0.38611111111111113</v>
      </c>
      <c r="E829" s="14">
        <v>130</v>
      </c>
      <c r="F829" s="14">
        <v>8</v>
      </c>
      <c r="G829" s="17">
        <v>0.34254726150005022</v>
      </c>
      <c r="H829" s="1" t="s">
        <v>143</v>
      </c>
      <c r="I829" s="14"/>
    </row>
    <row r="830" spans="1:9" x14ac:dyDescent="0.25">
      <c r="A830" s="14">
        <v>2016</v>
      </c>
      <c r="B830" s="14">
        <v>167</v>
      </c>
      <c r="C830" s="15">
        <v>42536</v>
      </c>
      <c r="D830" s="16">
        <v>0.37986111111111115</v>
      </c>
      <c r="E830" s="14">
        <v>130</v>
      </c>
      <c r="F830" s="14">
        <v>9</v>
      </c>
      <c r="G830" s="17">
        <v>0.31360354248358729</v>
      </c>
      <c r="H830" s="1" t="s">
        <v>143</v>
      </c>
      <c r="I830" s="14"/>
    </row>
    <row r="831" spans="1:9" x14ac:dyDescent="0.25">
      <c r="A831" s="14">
        <v>2016</v>
      </c>
      <c r="B831" s="14">
        <v>167</v>
      </c>
      <c r="C831" s="15">
        <v>42536</v>
      </c>
      <c r="D831" s="16">
        <v>0.37291666666666662</v>
      </c>
      <c r="E831" s="14">
        <v>130</v>
      </c>
      <c r="F831" s="14">
        <v>10</v>
      </c>
      <c r="G831" s="17">
        <v>0.32078594484880235</v>
      </c>
      <c r="H831" s="1" t="s">
        <v>143</v>
      </c>
      <c r="I831" s="14"/>
    </row>
    <row r="832" spans="1:9" x14ac:dyDescent="0.25">
      <c r="A832" s="14">
        <v>2016</v>
      </c>
      <c r="B832" s="14">
        <v>167</v>
      </c>
      <c r="C832" s="15">
        <v>42536</v>
      </c>
      <c r="D832" s="16">
        <v>0.48680555555555555</v>
      </c>
      <c r="E832" s="14">
        <v>130</v>
      </c>
      <c r="F832" s="14">
        <v>11</v>
      </c>
      <c r="G832" s="17">
        <v>0.30603185001727656</v>
      </c>
      <c r="H832" s="1" t="s">
        <v>144</v>
      </c>
      <c r="I832" s="14"/>
    </row>
    <row r="833" spans="1:9" x14ac:dyDescent="0.25">
      <c r="A833" s="14">
        <v>2016</v>
      </c>
      <c r="B833" s="14">
        <v>167</v>
      </c>
      <c r="C833" s="15">
        <v>42536</v>
      </c>
      <c r="D833" s="16">
        <v>0.49444444444444446</v>
      </c>
      <c r="E833" s="14">
        <v>130</v>
      </c>
      <c r="F833" s="14">
        <v>12</v>
      </c>
      <c r="G833" s="17">
        <v>0.30089322068281377</v>
      </c>
      <c r="H833" s="1" t="s">
        <v>144</v>
      </c>
      <c r="I833" s="14"/>
    </row>
    <row r="834" spans="1:9" x14ac:dyDescent="0.25">
      <c r="A834" s="14">
        <v>2016</v>
      </c>
      <c r="B834" s="14">
        <v>167</v>
      </c>
      <c r="C834" s="15">
        <v>42536</v>
      </c>
      <c r="D834" s="16">
        <v>0.50069444444444444</v>
      </c>
      <c r="E834" s="14">
        <v>130</v>
      </c>
      <c r="F834" s="14">
        <v>13</v>
      </c>
      <c r="G834" s="17">
        <v>0.31405122609984731</v>
      </c>
      <c r="H834" s="1" t="s">
        <v>144</v>
      </c>
      <c r="I834" s="14"/>
    </row>
    <row r="835" spans="1:9" x14ac:dyDescent="0.25">
      <c r="A835" s="14">
        <v>2016</v>
      </c>
      <c r="B835" s="14">
        <v>167</v>
      </c>
      <c r="C835" s="15">
        <v>42536</v>
      </c>
      <c r="D835" s="16">
        <v>0.50763888888888886</v>
      </c>
      <c r="E835" s="14">
        <v>130</v>
      </c>
      <c r="F835" s="14">
        <v>14</v>
      </c>
      <c r="G835" s="17">
        <v>0.31615339264576398</v>
      </c>
      <c r="H835" s="1" t="s">
        <v>144</v>
      </c>
      <c r="I835" s="14"/>
    </row>
    <row r="836" spans="1:9" x14ac:dyDescent="0.25">
      <c r="A836" s="14">
        <v>2016</v>
      </c>
      <c r="B836" s="14">
        <v>167</v>
      </c>
      <c r="C836" s="15">
        <v>42536</v>
      </c>
      <c r="D836" s="16">
        <v>0.43055555555555558</v>
      </c>
      <c r="E836" s="14">
        <v>130</v>
      </c>
      <c r="F836" s="14">
        <v>15</v>
      </c>
      <c r="G836" s="17">
        <v>0.30182751692544335</v>
      </c>
      <c r="H836" s="1" t="s">
        <v>1</v>
      </c>
      <c r="I836" s="14"/>
    </row>
    <row r="837" spans="1:9" x14ac:dyDescent="0.25">
      <c r="A837" s="14">
        <v>2016</v>
      </c>
      <c r="B837" s="14">
        <v>167</v>
      </c>
      <c r="C837" s="15">
        <v>42536</v>
      </c>
      <c r="D837" s="16">
        <v>0.51458333333333328</v>
      </c>
      <c r="E837" s="14">
        <v>130</v>
      </c>
      <c r="F837" s="14">
        <v>16</v>
      </c>
      <c r="G837" s="17">
        <v>0.30085429167270422</v>
      </c>
      <c r="H837" s="1" t="s">
        <v>1</v>
      </c>
      <c r="I837" s="14"/>
    </row>
    <row r="838" spans="1:9" x14ac:dyDescent="0.25">
      <c r="A838" s="14">
        <v>2016</v>
      </c>
      <c r="B838" s="14">
        <v>167</v>
      </c>
      <c r="C838" s="15">
        <v>42536</v>
      </c>
      <c r="D838" s="16">
        <v>0.52083333333333337</v>
      </c>
      <c r="E838" s="14">
        <v>130</v>
      </c>
      <c r="F838" s="14">
        <v>17</v>
      </c>
      <c r="G838" s="17">
        <v>0.31177387900843767</v>
      </c>
      <c r="H838" s="1" t="s">
        <v>144</v>
      </c>
      <c r="I838" s="14"/>
    </row>
    <row r="839" spans="1:9" x14ac:dyDescent="0.25">
      <c r="A839" s="14">
        <v>2016</v>
      </c>
      <c r="B839" s="14">
        <v>167</v>
      </c>
      <c r="C839" s="15">
        <v>42536</v>
      </c>
      <c r="D839" s="16">
        <v>0.52152777777777781</v>
      </c>
      <c r="E839" s="14">
        <v>130</v>
      </c>
      <c r="F839" s="14">
        <v>18</v>
      </c>
      <c r="G839" s="17">
        <v>0.31093690529108198</v>
      </c>
      <c r="H839" s="1" t="s">
        <v>144</v>
      </c>
      <c r="I839" s="14"/>
    </row>
    <row r="840" spans="1:9" x14ac:dyDescent="0.25">
      <c r="A840" s="14">
        <v>2016</v>
      </c>
      <c r="B840" s="14">
        <v>167</v>
      </c>
      <c r="C840" s="15">
        <v>42536</v>
      </c>
      <c r="D840" s="16">
        <v>0.52847222222222223</v>
      </c>
      <c r="E840" s="14">
        <v>130</v>
      </c>
      <c r="F840" s="14">
        <v>19</v>
      </c>
      <c r="G840" s="17">
        <v>0.31008046706867154</v>
      </c>
      <c r="H840" s="1" t="s">
        <v>144</v>
      </c>
      <c r="I840" s="14"/>
    </row>
    <row r="841" spans="1:9" x14ac:dyDescent="0.25">
      <c r="A841" s="14">
        <v>2016</v>
      </c>
      <c r="B841" s="14">
        <v>167</v>
      </c>
      <c r="C841" s="15">
        <v>42536</v>
      </c>
      <c r="D841" s="16">
        <v>0.53541666666666665</v>
      </c>
      <c r="E841" s="14">
        <v>130</v>
      </c>
      <c r="F841" s="14">
        <v>20</v>
      </c>
      <c r="G841" s="17">
        <v>0.30344307084499039</v>
      </c>
      <c r="H841" s="1" t="s">
        <v>144</v>
      </c>
      <c r="I841" s="14"/>
    </row>
    <row r="842" spans="1:9" x14ac:dyDescent="0.25">
      <c r="A842" s="14">
        <v>2016</v>
      </c>
      <c r="B842" s="14">
        <v>167</v>
      </c>
      <c r="C842" s="15">
        <v>42536</v>
      </c>
      <c r="D842" s="16">
        <v>0.34861111111111115</v>
      </c>
      <c r="E842" s="14">
        <v>110</v>
      </c>
      <c r="F842" s="14">
        <v>1</v>
      </c>
      <c r="G842" s="17">
        <v>0.34011700036782327</v>
      </c>
      <c r="H842" s="1" t="s">
        <v>143</v>
      </c>
      <c r="I842" s="14"/>
    </row>
    <row r="843" spans="1:9" x14ac:dyDescent="0.25">
      <c r="A843" s="14">
        <v>2016</v>
      </c>
      <c r="B843" s="14">
        <v>167</v>
      </c>
      <c r="C843" s="15">
        <v>42536</v>
      </c>
      <c r="D843" s="16">
        <v>0.34166666666666662</v>
      </c>
      <c r="E843" s="14">
        <v>110</v>
      </c>
      <c r="F843" s="14">
        <v>2</v>
      </c>
      <c r="G843" s="17">
        <v>0.33904078015314826</v>
      </c>
      <c r="H843" s="1" t="s">
        <v>143</v>
      </c>
      <c r="I843" s="14"/>
    </row>
    <row r="844" spans="1:9" x14ac:dyDescent="0.25">
      <c r="A844" s="14">
        <v>2016</v>
      </c>
      <c r="B844" s="14">
        <v>167</v>
      </c>
      <c r="C844" s="15">
        <v>42536</v>
      </c>
      <c r="D844" s="16">
        <v>0.3354166666666667</v>
      </c>
      <c r="E844" s="14">
        <v>110</v>
      </c>
      <c r="F844" s="14">
        <v>3</v>
      </c>
      <c r="G844" s="17">
        <v>0.33169042506994217</v>
      </c>
      <c r="H844" s="1" t="s">
        <v>143</v>
      </c>
      <c r="I844" s="14"/>
    </row>
    <row r="845" spans="1:9" x14ac:dyDescent="0.25">
      <c r="A845" s="14">
        <v>2016</v>
      </c>
      <c r="B845" s="14">
        <v>167</v>
      </c>
      <c r="C845" s="15">
        <v>42536</v>
      </c>
      <c r="D845" s="16">
        <v>0.32847222222222222</v>
      </c>
      <c r="E845" s="14">
        <v>110</v>
      </c>
      <c r="F845" s="14">
        <v>4</v>
      </c>
      <c r="G845" s="17">
        <v>0.34112452567517859</v>
      </c>
      <c r="H845" s="1" t="s">
        <v>143</v>
      </c>
      <c r="I845" s="14"/>
    </row>
    <row r="846" spans="1:9" x14ac:dyDescent="0.25">
      <c r="A846" s="14">
        <v>2016</v>
      </c>
      <c r="B846" s="14">
        <v>167</v>
      </c>
      <c r="C846" s="15">
        <v>42536</v>
      </c>
      <c r="D846" s="16">
        <v>0.35625000000000001</v>
      </c>
      <c r="E846" s="14">
        <v>110</v>
      </c>
      <c r="F846" s="14">
        <v>5</v>
      </c>
      <c r="G846" s="17">
        <v>0.34357464403624732</v>
      </c>
      <c r="H846" s="1" t="s">
        <v>0</v>
      </c>
      <c r="I846" s="14"/>
    </row>
    <row r="847" spans="1:9" x14ac:dyDescent="0.25">
      <c r="A847" s="14">
        <v>2016</v>
      </c>
      <c r="B847" s="14">
        <v>167</v>
      </c>
      <c r="C847" s="15">
        <v>42536</v>
      </c>
      <c r="D847" s="16">
        <v>0.3611111111111111</v>
      </c>
      <c r="E847" s="14">
        <v>110</v>
      </c>
      <c r="F847" s="14">
        <v>6</v>
      </c>
      <c r="G847" s="17">
        <v>0.3359266110213226</v>
      </c>
      <c r="H847" s="1" t="s">
        <v>0</v>
      </c>
      <c r="I847" s="14"/>
    </row>
    <row r="848" spans="1:9" x14ac:dyDescent="0.25">
      <c r="A848" s="14">
        <v>2016</v>
      </c>
      <c r="B848" s="14">
        <v>167</v>
      </c>
      <c r="C848" s="15">
        <v>42536</v>
      </c>
      <c r="D848" s="16">
        <v>0.3611111111111111</v>
      </c>
      <c r="E848" s="14">
        <v>110</v>
      </c>
      <c r="F848" s="14">
        <v>7</v>
      </c>
      <c r="G848" s="17">
        <v>0.34158249172397653</v>
      </c>
      <c r="H848" s="1" t="s">
        <v>143</v>
      </c>
      <c r="I848" s="14"/>
    </row>
    <row r="849" spans="1:9" x14ac:dyDescent="0.25">
      <c r="A849" s="14">
        <v>2016</v>
      </c>
      <c r="B849" s="14">
        <v>167</v>
      </c>
      <c r="C849" s="15">
        <v>42536</v>
      </c>
      <c r="D849" s="16">
        <v>0.38611111111111113</v>
      </c>
      <c r="E849" s="14">
        <v>110</v>
      </c>
      <c r="F849" s="14">
        <v>8</v>
      </c>
      <c r="G849" s="17">
        <v>0.34508593199728033</v>
      </c>
      <c r="H849" s="1" t="s">
        <v>143</v>
      </c>
      <c r="I849" s="14"/>
    </row>
    <row r="850" spans="1:9" x14ac:dyDescent="0.25">
      <c r="A850" s="14">
        <v>2016</v>
      </c>
      <c r="B850" s="14">
        <v>167</v>
      </c>
      <c r="C850" s="15">
        <v>42536</v>
      </c>
      <c r="D850" s="16">
        <v>0.37986111111111115</v>
      </c>
      <c r="E850" s="14">
        <v>110</v>
      </c>
      <c r="F850" s="14">
        <v>9</v>
      </c>
      <c r="G850" s="17">
        <v>0.33590371271888275</v>
      </c>
      <c r="H850" s="1" t="s">
        <v>143</v>
      </c>
      <c r="I850" s="14"/>
    </row>
    <row r="851" spans="1:9" x14ac:dyDescent="0.25">
      <c r="A851" s="14">
        <v>2016</v>
      </c>
      <c r="B851" s="14">
        <v>167</v>
      </c>
      <c r="C851" s="15">
        <v>42536</v>
      </c>
      <c r="D851" s="16">
        <v>0.37291666666666662</v>
      </c>
      <c r="E851" s="14">
        <v>110</v>
      </c>
      <c r="F851" s="14">
        <v>10</v>
      </c>
      <c r="G851" s="17">
        <v>0.33702572953843757</v>
      </c>
      <c r="H851" s="1" t="s">
        <v>143</v>
      </c>
      <c r="I851" s="14"/>
    </row>
    <row r="852" spans="1:9" x14ac:dyDescent="0.25">
      <c r="A852" s="14">
        <v>2016</v>
      </c>
      <c r="B852" s="14">
        <v>167</v>
      </c>
      <c r="C852" s="15">
        <v>42536</v>
      </c>
      <c r="D852" s="16">
        <v>0.48680555555555555</v>
      </c>
      <c r="E852" s="14">
        <v>110</v>
      </c>
      <c r="F852" s="14">
        <v>11</v>
      </c>
      <c r="G852" s="17">
        <v>0.3322857809333794</v>
      </c>
      <c r="H852" s="1" t="s">
        <v>144</v>
      </c>
      <c r="I852" s="14"/>
    </row>
    <row r="853" spans="1:9" x14ac:dyDescent="0.25">
      <c r="A853" s="14">
        <v>2016</v>
      </c>
      <c r="B853" s="14">
        <v>167</v>
      </c>
      <c r="C853" s="15">
        <v>42536</v>
      </c>
      <c r="D853" s="16">
        <v>0.49444444444444446</v>
      </c>
      <c r="E853" s="14">
        <v>110</v>
      </c>
      <c r="F853" s="14">
        <v>12</v>
      </c>
      <c r="G853" s="17">
        <v>0.33725471256283646</v>
      </c>
      <c r="H853" s="1" t="s">
        <v>144</v>
      </c>
      <c r="I853" s="14"/>
    </row>
    <row r="854" spans="1:9" x14ac:dyDescent="0.25">
      <c r="A854" s="14">
        <v>2016</v>
      </c>
      <c r="B854" s="14">
        <v>167</v>
      </c>
      <c r="C854" s="15">
        <v>42536</v>
      </c>
      <c r="D854" s="16">
        <v>0.50069444444444444</v>
      </c>
      <c r="E854" s="14">
        <v>110</v>
      </c>
      <c r="F854" s="14">
        <v>13</v>
      </c>
      <c r="G854" s="17">
        <v>0.33434662815296989</v>
      </c>
      <c r="H854" s="1" t="s">
        <v>144</v>
      </c>
      <c r="I854" s="14"/>
    </row>
    <row r="855" spans="1:9" x14ac:dyDescent="0.25">
      <c r="A855" s="14">
        <v>2016</v>
      </c>
      <c r="B855" s="14">
        <v>167</v>
      </c>
      <c r="C855" s="15">
        <v>42536</v>
      </c>
      <c r="D855" s="16">
        <v>0.50763888888888886</v>
      </c>
      <c r="E855" s="14">
        <v>110</v>
      </c>
      <c r="F855" s="14">
        <v>14</v>
      </c>
      <c r="G855" s="17">
        <v>0.33260635716753795</v>
      </c>
      <c r="H855" s="1" t="s">
        <v>144</v>
      </c>
      <c r="I855" s="14"/>
    </row>
    <row r="856" spans="1:9" x14ac:dyDescent="0.25">
      <c r="A856" s="14">
        <v>2016</v>
      </c>
      <c r="B856" s="14">
        <v>167</v>
      </c>
      <c r="C856" s="15">
        <v>42536</v>
      </c>
      <c r="D856" s="16">
        <v>0.43055555555555558</v>
      </c>
      <c r="E856" s="14">
        <v>110</v>
      </c>
      <c r="F856" s="14">
        <v>15</v>
      </c>
      <c r="G856" s="17">
        <v>0.33182781488458157</v>
      </c>
      <c r="H856" s="1" t="s">
        <v>1</v>
      </c>
      <c r="I856" s="14"/>
    </row>
    <row r="857" spans="1:9" x14ac:dyDescent="0.25">
      <c r="A857" s="14">
        <v>2016</v>
      </c>
      <c r="B857" s="14">
        <v>167</v>
      </c>
      <c r="C857" s="15">
        <v>42536</v>
      </c>
      <c r="D857" s="16">
        <v>0.51458333333333328</v>
      </c>
      <c r="E857" s="14">
        <v>110</v>
      </c>
      <c r="F857" s="14">
        <v>16</v>
      </c>
      <c r="G857" s="17">
        <v>0.32624062908924734</v>
      </c>
      <c r="H857" s="1" t="s">
        <v>1</v>
      </c>
      <c r="I857" s="14"/>
    </row>
    <row r="858" spans="1:9" x14ac:dyDescent="0.25">
      <c r="A858" s="14">
        <v>2016</v>
      </c>
      <c r="B858" s="14">
        <v>167</v>
      </c>
      <c r="C858" s="15">
        <v>42536</v>
      </c>
      <c r="D858" s="16">
        <v>0.52083333333333337</v>
      </c>
      <c r="E858" s="14">
        <v>110</v>
      </c>
      <c r="F858" s="14">
        <v>17</v>
      </c>
      <c r="G858" s="17">
        <v>0.33817064466043223</v>
      </c>
      <c r="H858" s="1" t="s">
        <v>144</v>
      </c>
      <c r="I858" s="14"/>
    </row>
    <row r="859" spans="1:9" x14ac:dyDescent="0.25">
      <c r="A859" s="14">
        <v>2016</v>
      </c>
      <c r="B859" s="14">
        <v>167</v>
      </c>
      <c r="C859" s="15">
        <v>42536</v>
      </c>
      <c r="D859" s="16">
        <v>0.52152777777777781</v>
      </c>
      <c r="E859" s="14">
        <v>110</v>
      </c>
      <c r="F859" s="14">
        <v>18</v>
      </c>
      <c r="G859" s="17">
        <v>0.34057496641662116</v>
      </c>
      <c r="H859" s="1" t="s">
        <v>144</v>
      </c>
      <c r="I859" s="14"/>
    </row>
    <row r="860" spans="1:9" x14ac:dyDescent="0.25">
      <c r="A860" s="14">
        <v>2016</v>
      </c>
      <c r="B860" s="14">
        <v>167</v>
      </c>
      <c r="C860" s="15">
        <v>42536</v>
      </c>
      <c r="D860" s="16">
        <v>0.52847222222222223</v>
      </c>
      <c r="E860" s="14">
        <v>110</v>
      </c>
      <c r="F860" s="14">
        <v>19</v>
      </c>
      <c r="G860" s="17">
        <v>0.33947584789950624</v>
      </c>
      <c r="H860" s="1" t="s">
        <v>144</v>
      </c>
      <c r="I860" s="14"/>
    </row>
    <row r="861" spans="1:9" x14ac:dyDescent="0.25">
      <c r="A861" s="14">
        <v>2016</v>
      </c>
      <c r="B861" s="14">
        <v>167</v>
      </c>
      <c r="C861" s="15">
        <v>42536</v>
      </c>
      <c r="D861" s="16">
        <v>0.53541666666666665</v>
      </c>
      <c r="E861" s="14">
        <v>110</v>
      </c>
      <c r="F861" s="14">
        <v>20</v>
      </c>
      <c r="G861" s="17">
        <v>0.33672805160671893</v>
      </c>
      <c r="H861" s="1" t="s">
        <v>144</v>
      </c>
      <c r="I861" s="14"/>
    </row>
    <row r="862" spans="1:9" x14ac:dyDescent="0.25">
      <c r="A862" s="14">
        <v>2016</v>
      </c>
      <c r="B862" s="14">
        <v>167</v>
      </c>
      <c r="C862" s="15">
        <v>42536</v>
      </c>
      <c r="D862" s="16">
        <v>0.34861111111111115</v>
      </c>
      <c r="E862" s="14">
        <v>90</v>
      </c>
      <c r="F862" s="14">
        <v>1</v>
      </c>
      <c r="G862" s="17">
        <v>0.34199466116789462</v>
      </c>
      <c r="H862" s="1" t="s">
        <v>143</v>
      </c>
      <c r="I862" s="14"/>
    </row>
    <row r="863" spans="1:9" x14ac:dyDescent="0.25">
      <c r="A863" s="14">
        <v>2016</v>
      </c>
      <c r="B863" s="14">
        <v>167</v>
      </c>
      <c r="C863" s="15">
        <v>42536</v>
      </c>
      <c r="D863" s="16">
        <v>0.34166666666666662</v>
      </c>
      <c r="E863" s="14">
        <v>90</v>
      </c>
      <c r="F863" s="14">
        <v>2</v>
      </c>
      <c r="G863" s="17">
        <v>0.34252132212401221</v>
      </c>
      <c r="H863" s="1" t="s">
        <v>143</v>
      </c>
      <c r="I863" s="14"/>
    </row>
    <row r="864" spans="1:9" x14ac:dyDescent="0.25">
      <c r="A864" s="14">
        <v>2016</v>
      </c>
      <c r="B864" s="14">
        <v>167</v>
      </c>
      <c r="C864" s="15">
        <v>42536</v>
      </c>
      <c r="D864" s="16">
        <v>0.3354166666666667</v>
      </c>
      <c r="E864" s="14">
        <v>90</v>
      </c>
      <c r="F864" s="14">
        <v>3</v>
      </c>
      <c r="G864" s="17">
        <v>0.33631588216280084</v>
      </c>
      <c r="H864" s="1" t="s">
        <v>143</v>
      </c>
      <c r="I864" s="14"/>
    </row>
    <row r="865" spans="1:9" x14ac:dyDescent="0.25">
      <c r="A865" s="14">
        <v>2016</v>
      </c>
      <c r="B865" s="14">
        <v>167</v>
      </c>
      <c r="C865" s="15">
        <v>42536</v>
      </c>
      <c r="D865" s="16">
        <v>0.32847222222222222</v>
      </c>
      <c r="E865" s="14">
        <v>90</v>
      </c>
      <c r="F865" s="14">
        <v>4</v>
      </c>
      <c r="G865" s="17">
        <v>0.33819354296287213</v>
      </c>
      <c r="H865" s="1" t="s">
        <v>143</v>
      </c>
      <c r="I865" s="14"/>
    </row>
    <row r="866" spans="1:9" x14ac:dyDescent="0.25">
      <c r="A866" s="14">
        <v>2016</v>
      </c>
      <c r="B866" s="14">
        <v>167</v>
      </c>
      <c r="C866" s="15">
        <v>42536</v>
      </c>
      <c r="D866" s="16">
        <v>0.35625000000000001</v>
      </c>
      <c r="E866" s="14">
        <v>90</v>
      </c>
      <c r="F866" s="14">
        <v>5</v>
      </c>
      <c r="G866" s="17">
        <v>0.33975062752878499</v>
      </c>
      <c r="H866" s="1" t="s">
        <v>0</v>
      </c>
      <c r="I866" s="14"/>
    </row>
    <row r="867" spans="1:9" x14ac:dyDescent="0.25">
      <c r="A867" s="14">
        <v>2016</v>
      </c>
      <c r="B867" s="14">
        <v>167</v>
      </c>
      <c r="C867" s="15">
        <v>42536</v>
      </c>
      <c r="D867" s="16">
        <v>0.3611111111111111</v>
      </c>
      <c r="E867" s="14">
        <v>90</v>
      </c>
      <c r="F867" s="14">
        <v>6</v>
      </c>
      <c r="G867" s="17">
        <v>0.33136984883578363</v>
      </c>
      <c r="H867" s="1" t="s">
        <v>0</v>
      </c>
      <c r="I867" s="14"/>
    </row>
    <row r="868" spans="1:9" x14ac:dyDescent="0.25">
      <c r="A868" s="14">
        <v>2016</v>
      </c>
      <c r="B868" s="14">
        <v>167</v>
      </c>
      <c r="C868" s="15">
        <v>42536</v>
      </c>
      <c r="D868" s="16">
        <v>0.3611111111111111</v>
      </c>
      <c r="E868" s="14">
        <v>90</v>
      </c>
      <c r="F868" s="14">
        <v>7</v>
      </c>
      <c r="G868" s="17">
        <v>0.33874310222142962</v>
      </c>
      <c r="H868" s="1" t="s">
        <v>143</v>
      </c>
      <c r="I868" s="14"/>
    </row>
    <row r="869" spans="1:9" x14ac:dyDescent="0.25">
      <c r="A869" s="14">
        <v>2016</v>
      </c>
      <c r="B869" s="14">
        <v>167</v>
      </c>
      <c r="C869" s="15">
        <v>42536</v>
      </c>
      <c r="D869" s="16">
        <v>0.38611111111111113</v>
      </c>
      <c r="E869" s="14">
        <v>90</v>
      </c>
      <c r="F869" s="14">
        <v>8</v>
      </c>
      <c r="G869" s="17">
        <v>0.34032308508978232</v>
      </c>
      <c r="H869" s="1" t="s">
        <v>143</v>
      </c>
      <c r="I869" s="14"/>
    </row>
    <row r="870" spans="1:9" x14ac:dyDescent="0.25">
      <c r="A870" s="14">
        <v>2016</v>
      </c>
      <c r="B870" s="14">
        <v>167</v>
      </c>
      <c r="C870" s="15">
        <v>42536</v>
      </c>
      <c r="D870" s="16">
        <v>0.37986111111111115</v>
      </c>
      <c r="E870" s="14">
        <v>90</v>
      </c>
      <c r="F870" s="14">
        <v>9</v>
      </c>
      <c r="G870" s="17">
        <v>0.33720891595795671</v>
      </c>
      <c r="H870" s="1" t="s">
        <v>143</v>
      </c>
      <c r="I870" s="14"/>
    </row>
    <row r="871" spans="1:9" x14ac:dyDescent="0.25">
      <c r="A871" s="14">
        <v>2016</v>
      </c>
      <c r="B871" s="14">
        <v>167</v>
      </c>
      <c r="C871" s="15">
        <v>42536</v>
      </c>
      <c r="D871" s="16">
        <v>0.37291666666666662</v>
      </c>
      <c r="E871" s="14">
        <v>90</v>
      </c>
      <c r="F871" s="14">
        <v>10</v>
      </c>
      <c r="G871" s="17">
        <v>0.34004830546050357</v>
      </c>
      <c r="H871" s="1" t="s">
        <v>143</v>
      </c>
      <c r="I871" s="14"/>
    </row>
    <row r="872" spans="1:9" x14ac:dyDescent="0.25">
      <c r="A872" s="14">
        <v>2016</v>
      </c>
      <c r="B872" s="14">
        <v>167</v>
      </c>
      <c r="C872" s="15">
        <v>42536</v>
      </c>
      <c r="D872" s="16">
        <v>0.48680555555555555</v>
      </c>
      <c r="E872" s="14">
        <v>90</v>
      </c>
      <c r="F872" s="14">
        <v>11</v>
      </c>
      <c r="G872" s="17">
        <v>0.33707152614331731</v>
      </c>
      <c r="H872" s="1" t="s">
        <v>144</v>
      </c>
      <c r="I872" s="14"/>
    </row>
    <row r="873" spans="1:9" x14ac:dyDescent="0.25">
      <c r="A873" s="14">
        <v>2016</v>
      </c>
      <c r="B873" s="14">
        <v>167</v>
      </c>
      <c r="C873" s="15">
        <v>42536</v>
      </c>
      <c r="D873" s="16">
        <v>0.49444444444444446</v>
      </c>
      <c r="E873" s="14">
        <v>90</v>
      </c>
      <c r="F873" s="14">
        <v>12</v>
      </c>
      <c r="G873" s="17">
        <v>0.34025439018246267</v>
      </c>
      <c r="H873" s="1" t="s">
        <v>144</v>
      </c>
      <c r="I873" s="14"/>
    </row>
    <row r="874" spans="1:9" x14ac:dyDescent="0.25">
      <c r="A874" s="14">
        <v>2016</v>
      </c>
      <c r="B874" s="14">
        <v>167</v>
      </c>
      <c r="C874" s="15">
        <v>42536</v>
      </c>
      <c r="D874" s="16">
        <v>0.50069444444444444</v>
      </c>
      <c r="E874" s="14">
        <v>90</v>
      </c>
      <c r="F874" s="14">
        <v>13</v>
      </c>
      <c r="G874" s="17">
        <v>0.33120956071870439</v>
      </c>
      <c r="H874" s="1" t="s">
        <v>144</v>
      </c>
      <c r="I874" s="14"/>
    </row>
    <row r="875" spans="1:9" x14ac:dyDescent="0.25">
      <c r="A875" s="14">
        <v>2016</v>
      </c>
      <c r="B875" s="14">
        <v>167</v>
      </c>
      <c r="C875" s="15">
        <v>42536</v>
      </c>
      <c r="D875" s="16">
        <v>0.50763888888888886</v>
      </c>
      <c r="E875" s="14">
        <v>90</v>
      </c>
      <c r="F875" s="14">
        <v>14</v>
      </c>
      <c r="G875" s="17">
        <v>0.33393445870905181</v>
      </c>
      <c r="H875" s="1" t="s">
        <v>144</v>
      </c>
      <c r="I875" s="14"/>
    </row>
    <row r="876" spans="1:9" x14ac:dyDescent="0.25">
      <c r="A876" s="14">
        <v>2016</v>
      </c>
      <c r="B876" s="14">
        <v>167</v>
      </c>
      <c r="C876" s="15">
        <v>42536</v>
      </c>
      <c r="D876" s="16">
        <v>0.43055555555555558</v>
      </c>
      <c r="E876" s="14">
        <v>90</v>
      </c>
      <c r="F876" s="14">
        <v>15</v>
      </c>
      <c r="G876" s="17">
        <v>0.33102637429918524</v>
      </c>
      <c r="H876" s="1" t="s">
        <v>1</v>
      </c>
      <c r="I876" s="14"/>
    </row>
    <row r="877" spans="1:9" x14ac:dyDescent="0.25">
      <c r="A877" s="14">
        <v>2016</v>
      </c>
      <c r="B877" s="14">
        <v>167</v>
      </c>
      <c r="C877" s="15">
        <v>42536</v>
      </c>
      <c r="D877" s="16">
        <v>0.51458333333333328</v>
      </c>
      <c r="E877" s="14">
        <v>90</v>
      </c>
      <c r="F877" s="14">
        <v>16</v>
      </c>
      <c r="G877" s="17">
        <v>0.32951508633815219</v>
      </c>
      <c r="H877" s="1" t="s">
        <v>1</v>
      </c>
      <c r="I877" s="14"/>
    </row>
    <row r="878" spans="1:9" x14ac:dyDescent="0.25">
      <c r="A878" s="14">
        <v>2016</v>
      </c>
      <c r="B878" s="14">
        <v>167</v>
      </c>
      <c r="C878" s="15">
        <v>42536</v>
      </c>
      <c r="D878" s="16">
        <v>0.52083333333333337</v>
      </c>
      <c r="E878" s="14">
        <v>90</v>
      </c>
      <c r="F878" s="14">
        <v>17</v>
      </c>
      <c r="G878" s="17">
        <v>0.34226944079717336</v>
      </c>
      <c r="H878" s="1" t="s">
        <v>144</v>
      </c>
      <c r="I878" s="14"/>
    </row>
    <row r="879" spans="1:9" x14ac:dyDescent="0.25">
      <c r="A879" s="14">
        <v>2016</v>
      </c>
      <c r="B879" s="14">
        <v>167</v>
      </c>
      <c r="C879" s="15">
        <v>42536</v>
      </c>
      <c r="D879" s="16">
        <v>0.52152777777777781</v>
      </c>
      <c r="E879" s="14">
        <v>90</v>
      </c>
      <c r="F879" s="14">
        <v>18</v>
      </c>
      <c r="G879" s="17">
        <v>0.3375981870994349</v>
      </c>
      <c r="H879" s="1" t="s">
        <v>144</v>
      </c>
      <c r="I879" s="14"/>
    </row>
    <row r="880" spans="1:9" x14ac:dyDescent="0.25">
      <c r="A880" s="14">
        <v>2016</v>
      </c>
      <c r="B880" s="14">
        <v>167</v>
      </c>
      <c r="C880" s="15">
        <v>42536</v>
      </c>
      <c r="D880" s="16">
        <v>0.52847222222222223</v>
      </c>
      <c r="E880" s="14">
        <v>90</v>
      </c>
      <c r="F880" s="14">
        <v>19</v>
      </c>
      <c r="G880" s="17">
        <v>0.34208625437765422</v>
      </c>
      <c r="H880" s="1" t="s">
        <v>144</v>
      </c>
      <c r="I880" s="14"/>
    </row>
    <row r="881" spans="1:9" x14ac:dyDescent="0.25">
      <c r="A881" s="14">
        <v>2016</v>
      </c>
      <c r="B881" s="14">
        <v>167</v>
      </c>
      <c r="C881" s="15">
        <v>42536</v>
      </c>
      <c r="D881" s="16">
        <v>0.53541666666666665</v>
      </c>
      <c r="E881" s="14">
        <v>90</v>
      </c>
      <c r="F881" s="14">
        <v>20</v>
      </c>
      <c r="G881" s="17">
        <v>0.33523966194812577</v>
      </c>
      <c r="H881" s="1" t="s">
        <v>144</v>
      </c>
      <c r="I881" s="14"/>
    </row>
    <row r="882" spans="1:9" x14ac:dyDescent="0.25">
      <c r="A882" s="14">
        <v>2016</v>
      </c>
      <c r="B882" s="14">
        <v>167</v>
      </c>
      <c r="C882" s="15">
        <v>42536</v>
      </c>
      <c r="D882" s="16">
        <v>0.34861111111111115</v>
      </c>
      <c r="E882" s="14">
        <v>70</v>
      </c>
      <c r="F882" s="14">
        <v>1</v>
      </c>
      <c r="G882" s="17">
        <v>0.3491618298315815</v>
      </c>
      <c r="H882" s="1" t="s">
        <v>143</v>
      </c>
      <c r="I882" s="14"/>
    </row>
    <row r="883" spans="1:9" x14ac:dyDescent="0.25">
      <c r="A883" s="14">
        <v>2016</v>
      </c>
      <c r="B883" s="14">
        <v>167</v>
      </c>
      <c r="C883" s="15">
        <v>42536</v>
      </c>
      <c r="D883" s="16">
        <v>0.34166666666666662</v>
      </c>
      <c r="E883" s="14">
        <v>70</v>
      </c>
      <c r="F883" s="14">
        <v>2</v>
      </c>
      <c r="G883" s="17">
        <v>0.35181803291460928</v>
      </c>
      <c r="H883" s="1" t="s">
        <v>143</v>
      </c>
      <c r="I883" s="14"/>
    </row>
    <row r="884" spans="1:9" x14ac:dyDescent="0.25">
      <c r="A884" s="14">
        <v>2016</v>
      </c>
      <c r="B884" s="14">
        <v>167</v>
      </c>
      <c r="C884" s="15">
        <v>42536</v>
      </c>
      <c r="D884" s="16">
        <v>0.3354166666666667</v>
      </c>
      <c r="E884" s="14">
        <v>70</v>
      </c>
      <c r="F884" s="14">
        <v>3</v>
      </c>
      <c r="G884" s="17">
        <v>0.34403261008504521</v>
      </c>
      <c r="H884" s="1" t="s">
        <v>143</v>
      </c>
      <c r="I884" s="14"/>
    </row>
    <row r="885" spans="1:9" x14ac:dyDescent="0.25">
      <c r="A885" s="14">
        <v>2016</v>
      </c>
      <c r="B885" s="14">
        <v>167</v>
      </c>
      <c r="C885" s="15">
        <v>42536</v>
      </c>
      <c r="D885" s="16">
        <v>0.32847222222222222</v>
      </c>
      <c r="E885" s="14">
        <v>70</v>
      </c>
      <c r="F885" s="14">
        <v>4</v>
      </c>
      <c r="G885" s="17">
        <v>0.34004830546050357</v>
      </c>
      <c r="H885" s="1" t="s">
        <v>143</v>
      </c>
      <c r="I885" s="14"/>
    </row>
    <row r="886" spans="1:9" x14ac:dyDescent="0.25">
      <c r="A886" s="14">
        <v>2016</v>
      </c>
      <c r="B886" s="14">
        <v>167</v>
      </c>
      <c r="C886" s="15">
        <v>42536</v>
      </c>
      <c r="D886" s="16">
        <v>0.35625000000000001</v>
      </c>
      <c r="E886" s="14">
        <v>70</v>
      </c>
      <c r="F886" s="14">
        <v>5</v>
      </c>
      <c r="G886" s="17">
        <v>0.34648272844611394</v>
      </c>
      <c r="H886" s="1" t="s">
        <v>0</v>
      </c>
      <c r="I886" s="14"/>
    </row>
    <row r="887" spans="1:9" x14ac:dyDescent="0.25">
      <c r="A887" s="14">
        <v>2016</v>
      </c>
      <c r="B887" s="14">
        <v>167</v>
      </c>
      <c r="C887" s="15">
        <v>42536</v>
      </c>
      <c r="D887" s="16">
        <v>0.3611111111111111</v>
      </c>
      <c r="E887" s="14">
        <v>70</v>
      </c>
      <c r="F887" s="14">
        <v>6</v>
      </c>
      <c r="G887" s="17">
        <v>0.34190306795813508</v>
      </c>
      <c r="H887" s="1" t="s">
        <v>0</v>
      </c>
      <c r="I887" s="14"/>
    </row>
    <row r="888" spans="1:9" x14ac:dyDescent="0.25">
      <c r="A888" s="14">
        <v>2016</v>
      </c>
      <c r="B888" s="14">
        <v>167</v>
      </c>
      <c r="C888" s="15">
        <v>42536</v>
      </c>
      <c r="D888" s="16">
        <v>0.3611111111111111</v>
      </c>
      <c r="E888" s="14">
        <v>70</v>
      </c>
      <c r="F888" s="14">
        <v>7</v>
      </c>
      <c r="G888" s="17">
        <v>0.3493908128559805</v>
      </c>
      <c r="H888" s="1" t="s">
        <v>143</v>
      </c>
      <c r="I888" s="14"/>
    </row>
    <row r="889" spans="1:9" x14ac:dyDescent="0.25">
      <c r="A889" s="14">
        <v>2016</v>
      </c>
      <c r="B889" s="14">
        <v>167</v>
      </c>
      <c r="C889" s="15">
        <v>42536</v>
      </c>
      <c r="D889" s="16">
        <v>0.38611111111111113</v>
      </c>
      <c r="E889" s="14">
        <v>70</v>
      </c>
      <c r="F889" s="14">
        <v>8</v>
      </c>
      <c r="G889" s="17">
        <v>0.33846832259215087</v>
      </c>
      <c r="H889" s="1" t="s">
        <v>143</v>
      </c>
      <c r="I889" s="14"/>
    </row>
    <row r="890" spans="1:9" x14ac:dyDescent="0.25">
      <c r="A890" s="14">
        <v>2016</v>
      </c>
      <c r="B890" s="14">
        <v>167</v>
      </c>
      <c r="C890" s="15">
        <v>42536</v>
      </c>
      <c r="D890" s="16">
        <v>0.37986111111111115</v>
      </c>
      <c r="E890" s="14">
        <v>70</v>
      </c>
      <c r="F890" s="14">
        <v>9</v>
      </c>
      <c r="G890" s="17">
        <v>0.34538360992899902</v>
      </c>
      <c r="H890" s="1" t="s">
        <v>143</v>
      </c>
      <c r="I890" s="14"/>
    </row>
    <row r="891" spans="1:9" x14ac:dyDescent="0.25">
      <c r="A891" s="14">
        <v>2016</v>
      </c>
      <c r="B891" s="14">
        <v>167</v>
      </c>
      <c r="C891" s="15">
        <v>42536</v>
      </c>
      <c r="D891" s="16">
        <v>0.37291666666666662</v>
      </c>
      <c r="E891" s="14">
        <v>70</v>
      </c>
      <c r="F891" s="14">
        <v>10</v>
      </c>
      <c r="G891" s="17">
        <v>0.34822299943154589</v>
      </c>
      <c r="H891" s="1" t="s">
        <v>143</v>
      </c>
      <c r="I891" s="14"/>
    </row>
    <row r="892" spans="1:9" x14ac:dyDescent="0.25">
      <c r="A892" s="14">
        <v>2016</v>
      </c>
      <c r="B892" s="14">
        <v>167</v>
      </c>
      <c r="C892" s="15">
        <v>42536</v>
      </c>
      <c r="D892" s="16">
        <v>0.48680555555555555</v>
      </c>
      <c r="E892" s="14">
        <v>70</v>
      </c>
      <c r="F892" s="14">
        <v>11</v>
      </c>
      <c r="G892" s="17">
        <v>0.34593316918755646</v>
      </c>
      <c r="H892" s="1" t="s">
        <v>144</v>
      </c>
      <c r="I892" s="14"/>
    </row>
    <row r="893" spans="1:9" x14ac:dyDescent="0.25">
      <c r="A893" s="14">
        <v>2016</v>
      </c>
      <c r="B893" s="14">
        <v>167</v>
      </c>
      <c r="C893" s="15">
        <v>42536</v>
      </c>
      <c r="D893" s="16">
        <v>0.49444444444444446</v>
      </c>
      <c r="E893" s="14">
        <v>70</v>
      </c>
      <c r="F893" s="14">
        <v>12</v>
      </c>
      <c r="G893" s="17">
        <v>0.33949874620194609</v>
      </c>
      <c r="H893" s="1" t="s">
        <v>144</v>
      </c>
      <c r="I893" s="14"/>
    </row>
    <row r="894" spans="1:9" x14ac:dyDescent="0.25">
      <c r="A894" s="14">
        <v>2016</v>
      </c>
      <c r="B894" s="14">
        <v>167</v>
      </c>
      <c r="C894" s="15">
        <v>42536</v>
      </c>
      <c r="D894" s="16">
        <v>0.50069444444444444</v>
      </c>
      <c r="E894" s="14">
        <v>70</v>
      </c>
      <c r="F894" s="14">
        <v>13</v>
      </c>
      <c r="G894" s="17">
        <v>0.33272084867973739</v>
      </c>
      <c r="H894" s="1" t="s">
        <v>144</v>
      </c>
      <c r="I894" s="14"/>
    </row>
    <row r="895" spans="1:9" x14ac:dyDescent="0.25">
      <c r="A895" s="14">
        <v>2016</v>
      </c>
      <c r="B895" s="14">
        <v>167</v>
      </c>
      <c r="C895" s="15">
        <v>42536</v>
      </c>
      <c r="D895" s="16">
        <v>0.50763888888888886</v>
      </c>
      <c r="E895" s="14">
        <v>70</v>
      </c>
      <c r="F895" s="14">
        <v>14</v>
      </c>
      <c r="G895" s="17">
        <v>0.35206991424144812</v>
      </c>
      <c r="H895" s="1" t="s">
        <v>144</v>
      </c>
      <c r="I895" s="14"/>
    </row>
    <row r="896" spans="1:9" x14ac:dyDescent="0.25">
      <c r="A896" s="14">
        <v>2016</v>
      </c>
      <c r="B896" s="14">
        <v>167</v>
      </c>
      <c r="C896" s="15">
        <v>42536</v>
      </c>
      <c r="D896" s="16">
        <v>0.43055555555555558</v>
      </c>
      <c r="E896" s="14">
        <v>70</v>
      </c>
      <c r="F896" s="14">
        <v>15</v>
      </c>
      <c r="G896" s="17">
        <v>0.33368257738221296</v>
      </c>
      <c r="H896" s="1" t="s">
        <v>1</v>
      </c>
      <c r="I896" s="14"/>
    </row>
    <row r="897" spans="1:9" x14ac:dyDescent="0.25">
      <c r="A897" s="14">
        <v>2016</v>
      </c>
      <c r="B897" s="14">
        <v>167</v>
      </c>
      <c r="C897" s="15">
        <v>42536</v>
      </c>
      <c r="D897" s="16">
        <v>0.51458333333333328</v>
      </c>
      <c r="E897" s="14">
        <v>70</v>
      </c>
      <c r="F897" s="14">
        <v>16</v>
      </c>
      <c r="G897" s="17">
        <v>0.33507937383104652</v>
      </c>
      <c r="H897" s="1" t="s">
        <v>1</v>
      </c>
      <c r="I897" s="14"/>
    </row>
    <row r="898" spans="1:9" x14ac:dyDescent="0.25">
      <c r="A898" s="14">
        <v>2016</v>
      </c>
      <c r="B898" s="14">
        <v>167</v>
      </c>
      <c r="C898" s="15">
        <v>42536</v>
      </c>
      <c r="D898" s="16">
        <v>0.52083333333333337</v>
      </c>
      <c r="E898" s="14">
        <v>70</v>
      </c>
      <c r="F898" s="14">
        <v>17</v>
      </c>
      <c r="G898" s="17">
        <v>0.3462995420265948</v>
      </c>
      <c r="H898" s="1" t="s">
        <v>144</v>
      </c>
      <c r="I898" s="14"/>
    </row>
    <row r="899" spans="1:9" x14ac:dyDescent="0.25">
      <c r="A899" s="14">
        <v>2016</v>
      </c>
      <c r="B899" s="14">
        <v>167</v>
      </c>
      <c r="C899" s="15">
        <v>42536</v>
      </c>
      <c r="D899" s="16">
        <v>0.52152777777777781</v>
      </c>
      <c r="E899" s="14">
        <v>70</v>
      </c>
      <c r="F899" s="14">
        <v>18</v>
      </c>
      <c r="G899" s="17">
        <v>0.33620139065060134</v>
      </c>
      <c r="H899" s="1" t="s">
        <v>144</v>
      </c>
      <c r="I899" s="14"/>
    </row>
    <row r="900" spans="1:9" x14ac:dyDescent="0.25">
      <c r="A900" s="14">
        <v>2016</v>
      </c>
      <c r="B900" s="14">
        <v>167</v>
      </c>
      <c r="C900" s="15">
        <v>42536</v>
      </c>
      <c r="D900" s="16">
        <v>0.52847222222222223</v>
      </c>
      <c r="E900" s="14">
        <v>70</v>
      </c>
      <c r="F900" s="14">
        <v>19</v>
      </c>
      <c r="G900" s="17">
        <v>0.33823933956775198</v>
      </c>
      <c r="H900" s="1" t="s">
        <v>144</v>
      </c>
      <c r="I900" s="14"/>
    </row>
    <row r="901" spans="1:9" x14ac:dyDescent="0.25">
      <c r="A901" s="14">
        <v>2016</v>
      </c>
      <c r="B901" s="14">
        <v>167</v>
      </c>
      <c r="C901" s="15">
        <v>42536</v>
      </c>
      <c r="D901" s="16">
        <v>0.53541666666666665</v>
      </c>
      <c r="E901" s="14">
        <v>70</v>
      </c>
      <c r="F901" s="14">
        <v>20</v>
      </c>
      <c r="G901" s="17">
        <v>0.34064366132394086</v>
      </c>
      <c r="H901" s="1" t="s">
        <v>144</v>
      </c>
      <c r="I901" s="14"/>
    </row>
    <row r="902" spans="1:9" x14ac:dyDescent="0.25">
      <c r="A902" s="14">
        <v>2016</v>
      </c>
      <c r="B902" s="14">
        <v>167</v>
      </c>
      <c r="C902" s="15">
        <v>42536</v>
      </c>
      <c r="D902" s="16">
        <v>0.34861111111111115</v>
      </c>
      <c r="E902" s="14">
        <v>50</v>
      </c>
      <c r="F902" s="14">
        <v>1</v>
      </c>
      <c r="G902" s="17">
        <v>0.34895574510962246</v>
      </c>
      <c r="H902" s="1" t="s">
        <v>143</v>
      </c>
      <c r="I902" s="14"/>
    </row>
    <row r="903" spans="1:9" x14ac:dyDescent="0.25">
      <c r="A903" s="14">
        <v>2016</v>
      </c>
      <c r="B903" s="14">
        <v>167</v>
      </c>
      <c r="C903" s="15">
        <v>42536</v>
      </c>
      <c r="D903" s="16">
        <v>0.34166666666666662</v>
      </c>
      <c r="E903" s="14">
        <v>50</v>
      </c>
      <c r="F903" s="14">
        <v>2</v>
      </c>
      <c r="G903" s="17">
        <v>0.35589393074891046</v>
      </c>
      <c r="H903" s="1" t="s">
        <v>143</v>
      </c>
      <c r="I903" s="14"/>
    </row>
    <row r="904" spans="1:9" x14ac:dyDescent="0.25">
      <c r="A904" s="14">
        <v>2016</v>
      </c>
      <c r="B904" s="14">
        <v>167</v>
      </c>
      <c r="C904" s="15">
        <v>42536</v>
      </c>
      <c r="D904" s="16">
        <v>0.3354166666666667</v>
      </c>
      <c r="E904" s="14">
        <v>50</v>
      </c>
      <c r="F904" s="14">
        <v>3</v>
      </c>
      <c r="G904" s="17">
        <v>0.35330642257320244</v>
      </c>
      <c r="H904" s="1" t="s">
        <v>143</v>
      </c>
      <c r="I904" s="14"/>
    </row>
    <row r="905" spans="1:9" x14ac:dyDescent="0.25">
      <c r="A905" s="14">
        <v>2016</v>
      </c>
      <c r="B905" s="14">
        <v>167</v>
      </c>
      <c r="C905" s="15">
        <v>42536</v>
      </c>
      <c r="D905" s="16">
        <v>0.32847222222222222</v>
      </c>
      <c r="E905" s="14">
        <v>50</v>
      </c>
      <c r="F905" s="14">
        <v>4</v>
      </c>
      <c r="G905" s="17">
        <v>0.34870386378278367</v>
      </c>
      <c r="H905" s="1" t="s">
        <v>143</v>
      </c>
      <c r="I905" s="14"/>
    </row>
    <row r="906" spans="1:9" x14ac:dyDescent="0.25">
      <c r="A906" s="14">
        <v>2016</v>
      </c>
      <c r="B906" s="14">
        <v>167</v>
      </c>
      <c r="C906" s="15">
        <v>42536</v>
      </c>
      <c r="D906" s="16">
        <v>0.35625000000000001</v>
      </c>
      <c r="E906" s="14">
        <v>50</v>
      </c>
      <c r="F906" s="14">
        <v>5</v>
      </c>
      <c r="G906" s="17">
        <v>0.35110818553897255</v>
      </c>
      <c r="H906" s="1" t="s">
        <v>0</v>
      </c>
      <c r="I906" s="14"/>
    </row>
    <row r="907" spans="1:9" x14ac:dyDescent="0.25">
      <c r="A907" s="14">
        <v>2016</v>
      </c>
      <c r="B907" s="14">
        <v>167</v>
      </c>
      <c r="C907" s="15">
        <v>42536</v>
      </c>
      <c r="D907" s="16">
        <v>0.3611111111111111</v>
      </c>
      <c r="E907" s="14">
        <v>50</v>
      </c>
      <c r="F907" s="14">
        <v>6</v>
      </c>
      <c r="G907" s="17">
        <v>0.35190962612436882</v>
      </c>
      <c r="H907" s="1" t="s">
        <v>0</v>
      </c>
      <c r="I907" s="14"/>
    </row>
    <row r="908" spans="1:9" x14ac:dyDescent="0.25">
      <c r="A908" s="14">
        <v>2016</v>
      </c>
      <c r="B908" s="14">
        <v>167</v>
      </c>
      <c r="C908" s="15">
        <v>42536</v>
      </c>
      <c r="D908" s="16">
        <v>0.3611111111111111</v>
      </c>
      <c r="E908" s="14">
        <v>50</v>
      </c>
      <c r="F908" s="14">
        <v>7</v>
      </c>
      <c r="G908" s="17">
        <v>0.35406206655371891</v>
      </c>
      <c r="H908" s="1" t="s">
        <v>143</v>
      </c>
      <c r="I908" s="14"/>
    </row>
    <row r="909" spans="1:9" x14ac:dyDescent="0.25">
      <c r="A909" s="14">
        <v>2016</v>
      </c>
      <c r="B909" s="14">
        <v>167</v>
      </c>
      <c r="C909" s="15">
        <v>42536</v>
      </c>
      <c r="D909" s="16">
        <v>0.38611111111111113</v>
      </c>
      <c r="E909" s="14">
        <v>50</v>
      </c>
      <c r="F909" s="14">
        <v>8</v>
      </c>
      <c r="G909" s="17">
        <v>0.34975718569501885</v>
      </c>
      <c r="H909" s="1" t="s">
        <v>143</v>
      </c>
      <c r="I909" s="14"/>
    </row>
    <row r="910" spans="1:9" x14ac:dyDescent="0.25">
      <c r="A910" s="14">
        <v>2016</v>
      </c>
      <c r="B910" s="14">
        <v>167</v>
      </c>
      <c r="C910" s="15">
        <v>42536</v>
      </c>
      <c r="D910" s="16">
        <v>0.37986111111111115</v>
      </c>
      <c r="E910" s="14">
        <v>50</v>
      </c>
      <c r="F910" s="14">
        <v>9</v>
      </c>
      <c r="G910" s="17">
        <v>0.35273396501220505</v>
      </c>
      <c r="H910" s="1" t="s">
        <v>143</v>
      </c>
      <c r="I910" s="14"/>
    </row>
    <row r="911" spans="1:9" x14ac:dyDescent="0.25">
      <c r="A911" s="14">
        <v>2016</v>
      </c>
      <c r="B911" s="14">
        <v>167</v>
      </c>
      <c r="C911" s="15">
        <v>42536</v>
      </c>
      <c r="D911" s="16">
        <v>0.37291666666666662</v>
      </c>
      <c r="E911" s="14">
        <v>50</v>
      </c>
      <c r="F911" s="14">
        <v>10</v>
      </c>
      <c r="G911" s="17">
        <v>0.35857303213437813</v>
      </c>
      <c r="H911" s="1" t="s">
        <v>143</v>
      </c>
      <c r="I911" s="14"/>
    </row>
    <row r="912" spans="1:9" x14ac:dyDescent="0.25">
      <c r="A912" s="14">
        <v>2016</v>
      </c>
      <c r="B912" s="14">
        <v>167</v>
      </c>
      <c r="C912" s="15">
        <v>42536</v>
      </c>
      <c r="D912" s="16">
        <v>0.48680555555555555</v>
      </c>
      <c r="E912" s="14">
        <v>50</v>
      </c>
      <c r="F912" s="14">
        <v>11</v>
      </c>
      <c r="G912" s="17">
        <v>0.35106238893409281</v>
      </c>
      <c r="H912" s="1" t="s">
        <v>144</v>
      </c>
      <c r="I912" s="14"/>
    </row>
    <row r="913" spans="1:9" x14ac:dyDescent="0.25">
      <c r="A913" s="14">
        <v>2016</v>
      </c>
      <c r="B913" s="14">
        <v>167</v>
      </c>
      <c r="C913" s="15">
        <v>42536</v>
      </c>
      <c r="D913" s="16">
        <v>0.49444444444444446</v>
      </c>
      <c r="E913" s="14">
        <v>50</v>
      </c>
      <c r="F913" s="14">
        <v>12</v>
      </c>
      <c r="G913" s="17">
        <v>0.35245918538292631</v>
      </c>
      <c r="H913" s="1" t="s">
        <v>144</v>
      </c>
      <c r="I913" s="14"/>
    </row>
    <row r="914" spans="1:9" x14ac:dyDescent="0.25">
      <c r="A914" s="14">
        <v>2016</v>
      </c>
      <c r="B914" s="14">
        <v>167</v>
      </c>
      <c r="C914" s="15">
        <v>42536</v>
      </c>
      <c r="D914" s="16">
        <v>0.50069444444444444</v>
      </c>
      <c r="E914" s="14">
        <v>50</v>
      </c>
      <c r="F914" s="14">
        <v>13</v>
      </c>
      <c r="G914" s="17">
        <v>0.31428771521562249</v>
      </c>
      <c r="H914" s="1" t="s">
        <v>144</v>
      </c>
      <c r="I914" s="14"/>
    </row>
    <row r="915" spans="1:9" x14ac:dyDescent="0.25">
      <c r="A915" s="14">
        <v>2016</v>
      </c>
      <c r="B915" s="14">
        <v>167</v>
      </c>
      <c r="C915" s="15">
        <v>42536</v>
      </c>
      <c r="D915" s="16">
        <v>0.50763888888888886</v>
      </c>
      <c r="E915" s="14">
        <v>50</v>
      </c>
      <c r="F915" s="14">
        <v>14</v>
      </c>
      <c r="G915" s="17">
        <v>0.30650229238605842</v>
      </c>
      <c r="H915" s="1" t="s">
        <v>144</v>
      </c>
      <c r="I915" s="14"/>
    </row>
    <row r="916" spans="1:9" x14ac:dyDescent="0.25">
      <c r="A916" s="14">
        <v>2016</v>
      </c>
      <c r="B916" s="14">
        <v>167</v>
      </c>
      <c r="C916" s="15">
        <v>42536</v>
      </c>
      <c r="D916" s="16">
        <v>0.43055555555555558</v>
      </c>
      <c r="E916" s="14">
        <v>50</v>
      </c>
      <c r="F916" s="14">
        <v>15</v>
      </c>
      <c r="G916" s="17">
        <v>0.33572052629936355</v>
      </c>
      <c r="H916" s="1" t="s">
        <v>1</v>
      </c>
      <c r="I916" s="14"/>
    </row>
    <row r="917" spans="1:9" x14ac:dyDescent="0.25">
      <c r="A917" s="14">
        <v>2016</v>
      </c>
      <c r="B917" s="14">
        <v>167</v>
      </c>
      <c r="C917" s="15">
        <v>42536</v>
      </c>
      <c r="D917" s="16">
        <v>0.51458333333333328</v>
      </c>
      <c r="E917" s="14">
        <v>50</v>
      </c>
      <c r="F917" s="14">
        <v>16</v>
      </c>
      <c r="G917" s="17">
        <v>0.34259001703133185</v>
      </c>
      <c r="H917" s="1" t="s">
        <v>1</v>
      </c>
      <c r="I917" s="14"/>
    </row>
    <row r="918" spans="1:9" x14ac:dyDescent="0.25">
      <c r="A918" s="14">
        <v>2016</v>
      </c>
      <c r="B918" s="14">
        <v>167</v>
      </c>
      <c r="C918" s="15">
        <v>42536</v>
      </c>
      <c r="D918" s="16">
        <v>0.52083333333333337</v>
      </c>
      <c r="E918" s="14">
        <v>50</v>
      </c>
      <c r="F918" s="14">
        <v>17</v>
      </c>
      <c r="G918" s="17">
        <v>0.36594628552002412</v>
      </c>
      <c r="H918" s="1" t="s">
        <v>144</v>
      </c>
      <c r="I918" s="14"/>
    </row>
    <row r="919" spans="1:9" x14ac:dyDescent="0.25">
      <c r="A919" s="14">
        <v>2016</v>
      </c>
      <c r="B919" s="14">
        <v>167</v>
      </c>
      <c r="C919" s="15">
        <v>42536</v>
      </c>
      <c r="D919" s="16">
        <v>0.52152777777777781</v>
      </c>
      <c r="E919" s="14">
        <v>50</v>
      </c>
      <c r="F919" s="14">
        <v>18</v>
      </c>
      <c r="G919" s="17">
        <v>0.34845198245594478</v>
      </c>
      <c r="H919" s="1" t="s">
        <v>144</v>
      </c>
      <c r="I919" s="14"/>
    </row>
    <row r="920" spans="1:9" x14ac:dyDescent="0.25">
      <c r="A920" s="14">
        <v>2016</v>
      </c>
      <c r="B920" s="14">
        <v>167</v>
      </c>
      <c r="C920" s="15">
        <v>42536</v>
      </c>
      <c r="D920" s="16">
        <v>0.52847222222222223</v>
      </c>
      <c r="E920" s="14">
        <v>50</v>
      </c>
      <c r="F920" s="14">
        <v>19</v>
      </c>
      <c r="G920" s="17">
        <v>0.35481771053423544</v>
      </c>
      <c r="H920" s="1" t="s">
        <v>144</v>
      </c>
      <c r="I920" s="14"/>
    </row>
    <row r="921" spans="1:9" x14ac:dyDescent="0.25">
      <c r="A921" s="14">
        <v>2016</v>
      </c>
      <c r="B921" s="14">
        <v>167</v>
      </c>
      <c r="C921" s="15">
        <v>42536</v>
      </c>
      <c r="D921" s="16">
        <v>0.53541666666666665</v>
      </c>
      <c r="E921" s="14">
        <v>50</v>
      </c>
      <c r="F921" s="14">
        <v>20</v>
      </c>
      <c r="G921" s="17">
        <v>0.3531232361536833</v>
      </c>
      <c r="H921" s="1" t="s">
        <v>144</v>
      </c>
      <c r="I921" s="14"/>
    </row>
    <row r="922" spans="1:9" x14ac:dyDescent="0.25">
      <c r="A922" s="14">
        <v>2016</v>
      </c>
      <c r="B922" s="14">
        <v>167</v>
      </c>
      <c r="C922" s="15">
        <v>42536</v>
      </c>
      <c r="D922" s="16">
        <v>0.34861111111111115</v>
      </c>
      <c r="E922" s="14">
        <v>30</v>
      </c>
      <c r="F922" s="14">
        <v>1</v>
      </c>
      <c r="G922" s="17">
        <v>0.32429427338185629</v>
      </c>
      <c r="H922" s="1" t="s">
        <v>143</v>
      </c>
      <c r="I922" s="14"/>
    </row>
    <row r="923" spans="1:9" x14ac:dyDescent="0.25">
      <c r="A923" s="14">
        <v>2016</v>
      </c>
      <c r="B923" s="14">
        <v>167</v>
      </c>
      <c r="C923" s="15">
        <v>42536</v>
      </c>
      <c r="D923" s="16">
        <v>0.34166666666666662</v>
      </c>
      <c r="E923" s="14">
        <v>30</v>
      </c>
      <c r="F923" s="14">
        <v>2</v>
      </c>
      <c r="G923" s="17">
        <v>0.33379706889441241</v>
      </c>
      <c r="H923" s="1" t="s">
        <v>143</v>
      </c>
      <c r="I923" s="14"/>
    </row>
    <row r="924" spans="1:9" x14ac:dyDescent="0.25">
      <c r="A924" s="14">
        <v>2016</v>
      </c>
      <c r="B924" s="14">
        <v>167</v>
      </c>
      <c r="C924" s="15">
        <v>42536</v>
      </c>
      <c r="D924" s="16">
        <v>0.3354166666666667</v>
      </c>
      <c r="E924" s="14">
        <v>30</v>
      </c>
      <c r="F924" s="14">
        <v>3</v>
      </c>
      <c r="G924" s="17">
        <v>0.31918795193775984</v>
      </c>
      <c r="H924" s="1" t="s">
        <v>143</v>
      </c>
      <c r="I924" s="14"/>
    </row>
    <row r="925" spans="1:9" x14ac:dyDescent="0.25">
      <c r="A925" s="14">
        <v>2016</v>
      </c>
      <c r="B925" s="14">
        <v>167</v>
      </c>
      <c r="C925" s="15">
        <v>42536</v>
      </c>
      <c r="D925" s="16">
        <v>0.32847222222222222</v>
      </c>
      <c r="E925" s="14">
        <v>30</v>
      </c>
      <c r="F925" s="14">
        <v>4</v>
      </c>
      <c r="G925" s="17">
        <v>0.31664624036693162</v>
      </c>
      <c r="H925" s="1" t="s">
        <v>143</v>
      </c>
      <c r="I925" s="14"/>
    </row>
    <row r="926" spans="1:9" x14ac:dyDescent="0.25">
      <c r="A926" s="14">
        <v>2016</v>
      </c>
      <c r="B926" s="14">
        <v>167</v>
      </c>
      <c r="C926" s="15">
        <v>42536</v>
      </c>
      <c r="D926" s="16">
        <v>0.35625000000000001</v>
      </c>
      <c r="E926" s="14">
        <v>30</v>
      </c>
      <c r="F926" s="14">
        <v>5</v>
      </c>
      <c r="G926" s="17">
        <v>0.33143854374310333</v>
      </c>
      <c r="H926" s="1" t="s">
        <v>0</v>
      </c>
      <c r="I926" s="14"/>
    </row>
    <row r="927" spans="1:9" x14ac:dyDescent="0.25">
      <c r="A927" s="14">
        <v>2016</v>
      </c>
      <c r="B927" s="14">
        <v>167</v>
      </c>
      <c r="C927" s="15">
        <v>42536</v>
      </c>
      <c r="D927" s="16">
        <v>0.3611111111111111</v>
      </c>
      <c r="E927" s="14">
        <v>30</v>
      </c>
      <c r="F927" s="14">
        <v>6</v>
      </c>
      <c r="G927" s="17">
        <v>0.33171332337238207</v>
      </c>
      <c r="H927" s="1" t="s">
        <v>0</v>
      </c>
      <c r="I927" s="14"/>
    </row>
    <row r="928" spans="1:9" x14ac:dyDescent="0.25">
      <c r="A928" s="14">
        <v>2016</v>
      </c>
      <c r="B928" s="14">
        <v>167</v>
      </c>
      <c r="C928" s="15">
        <v>42536</v>
      </c>
      <c r="D928" s="16">
        <v>0.3611111111111111</v>
      </c>
      <c r="E928" s="14">
        <v>30</v>
      </c>
      <c r="F928" s="14">
        <v>7</v>
      </c>
      <c r="G928" s="17">
        <v>0.30657098729337812</v>
      </c>
      <c r="H928" s="1" t="s">
        <v>143</v>
      </c>
      <c r="I928" s="14"/>
    </row>
    <row r="929" spans="1:9" x14ac:dyDescent="0.25">
      <c r="A929" s="14">
        <v>2016</v>
      </c>
      <c r="B929" s="14">
        <v>167</v>
      </c>
      <c r="C929" s="15">
        <v>42536</v>
      </c>
      <c r="D929" s="16">
        <v>0.38611111111111113</v>
      </c>
      <c r="E929" s="14">
        <v>30</v>
      </c>
      <c r="F929" s="14">
        <v>8</v>
      </c>
      <c r="G929" s="17">
        <v>0.32637801890388668</v>
      </c>
      <c r="H929" s="1" t="s">
        <v>143</v>
      </c>
      <c r="I929" s="14"/>
    </row>
    <row r="930" spans="1:9" x14ac:dyDescent="0.25">
      <c r="A930" s="14">
        <v>2016</v>
      </c>
      <c r="B930" s="14">
        <v>167</v>
      </c>
      <c r="C930" s="15">
        <v>42536</v>
      </c>
      <c r="D930" s="16">
        <v>0.37986111111111115</v>
      </c>
      <c r="E930" s="14">
        <v>30</v>
      </c>
      <c r="F930" s="14">
        <v>9</v>
      </c>
      <c r="G930" s="17">
        <v>0.31868418928408221</v>
      </c>
      <c r="H930" s="1" t="s">
        <v>143</v>
      </c>
      <c r="I930" s="14"/>
    </row>
    <row r="931" spans="1:9" x14ac:dyDescent="0.25">
      <c r="A931" s="14">
        <v>2016</v>
      </c>
      <c r="B931" s="14">
        <v>167</v>
      </c>
      <c r="C931" s="15">
        <v>42536</v>
      </c>
      <c r="D931" s="16">
        <v>0.37291666666666662</v>
      </c>
      <c r="E931" s="14">
        <v>30</v>
      </c>
      <c r="F931" s="14">
        <v>10</v>
      </c>
      <c r="G931" s="17">
        <v>0.33473589929444808</v>
      </c>
      <c r="H931" s="1" t="s">
        <v>143</v>
      </c>
      <c r="I931" s="14"/>
    </row>
    <row r="932" spans="1:9" x14ac:dyDescent="0.25">
      <c r="A932" s="14">
        <v>2016</v>
      </c>
      <c r="B932" s="14">
        <v>167</v>
      </c>
      <c r="C932" s="15">
        <v>42536</v>
      </c>
      <c r="D932" s="16">
        <v>0.48680555555555555</v>
      </c>
      <c r="E932" s="14">
        <v>30</v>
      </c>
      <c r="F932" s="14">
        <v>11</v>
      </c>
      <c r="G932" s="17">
        <v>0.31330308821070701</v>
      </c>
      <c r="H932" s="1" t="s">
        <v>144</v>
      </c>
      <c r="I932" s="14"/>
    </row>
    <row r="933" spans="1:9" x14ac:dyDescent="0.25">
      <c r="A933" s="14">
        <v>2016</v>
      </c>
      <c r="B933" s="14">
        <v>167</v>
      </c>
      <c r="C933" s="15">
        <v>42536</v>
      </c>
      <c r="D933" s="16">
        <v>0.49444444444444446</v>
      </c>
      <c r="E933" s="14">
        <v>30</v>
      </c>
      <c r="F933" s="14">
        <v>12</v>
      </c>
      <c r="G933" s="17">
        <v>0.27171977097985889</v>
      </c>
      <c r="H933" s="1" t="s">
        <v>144</v>
      </c>
      <c r="I933" s="14"/>
    </row>
    <row r="934" spans="1:9" x14ac:dyDescent="0.25">
      <c r="A934" s="14">
        <v>2016</v>
      </c>
      <c r="B934" s="14">
        <v>167</v>
      </c>
      <c r="C934" s="15">
        <v>42536</v>
      </c>
      <c r="D934" s="16">
        <v>0.50069444444444444</v>
      </c>
      <c r="E934" s="14">
        <v>30</v>
      </c>
      <c r="F934" s="14">
        <v>13</v>
      </c>
      <c r="G934" s="17">
        <v>0.21440531997280338</v>
      </c>
      <c r="H934" s="1" t="s">
        <v>144</v>
      </c>
      <c r="I934" s="14"/>
    </row>
    <row r="935" spans="1:9" x14ac:dyDescent="0.25">
      <c r="A935" s="14">
        <v>2016</v>
      </c>
      <c r="B935" s="14">
        <v>167</v>
      </c>
      <c r="C935" s="15">
        <v>42536</v>
      </c>
      <c r="D935" s="16">
        <v>0.50763888888888886</v>
      </c>
      <c r="E935" s="14">
        <v>30</v>
      </c>
      <c r="F935" s="14">
        <v>14</v>
      </c>
      <c r="G935" s="17">
        <v>0.18756850951324722</v>
      </c>
      <c r="H935" s="1" t="s">
        <v>144</v>
      </c>
      <c r="I935" s="14"/>
    </row>
    <row r="936" spans="1:9" x14ac:dyDescent="0.25">
      <c r="A936" s="14">
        <v>2016</v>
      </c>
      <c r="B936" s="14">
        <v>167</v>
      </c>
      <c r="C936" s="15">
        <v>42536</v>
      </c>
      <c r="D936" s="16">
        <v>0.43055555555555558</v>
      </c>
      <c r="E936" s="14">
        <v>30</v>
      </c>
      <c r="F936" s="14">
        <v>15</v>
      </c>
      <c r="G936" s="17">
        <v>0.31863839267920235</v>
      </c>
      <c r="H936" s="1" t="s">
        <v>1</v>
      </c>
      <c r="I936" s="14"/>
    </row>
    <row r="937" spans="1:9" x14ac:dyDescent="0.25">
      <c r="A937" s="14">
        <v>2016</v>
      </c>
      <c r="B937" s="14">
        <v>167</v>
      </c>
      <c r="C937" s="15">
        <v>42536</v>
      </c>
      <c r="D937" s="16">
        <v>0.51458333333333328</v>
      </c>
      <c r="E937" s="14">
        <v>30</v>
      </c>
      <c r="F937" s="14">
        <v>16</v>
      </c>
      <c r="G937" s="17">
        <v>0.32248530748910464</v>
      </c>
      <c r="H937" s="1" t="s">
        <v>1</v>
      </c>
      <c r="I937" s="14"/>
    </row>
    <row r="938" spans="1:9" x14ac:dyDescent="0.25">
      <c r="A938" s="14">
        <v>2016</v>
      </c>
      <c r="B938" s="14">
        <v>167</v>
      </c>
      <c r="C938" s="15">
        <v>42536</v>
      </c>
      <c r="D938" s="16">
        <v>0.52083333333333337</v>
      </c>
      <c r="E938" s="14">
        <v>30</v>
      </c>
      <c r="F938" s="14">
        <v>17</v>
      </c>
      <c r="G938" s="17">
        <v>0.32690467986000427</v>
      </c>
      <c r="H938" s="1" t="s">
        <v>144</v>
      </c>
      <c r="I938" s="14"/>
    </row>
    <row r="939" spans="1:9" x14ac:dyDescent="0.25">
      <c r="A939" s="14">
        <v>2016</v>
      </c>
      <c r="B939" s="14">
        <v>167</v>
      </c>
      <c r="C939" s="15">
        <v>42536</v>
      </c>
      <c r="D939" s="16">
        <v>0.52152777777777781</v>
      </c>
      <c r="E939" s="14">
        <v>30</v>
      </c>
      <c r="F939" s="14">
        <v>18</v>
      </c>
      <c r="G939" s="17">
        <v>0.29306098885384047</v>
      </c>
      <c r="H939" s="1" t="s">
        <v>144</v>
      </c>
      <c r="I939" s="14"/>
    </row>
    <row r="940" spans="1:9" x14ac:dyDescent="0.25">
      <c r="A940" s="14">
        <v>2016</v>
      </c>
      <c r="B940" s="14">
        <v>167</v>
      </c>
      <c r="C940" s="15">
        <v>42536</v>
      </c>
      <c r="D940" s="16">
        <v>0.52847222222222223</v>
      </c>
      <c r="E940" s="14">
        <v>30</v>
      </c>
      <c r="F940" s="14">
        <v>19</v>
      </c>
      <c r="G940" s="17">
        <v>0.31666913866937152</v>
      </c>
      <c r="H940" s="1" t="s">
        <v>144</v>
      </c>
      <c r="I940" s="14"/>
    </row>
    <row r="941" spans="1:9" x14ac:dyDescent="0.25">
      <c r="A941" s="14">
        <v>2016</v>
      </c>
      <c r="B941" s="14">
        <v>167</v>
      </c>
      <c r="C941" s="15">
        <v>42536</v>
      </c>
      <c r="D941" s="16">
        <v>0.53541666666666665</v>
      </c>
      <c r="E941" s="14">
        <v>30</v>
      </c>
      <c r="F941" s="14">
        <v>20</v>
      </c>
      <c r="G941" s="17">
        <v>0.27852056680450749</v>
      </c>
      <c r="H941" s="1" t="s">
        <v>144</v>
      </c>
      <c r="I941" s="14"/>
    </row>
    <row r="942" spans="1:9" x14ac:dyDescent="0.25">
      <c r="A942" s="14">
        <v>2016</v>
      </c>
      <c r="B942" s="14">
        <v>167</v>
      </c>
      <c r="C942" s="15">
        <v>42536</v>
      </c>
      <c r="D942" s="16">
        <v>0.34861111111111115</v>
      </c>
      <c r="E942" s="14">
        <v>10</v>
      </c>
      <c r="F942" s="14">
        <v>1</v>
      </c>
      <c r="G942" s="17">
        <v>0.23742713048809033</v>
      </c>
      <c r="H942" s="1" t="s">
        <v>143</v>
      </c>
      <c r="I942" s="14"/>
    </row>
    <row r="943" spans="1:9" x14ac:dyDescent="0.25">
      <c r="A943" s="14">
        <v>2016</v>
      </c>
      <c r="B943" s="14">
        <v>167</v>
      </c>
      <c r="C943" s="15">
        <v>42536</v>
      </c>
      <c r="D943" s="16">
        <v>0.34166666666666662</v>
      </c>
      <c r="E943" s="14">
        <v>10</v>
      </c>
      <c r="F943" s="14">
        <v>2</v>
      </c>
      <c r="G943" s="17">
        <v>0.24063042677530461</v>
      </c>
      <c r="H943" s="1" t="s">
        <v>143</v>
      </c>
      <c r="I943" s="14"/>
    </row>
    <row r="944" spans="1:9" x14ac:dyDescent="0.25">
      <c r="A944" s="14">
        <v>2016</v>
      </c>
      <c r="B944" s="14">
        <v>167</v>
      </c>
      <c r="C944" s="15">
        <v>42536</v>
      </c>
      <c r="D944" s="16">
        <v>0.3354166666666667</v>
      </c>
      <c r="E944" s="14">
        <v>10</v>
      </c>
      <c r="F944" s="14">
        <v>3</v>
      </c>
      <c r="G944" s="17">
        <v>0.23957544895616217</v>
      </c>
      <c r="H944" s="1" t="s">
        <v>143</v>
      </c>
      <c r="I944" s="14"/>
    </row>
    <row r="945" spans="1:9" x14ac:dyDescent="0.25">
      <c r="A945" s="14">
        <v>2016</v>
      </c>
      <c r="B945" s="14">
        <v>167</v>
      </c>
      <c r="C945" s="15">
        <v>42536</v>
      </c>
      <c r="D945" s="16">
        <v>0.32847222222222222</v>
      </c>
      <c r="E945" s="14">
        <v>10</v>
      </c>
      <c r="F945" s="14">
        <v>4</v>
      </c>
      <c r="G945" s="17">
        <v>0.23205633431791078</v>
      </c>
      <c r="H945" s="1" t="s">
        <v>143</v>
      </c>
      <c r="I945" s="14"/>
    </row>
    <row r="946" spans="1:9" x14ac:dyDescent="0.25">
      <c r="A946" s="14">
        <v>2016</v>
      </c>
      <c r="B946" s="14">
        <v>167</v>
      </c>
      <c r="C946" s="15">
        <v>42536</v>
      </c>
      <c r="D946" s="16">
        <v>0.35625000000000001</v>
      </c>
      <c r="E946" s="14">
        <v>10</v>
      </c>
      <c r="F946" s="14">
        <v>5</v>
      </c>
      <c r="G946" s="17">
        <v>0.23873146670084827</v>
      </c>
      <c r="H946" s="1" t="s">
        <v>0</v>
      </c>
      <c r="I946" s="14"/>
    </row>
    <row r="947" spans="1:9" x14ac:dyDescent="0.25">
      <c r="A947" s="14">
        <v>2016</v>
      </c>
      <c r="B947" s="14">
        <v>167</v>
      </c>
      <c r="C947" s="15">
        <v>42536</v>
      </c>
      <c r="D947" s="16">
        <v>0.3611111111111111</v>
      </c>
      <c r="E947" s="14">
        <v>10</v>
      </c>
      <c r="F947" s="14">
        <v>6</v>
      </c>
      <c r="G947" s="17">
        <v>0.22509348071157087</v>
      </c>
      <c r="H947" s="1" t="s">
        <v>0</v>
      </c>
      <c r="I947" s="14"/>
    </row>
    <row r="948" spans="1:9" x14ac:dyDescent="0.25">
      <c r="A948" s="14">
        <v>2016</v>
      </c>
      <c r="B948" s="14">
        <v>167</v>
      </c>
      <c r="C948" s="15">
        <v>42536</v>
      </c>
      <c r="D948" s="16">
        <v>0.3611111111111111</v>
      </c>
      <c r="E948" s="14">
        <v>10</v>
      </c>
      <c r="F948" s="14">
        <v>7</v>
      </c>
      <c r="G948" s="17">
        <v>0.23222896705195223</v>
      </c>
      <c r="H948" s="1" t="s">
        <v>143</v>
      </c>
      <c r="I948" s="14"/>
    </row>
    <row r="949" spans="1:9" x14ac:dyDescent="0.25">
      <c r="A949" s="14">
        <v>2016</v>
      </c>
      <c r="B949" s="14">
        <v>167</v>
      </c>
      <c r="C949" s="15">
        <v>42536</v>
      </c>
      <c r="D949" s="16">
        <v>0.38611111111111113</v>
      </c>
      <c r="E949" s="14">
        <v>10</v>
      </c>
      <c r="F949" s="14">
        <v>8</v>
      </c>
      <c r="G949" s="17">
        <v>0.22240808262648104</v>
      </c>
      <c r="H949" s="1" t="s">
        <v>143</v>
      </c>
      <c r="I949" s="14"/>
    </row>
    <row r="950" spans="1:9" x14ac:dyDescent="0.25">
      <c r="A950" s="14">
        <v>2016</v>
      </c>
      <c r="B950" s="14">
        <v>167</v>
      </c>
      <c r="C950" s="15">
        <v>42536</v>
      </c>
      <c r="D950" s="16">
        <v>0.37986111111111115</v>
      </c>
      <c r="E950" s="14">
        <v>10</v>
      </c>
      <c r="F950" s="14">
        <v>9</v>
      </c>
      <c r="G950" s="17">
        <v>0.22937093623282095</v>
      </c>
      <c r="H950" s="1" t="s">
        <v>143</v>
      </c>
      <c r="I950" s="14"/>
    </row>
    <row r="951" spans="1:9" x14ac:dyDescent="0.25">
      <c r="A951" s="14">
        <v>2016</v>
      </c>
      <c r="B951" s="14">
        <v>167</v>
      </c>
      <c r="C951" s="15">
        <v>42536</v>
      </c>
      <c r="D951" s="16">
        <v>0.37291666666666662</v>
      </c>
      <c r="E951" s="14">
        <v>10</v>
      </c>
      <c r="F951" s="14">
        <v>10</v>
      </c>
      <c r="G951" s="17">
        <v>0.25587965161563581</v>
      </c>
      <c r="H951" s="1" t="s">
        <v>143</v>
      </c>
      <c r="I951" s="14"/>
    </row>
    <row r="952" spans="1:9" x14ac:dyDescent="0.25">
      <c r="A952" s="14">
        <v>2016</v>
      </c>
      <c r="B952" s="14">
        <v>167</v>
      </c>
      <c r="C952" s="15">
        <v>42536</v>
      </c>
      <c r="D952" s="16">
        <v>0.48680555555555555</v>
      </c>
      <c r="E952" s="14">
        <v>10</v>
      </c>
      <c r="F952" s="14">
        <v>11</v>
      </c>
      <c r="G952" s="17">
        <v>0.22854613539240054</v>
      </c>
      <c r="H952" s="1" t="s">
        <v>144</v>
      </c>
      <c r="I952" s="14"/>
    </row>
    <row r="953" spans="1:9" x14ac:dyDescent="0.25">
      <c r="A953" s="14">
        <v>2016</v>
      </c>
      <c r="B953" s="14">
        <v>167</v>
      </c>
      <c r="C953" s="15">
        <v>42536</v>
      </c>
      <c r="D953" s="16">
        <v>0.49444444444444446</v>
      </c>
      <c r="E953" s="14">
        <v>10</v>
      </c>
      <c r="F953" s="14">
        <v>12</v>
      </c>
      <c r="G953" s="17">
        <v>0.18151330607354238</v>
      </c>
      <c r="H953" s="1" t="s">
        <v>144</v>
      </c>
      <c r="I953" s="14"/>
    </row>
    <row r="954" spans="1:9" x14ac:dyDescent="0.25">
      <c r="A954" s="14">
        <v>2016</v>
      </c>
      <c r="B954" s="14">
        <v>167</v>
      </c>
      <c r="C954" s="15">
        <v>42536</v>
      </c>
      <c r="D954" s="16">
        <v>0.50069444444444444</v>
      </c>
      <c r="E954" s="14">
        <v>10</v>
      </c>
      <c r="F954" s="14">
        <v>13</v>
      </c>
      <c r="G954" s="17">
        <v>0.20476118092446249</v>
      </c>
      <c r="H954" s="1" t="s">
        <v>144</v>
      </c>
      <c r="I954" s="14"/>
    </row>
    <row r="955" spans="1:9" x14ac:dyDescent="0.25">
      <c r="A955" s="14">
        <v>2016</v>
      </c>
      <c r="B955" s="14">
        <v>167</v>
      </c>
      <c r="C955" s="15">
        <v>42536</v>
      </c>
      <c r="D955" s="16">
        <v>0.50763888888888886</v>
      </c>
      <c r="E955" s="14">
        <v>10</v>
      </c>
      <c r="F955" s="14">
        <v>14</v>
      </c>
      <c r="G955" s="17">
        <v>0.18784317298839687</v>
      </c>
      <c r="H955" s="1" t="s">
        <v>144</v>
      </c>
      <c r="I955" s="14"/>
    </row>
    <row r="956" spans="1:9" x14ac:dyDescent="0.25">
      <c r="A956" s="14">
        <v>2016</v>
      </c>
      <c r="B956" s="14">
        <v>167</v>
      </c>
      <c r="C956" s="15">
        <v>42536</v>
      </c>
      <c r="D956" s="16">
        <v>0.43055555555555558</v>
      </c>
      <c r="E956" s="14">
        <v>10</v>
      </c>
      <c r="F956" s="14">
        <v>15</v>
      </c>
      <c r="G956" s="17">
        <v>0.22670471956262472</v>
      </c>
      <c r="H956" s="1" t="s">
        <v>1</v>
      </c>
      <c r="I956" s="14"/>
    </row>
    <row r="957" spans="1:9" x14ac:dyDescent="0.25">
      <c r="A957" s="14">
        <v>2016</v>
      </c>
      <c r="B957" s="14">
        <v>167</v>
      </c>
      <c r="C957" s="15">
        <v>42536</v>
      </c>
      <c r="D957" s="16">
        <v>0.51458333333333328</v>
      </c>
      <c r="E957" s="14">
        <v>10</v>
      </c>
      <c r="F957" s="14">
        <v>16</v>
      </c>
      <c r="G957" s="17">
        <v>0.20572025166913738</v>
      </c>
      <c r="H957" s="1" t="s">
        <v>1</v>
      </c>
      <c r="I957" s="14"/>
    </row>
    <row r="958" spans="1:9" x14ac:dyDescent="0.25">
      <c r="A958" s="14">
        <v>2016</v>
      </c>
      <c r="B958" s="14">
        <v>167</v>
      </c>
      <c r="C958" s="15">
        <v>42536</v>
      </c>
      <c r="D958" s="16">
        <v>0.52083333333333337</v>
      </c>
      <c r="E958" s="14">
        <v>10</v>
      </c>
      <c r="F958" s="14">
        <v>17</v>
      </c>
      <c r="G958" s="17">
        <v>0.23299622364769218</v>
      </c>
      <c r="H958" s="1" t="s">
        <v>144</v>
      </c>
      <c r="I958" s="14"/>
    </row>
    <row r="959" spans="1:9" x14ac:dyDescent="0.25">
      <c r="A959" s="14">
        <v>2016</v>
      </c>
      <c r="B959" s="14">
        <v>167</v>
      </c>
      <c r="C959" s="15">
        <v>42536</v>
      </c>
      <c r="D959" s="16">
        <v>0.52152777777777781</v>
      </c>
      <c r="E959" s="14">
        <v>10</v>
      </c>
      <c r="F959" s="14">
        <v>18</v>
      </c>
      <c r="G959" s="17">
        <v>0.19883412372237147</v>
      </c>
      <c r="H959" s="1" t="s">
        <v>144</v>
      </c>
      <c r="I959" s="14"/>
    </row>
    <row r="960" spans="1:9" x14ac:dyDescent="0.25">
      <c r="A960" s="14">
        <v>2016</v>
      </c>
      <c r="B960" s="14">
        <v>167</v>
      </c>
      <c r="C960" s="15">
        <v>42536</v>
      </c>
      <c r="D960" s="16">
        <v>0.52847222222222223</v>
      </c>
      <c r="E960" s="14">
        <v>10</v>
      </c>
      <c r="F960" s="14">
        <v>19</v>
      </c>
      <c r="G960" s="17">
        <v>0.2350102722115095</v>
      </c>
      <c r="H960" s="1" t="s">
        <v>144</v>
      </c>
      <c r="I960" s="14"/>
    </row>
    <row r="961" spans="1:9" x14ac:dyDescent="0.25">
      <c r="A961" s="14">
        <v>2016</v>
      </c>
      <c r="B961" s="14">
        <v>167</v>
      </c>
      <c r="C961" s="15">
        <v>42536</v>
      </c>
      <c r="D961" s="16">
        <v>0.53541666666666665</v>
      </c>
      <c r="E961" s="14">
        <v>10</v>
      </c>
      <c r="F961" s="14">
        <v>20</v>
      </c>
      <c r="G961" s="17">
        <v>0.20077144662661484</v>
      </c>
      <c r="H961" s="1" t="s">
        <v>144</v>
      </c>
      <c r="I961" s="14"/>
    </row>
    <row r="962" spans="1:9" x14ac:dyDescent="0.25">
      <c r="A962" s="14">
        <v>2016</v>
      </c>
      <c r="B962" s="14">
        <v>173</v>
      </c>
      <c r="C962" s="15">
        <v>42542</v>
      </c>
      <c r="D962" s="16">
        <v>0.3034722222222222</v>
      </c>
      <c r="E962" s="14">
        <v>230</v>
      </c>
      <c r="F962" s="14">
        <v>1</v>
      </c>
      <c r="G962" s="17">
        <v>0.29855748007623978</v>
      </c>
      <c r="H962" s="1" t="s">
        <v>143</v>
      </c>
      <c r="I962" s="14"/>
    </row>
    <row r="963" spans="1:9" x14ac:dyDescent="0.25">
      <c r="A963" s="14">
        <v>2016</v>
      </c>
      <c r="B963" s="14">
        <v>173</v>
      </c>
      <c r="C963" s="15">
        <v>42542</v>
      </c>
      <c r="D963" s="16">
        <v>0.31041666666666667</v>
      </c>
      <c r="E963" s="14">
        <v>230</v>
      </c>
      <c r="F963" s="14">
        <v>2</v>
      </c>
      <c r="G963" s="17">
        <v>0.3025866326225799</v>
      </c>
      <c r="H963" s="1" t="s">
        <v>143</v>
      </c>
      <c r="I963" s="14"/>
    </row>
    <row r="964" spans="1:9" x14ac:dyDescent="0.25">
      <c r="A964" s="14">
        <v>2016</v>
      </c>
      <c r="B964" s="14">
        <v>173</v>
      </c>
      <c r="C964" s="15">
        <v>42542</v>
      </c>
      <c r="D964" s="16">
        <v>0.31736111111111115</v>
      </c>
      <c r="E964" s="14">
        <v>230</v>
      </c>
      <c r="F964" s="14">
        <v>3</v>
      </c>
      <c r="G964" s="17">
        <v>0.28831915041742373</v>
      </c>
      <c r="H964" s="1" t="s">
        <v>143</v>
      </c>
      <c r="I964" s="14"/>
    </row>
    <row r="965" spans="1:9" x14ac:dyDescent="0.25">
      <c r="A965" s="14">
        <v>2016</v>
      </c>
      <c r="B965" s="14">
        <v>173</v>
      </c>
      <c r="C965" s="15">
        <v>42542</v>
      </c>
      <c r="D965" s="16">
        <v>0.32361111111111113</v>
      </c>
      <c r="E965" s="14">
        <v>230</v>
      </c>
      <c r="F965" s="14">
        <v>4</v>
      </c>
      <c r="G965" s="17">
        <v>0.28512697158843925</v>
      </c>
      <c r="H965" s="1" t="s">
        <v>143</v>
      </c>
      <c r="I965" s="14"/>
    </row>
    <row r="966" spans="1:9" x14ac:dyDescent="0.25">
      <c r="A966" s="14">
        <v>2016</v>
      </c>
      <c r="B966" s="14">
        <v>173</v>
      </c>
      <c r="C966" s="15">
        <v>42542</v>
      </c>
      <c r="D966" s="16">
        <v>0.33055555555555555</v>
      </c>
      <c r="E966" s="14">
        <v>230</v>
      </c>
      <c r="F966" s="14">
        <v>5</v>
      </c>
      <c r="G966" s="17" t="e">
        <v>#N/A</v>
      </c>
      <c r="H966" s="1" t="s">
        <v>0</v>
      </c>
      <c r="I966" s="14"/>
    </row>
    <row r="967" spans="1:9" x14ac:dyDescent="0.25">
      <c r="A967" s="14">
        <v>2016</v>
      </c>
      <c r="B967" s="14">
        <v>173</v>
      </c>
      <c r="C967" s="15">
        <v>42542</v>
      </c>
      <c r="D967" s="16">
        <v>0.3354166666666667</v>
      </c>
      <c r="E967" s="14">
        <v>230</v>
      </c>
      <c r="F967" s="14">
        <v>6</v>
      </c>
      <c r="G967" s="17" t="e">
        <v>#N/A</v>
      </c>
      <c r="H967" s="1" t="s">
        <v>0</v>
      </c>
      <c r="I967" s="14"/>
    </row>
    <row r="968" spans="1:9" x14ac:dyDescent="0.25">
      <c r="A968" s="14">
        <v>2016</v>
      </c>
      <c r="B968" s="14">
        <v>173</v>
      </c>
      <c r="C968" s="15">
        <v>42542</v>
      </c>
      <c r="D968" s="16">
        <v>0.34097222222222223</v>
      </c>
      <c r="E968" s="14">
        <v>230</v>
      </c>
      <c r="F968" s="14">
        <v>7</v>
      </c>
      <c r="G968" s="17">
        <v>0.28356981118405655</v>
      </c>
      <c r="H968" s="1" t="s">
        <v>143</v>
      </c>
      <c r="I968" s="14"/>
    </row>
    <row r="969" spans="1:9" x14ac:dyDescent="0.25">
      <c r="A969" s="14">
        <v>2016</v>
      </c>
      <c r="B969" s="14">
        <v>173</v>
      </c>
      <c r="C969" s="15">
        <v>42542</v>
      </c>
      <c r="D969" s="16">
        <v>0.34722222222222227</v>
      </c>
      <c r="E969" s="14">
        <v>230</v>
      </c>
      <c r="F969" s="14">
        <v>8</v>
      </c>
      <c r="G969" s="17">
        <v>0.30782258448231664</v>
      </c>
      <c r="H969" s="1" t="s">
        <v>143</v>
      </c>
      <c r="I969" s="14"/>
    </row>
    <row r="970" spans="1:9" x14ac:dyDescent="0.25">
      <c r="A970" s="14">
        <v>2016</v>
      </c>
      <c r="B970" s="14">
        <v>173</v>
      </c>
      <c r="C970" s="15">
        <v>42542</v>
      </c>
      <c r="D970" s="16">
        <v>0.35416666666666669</v>
      </c>
      <c r="E970" s="14">
        <v>230</v>
      </c>
      <c r="F970" s="14">
        <v>9</v>
      </c>
      <c r="G970" s="17">
        <v>0.31068386672536979</v>
      </c>
      <c r="H970" s="1" t="s">
        <v>143</v>
      </c>
      <c r="I970" s="14"/>
    </row>
    <row r="971" spans="1:9" x14ac:dyDescent="0.25">
      <c r="A971" s="14">
        <v>2016</v>
      </c>
      <c r="B971" s="14">
        <v>173</v>
      </c>
      <c r="C971" s="15">
        <v>42542</v>
      </c>
      <c r="D971" s="16">
        <v>0.3611111111111111</v>
      </c>
      <c r="E971" s="14">
        <v>230</v>
      </c>
      <c r="F971" s="14">
        <v>10</v>
      </c>
      <c r="G971" s="17">
        <v>0.27562829312170495</v>
      </c>
      <c r="H971" s="1" t="s">
        <v>143</v>
      </c>
      <c r="I971" s="14"/>
    </row>
    <row r="972" spans="1:9" x14ac:dyDescent="0.25">
      <c r="A972" s="14">
        <v>2016</v>
      </c>
      <c r="B972" s="14">
        <v>173</v>
      </c>
      <c r="C972" s="15">
        <v>42542</v>
      </c>
      <c r="D972" s="16">
        <v>0.37222222222222223</v>
      </c>
      <c r="E972" s="14">
        <v>230</v>
      </c>
      <c r="F972" s="14">
        <v>11</v>
      </c>
      <c r="G972" s="17">
        <v>0.29672781660109016</v>
      </c>
      <c r="H972" s="1" t="s">
        <v>144</v>
      </c>
      <c r="I972" s="14"/>
    </row>
    <row r="973" spans="1:9" x14ac:dyDescent="0.25">
      <c r="A973" s="14">
        <v>2016</v>
      </c>
      <c r="B973" s="14">
        <v>173</v>
      </c>
      <c r="C973" s="15">
        <v>42542</v>
      </c>
      <c r="D973" s="16">
        <v>0.37847222222222227</v>
      </c>
      <c r="E973" s="14">
        <v>230</v>
      </c>
      <c r="F973" s="14">
        <v>12</v>
      </c>
      <c r="G973" s="17">
        <v>0.30219734252148428</v>
      </c>
      <c r="H973" s="1" t="s">
        <v>144</v>
      </c>
      <c r="I973" s="14"/>
    </row>
    <row r="974" spans="1:9" x14ac:dyDescent="0.25">
      <c r="A974" s="14">
        <v>2016</v>
      </c>
      <c r="B974" s="14">
        <v>173</v>
      </c>
      <c r="C974" s="15">
        <v>42542</v>
      </c>
      <c r="D974" s="16">
        <v>0.38472222222222219</v>
      </c>
      <c r="E974" s="14">
        <v>230</v>
      </c>
      <c r="F974" s="14">
        <v>13</v>
      </c>
      <c r="G974" s="17">
        <v>0.29137507771102472</v>
      </c>
      <c r="H974" s="1" t="s">
        <v>144</v>
      </c>
      <c r="I974" s="14"/>
    </row>
    <row r="975" spans="1:9" x14ac:dyDescent="0.25">
      <c r="A975" s="14">
        <v>2016</v>
      </c>
      <c r="B975" s="14">
        <v>173</v>
      </c>
      <c r="C975" s="15">
        <v>42542</v>
      </c>
      <c r="D975" s="16">
        <v>0.39027777777777778</v>
      </c>
      <c r="E975" s="14">
        <v>230</v>
      </c>
      <c r="F975" s="14">
        <v>14</v>
      </c>
      <c r="G975" s="17">
        <v>0.2836282046992209</v>
      </c>
      <c r="H975" s="1" t="s">
        <v>144</v>
      </c>
      <c r="I975" s="14"/>
    </row>
    <row r="976" spans="1:9" x14ac:dyDescent="0.25">
      <c r="A976" s="14">
        <v>2016</v>
      </c>
      <c r="B976" s="14">
        <v>173</v>
      </c>
      <c r="C976" s="15">
        <v>42542</v>
      </c>
      <c r="D976" s="16">
        <v>0.39583333333333331</v>
      </c>
      <c r="E976" s="14">
        <v>230</v>
      </c>
      <c r="F976" s="14">
        <v>15</v>
      </c>
      <c r="G976" s="17" t="e">
        <v>#N/A</v>
      </c>
      <c r="H976" s="1" t="s">
        <v>1</v>
      </c>
      <c r="I976" s="14"/>
    </row>
    <row r="977" spans="1:9" x14ac:dyDescent="0.25">
      <c r="A977" s="14">
        <v>2016</v>
      </c>
      <c r="B977" s="14">
        <v>173</v>
      </c>
      <c r="C977" s="15">
        <v>42542</v>
      </c>
      <c r="D977" s="16">
        <v>0.40069444444444446</v>
      </c>
      <c r="E977" s="14">
        <v>230</v>
      </c>
      <c r="F977" s="14">
        <v>16</v>
      </c>
      <c r="G977" s="17" t="e">
        <v>#N/A</v>
      </c>
      <c r="H977" s="1" t="s">
        <v>1</v>
      </c>
      <c r="I977" s="14"/>
    </row>
    <row r="978" spans="1:9" x14ac:dyDescent="0.25">
      <c r="A978" s="14">
        <v>2016</v>
      </c>
      <c r="B978" s="14">
        <v>173</v>
      </c>
      <c r="C978" s="15">
        <v>42542</v>
      </c>
      <c r="D978" s="16">
        <v>0.40625</v>
      </c>
      <c r="E978" s="14">
        <v>230</v>
      </c>
      <c r="F978" s="14">
        <v>17</v>
      </c>
      <c r="G978" s="17">
        <v>0.30087375617775897</v>
      </c>
      <c r="H978" s="1" t="s">
        <v>144</v>
      </c>
      <c r="I978" s="14"/>
    </row>
    <row r="979" spans="1:9" x14ac:dyDescent="0.25">
      <c r="A979" s="14">
        <v>2016</v>
      </c>
      <c r="B979" s="14">
        <v>173</v>
      </c>
      <c r="C979" s="15">
        <v>42542</v>
      </c>
      <c r="D979" s="16">
        <v>0.41250000000000003</v>
      </c>
      <c r="E979" s="14">
        <v>230</v>
      </c>
      <c r="F979" s="14">
        <v>18</v>
      </c>
      <c r="G979" s="17">
        <v>0.30237252306697732</v>
      </c>
      <c r="H979" s="1" t="s">
        <v>144</v>
      </c>
      <c r="I979" s="14"/>
    </row>
    <row r="980" spans="1:9" x14ac:dyDescent="0.25">
      <c r="A980" s="14">
        <v>2016</v>
      </c>
      <c r="B980" s="14">
        <v>173</v>
      </c>
      <c r="C980" s="15">
        <v>42542</v>
      </c>
      <c r="D980" s="16">
        <v>0.41805555555555557</v>
      </c>
      <c r="E980" s="14">
        <v>230</v>
      </c>
      <c r="F980" s="14">
        <v>19</v>
      </c>
      <c r="G980" s="17">
        <v>0.29061596201388812</v>
      </c>
      <c r="H980" s="1" t="s">
        <v>144</v>
      </c>
      <c r="I980" s="14"/>
    </row>
    <row r="981" spans="1:9" x14ac:dyDescent="0.25">
      <c r="A981" s="14">
        <v>2016</v>
      </c>
      <c r="B981" s="14">
        <v>173</v>
      </c>
      <c r="C981" s="15">
        <v>42542</v>
      </c>
      <c r="D981" s="16">
        <v>0.42430555555555555</v>
      </c>
      <c r="E981" s="14">
        <v>230</v>
      </c>
      <c r="F981" s="14">
        <v>20</v>
      </c>
      <c r="G981" s="17">
        <v>0.30731650735089228</v>
      </c>
      <c r="H981" s="1" t="s">
        <v>144</v>
      </c>
      <c r="I981" s="14"/>
    </row>
    <row r="982" spans="1:9" x14ac:dyDescent="0.25">
      <c r="A982" s="14">
        <v>2016</v>
      </c>
      <c r="B982" s="14">
        <v>173</v>
      </c>
      <c r="C982" s="15">
        <v>42542</v>
      </c>
      <c r="D982" s="16">
        <v>0.3034722222222222</v>
      </c>
      <c r="E982" s="14">
        <v>210</v>
      </c>
      <c r="F982" s="14">
        <v>1</v>
      </c>
      <c r="G982" s="17">
        <v>0.3069466817548514</v>
      </c>
      <c r="H982" s="1" t="s">
        <v>143</v>
      </c>
      <c r="I982" s="14"/>
    </row>
    <row r="983" spans="1:9" x14ac:dyDescent="0.25">
      <c r="A983" s="14">
        <v>2016</v>
      </c>
      <c r="B983" s="14">
        <v>173</v>
      </c>
      <c r="C983" s="15">
        <v>42542</v>
      </c>
      <c r="D983" s="16">
        <v>0.31041666666666667</v>
      </c>
      <c r="E983" s="14">
        <v>210</v>
      </c>
      <c r="F983" s="14">
        <v>2</v>
      </c>
      <c r="G983" s="17">
        <v>0.29902462819755454</v>
      </c>
      <c r="H983" s="1" t="s">
        <v>143</v>
      </c>
      <c r="I983" s="14"/>
    </row>
    <row r="984" spans="1:9" x14ac:dyDescent="0.25">
      <c r="A984" s="14">
        <v>2016</v>
      </c>
      <c r="B984" s="14">
        <v>173</v>
      </c>
      <c r="C984" s="15">
        <v>42542</v>
      </c>
      <c r="D984" s="16">
        <v>0.31736111111111115</v>
      </c>
      <c r="E984" s="14">
        <v>210</v>
      </c>
      <c r="F984" s="14">
        <v>3</v>
      </c>
      <c r="G984" s="17">
        <v>0.28545786817437058</v>
      </c>
      <c r="H984" s="1" t="s">
        <v>143</v>
      </c>
      <c r="I984" s="14"/>
    </row>
    <row r="985" spans="1:9" x14ac:dyDescent="0.25">
      <c r="A985" s="14">
        <v>2016</v>
      </c>
      <c r="B985" s="14">
        <v>173</v>
      </c>
      <c r="C985" s="15">
        <v>42542</v>
      </c>
      <c r="D985" s="16">
        <v>0.32361111111111113</v>
      </c>
      <c r="E985" s="14">
        <v>210</v>
      </c>
      <c r="F985" s="14">
        <v>4</v>
      </c>
      <c r="G985" s="17">
        <v>0.29464511456022829</v>
      </c>
      <c r="H985" s="1" t="s">
        <v>143</v>
      </c>
      <c r="I985" s="14"/>
    </row>
    <row r="986" spans="1:9" x14ac:dyDescent="0.25">
      <c r="A986" s="14">
        <v>2016</v>
      </c>
      <c r="B986" s="14">
        <v>173</v>
      </c>
      <c r="C986" s="15">
        <v>42542</v>
      </c>
      <c r="D986" s="16">
        <v>0.33055555555555555</v>
      </c>
      <c r="E986" s="14">
        <v>210</v>
      </c>
      <c r="F986" s="14">
        <v>5</v>
      </c>
      <c r="G986" s="17" t="e">
        <v>#N/A</v>
      </c>
      <c r="H986" s="1" t="s">
        <v>0</v>
      </c>
      <c r="I986" s="14"/>
    </row>
    <row r="987" spans="1:9" x14ac:dyDescent="0.25">
      <c r="A987" s="14">
        <v>2016</v>
      </c>
      <c r="B987" s="14">
        <v>173</v>
      </c>
      <c r="C987" s="15">
        <v>42542</v>
      </c>
      <c r="D987" s="16">
        <v>0.3354166666666667</v>
      </c>
      <c r="E987" s="14">
        <v>210</v>
      </c>
      <c r="F987" s="14">
        <v>6</v>
      </c>
      <c r="G987" s="17" t="e">
        <v>#N/A</v>
      </c>
      <c r="H987" s="1" t="s">
        <v>0</v>
      </c>
      <c r="I987" s="14"/>
    </row>
    <row r="988" spans="1:9" x14ac:dyDescent="0.25">
      <c r="A988" s="14">
        <v>2016</v>
      </c>
      <c r="B988" s="14">
        <v>173</v>
      </c>
      <c r="C988" s="15">
        <v>42542</v>
      </c>
      <c r="D988" s="16">
        <v>0.34097222222222223</v>
      </c>
      <c r="E988" s="14">
        <v>210</v>
      </c>
      <c r="F988" s="14">
        <v>7</v>
      </c>
      <c r="G988" s="17">
        <v>0.28442624940646705</v>
      </c>
      <c r="H988" s="1" t="s">
        <v>143</v>
      </c>
      <c r="I988" s="14"/>
    </row>
    <row r="989" spans="1:9" x14ac:dyDescent="0.25">
      <c r="A989" s="14">
        <v>2016</v>
      </c>
      <c r="B989" s="14">
        <v>173</v>
      </c>
      <c r="C989" s="15">
        <v>42542</v>
      </c>
      <c r="D989" s="16">
        <v>0.34722222222222227</v>
      </c>
      <c r="E989" s="14">
        <v>210</v>
      </c>
      <c r="F989" s="14">
        <v>8</v>
      </c>
      <c r="G989" s="17">
        <v>0.3026255616326895</v>
      </c>
      <c r="H989" s="1" t="s">
        <v>143</v>
      </c>
      <c r="I989" s="14"/>
    </row>
    <row r="990" spans="1:9" x14ac:dyDescent="0.25">
      <c r="A990" s="14">
        <v>2016</v>
      </c>
      <c r="B990" s="14">
        <v>173</v>
      </c>
      <c r="C990" s="15">
        <v>42542</v>
      </c>
      <c r="D990" s="16">
        <v>0.35416666666666669</v>
      </c>
      <c r="E990" s="14">
        <v>210</v>
      </c>
      <c r="F990" s="14">
        <v>9</v>
      </c>
      <c r="G990" s="17">
        <v>0.30250877460236081</v>
      </c>
      <c r="H990" s="1" t="s">
        <v>143</v>
      </c>
      <c r="I990" s="14"/>
    </row>
    <row r="991" spans="1:9" x14ac:dyDescent="0.25">
      <c r="A991" s="14">
        <v>2016</v>
      </c>
      <c r="B991" s="14">
        <v>173</v>
      </c>
      <c r="C991" s="15">
        <v>42542</v>
      </c>
      <c r="D991" s="16">
        <v>0.3611111111111111</v>
      </c>
      <c r="E991" s="14">
        <v>210</v>
      </c>
      <c r="F991" s="14">
        <v>10</v>
      </c>
      <c r="G991" s="17">
        <v>0.27909297502145636</v>
      </c>
      <c r="H991" s="1" t="s">
        <v>143</v>
      </c>
      <c r="I991" s="14"/>
    </row>
    <row r="992" spans="1:9" x14ac:dyDescent="0.25">
      <c r="A992" s="14">
        <v>2016</v>
      </c>
      <c r="B992" s="14">
        <v>173</v>
      </c>
      <c r="C992" s="15">
        <v>42542</v>
      </c>
      <c r="D992" s="16">
        <v>0.37222222222222223</v>
      </c>
      <c r="E992" s="14">
        <v>210</v>
      </c>
      <c r="F992" s="14">
        <v>11</v>
      </c>
      <c r="G992" s="17">
        <v>0.306985610764961</v>
      </c>
      <c r="H992" s="1" t="s">
        <v>144</v>
      </c>
      <c r="I992" s="14"/>
    </row>
    <row r="993" spans="1:9" x14ac:dyDescent="0.25">
      <c r="A993" s="14">
        <v>2016</v>
      </c>
      <c r="B993" s="14">
        <v>173</v>
      </c>
      <c r="C993" s="15">
        <v>42542</v>
      </c>
      <c r="D993" s="16">
        <v>0.37847222222222227</v>
      </c>
      <c r="E993" s="14">
        <v>210</v>
      </c>
      <c r="F993" s="14">
        <v>12</v>
      </c>
      <c r="G993" s="17">
        <v>0.31473248377676472</v>
      </c>
      <c r="H993" s="1" t="s">
        <v>144</v>
      </c>
      <c r="I993" s="14"/>
    </row>
    <row r="994" spans="1:9" x14ac:dyDescent="0.25">
      <c r="A994" s="14">
        <v>2016</v>
      </c>
      <c r="B994" s="14">
        <v>173</v>
      </c>
      <c r="C994" s="15">
        <v>42542</v>
      </c>
      <c r="D994" s="16">
        <v>0.38472222222222219</v>
      </c>
      <c r="E994" s="14">
        <v>210</v>
      </c>
      <c r="F994" s="14">
        <v>13</v>
      </c>
      <c r="G994" s="17">
        <v>0.29976427938963635</v>
      </c>
      <c r="H994" s="1" t="s">
        <v>144</v>
      </c>
      <c r="I994" s="14"/>
    </row>
    <row r="995" spans="1:9" x14ac:dyDescent="0.25">
      <c r="A995" s="14">
        <v>2016</v>
      </c>
      <c r="B995" s="14">
        <v>173</v>
      </c>
      <c r="C995" s="15">
        <v>42542</v>
      </c>
      <c r="D995" s="16">
        <v>0.39027777777777778</v>
      </c>
      <c r="E995" s="14">
        <v>210</v>
      </c>
      <c r="F995" s="14">
        <v>14</v>
      </c>
      <c r="G995" s="17">
        <v>0.27969637467815467</v>
      </c>
      <c r="H995" s="1" t="s">
        <v>144</v>
      </c>
      <c r="I995" s="14"/>
    </row>
    <row r="996" spans="1:9" x14ac:dyDescent="0.25">
      <c r="A996" s="14">
        <v>2016</v>
      </c>
      <c r="B996" s="14">
        <v>173</v>
      </c>
      <c r="C996" s="15">
        <v>42542</v>
      </c>
      <c r="D996" s="16">
        <v>0.39583333333333331</v>
      </c>
      <c r="E996" s="14">
        <v>210</v>
      </c>
      <c r="F996" s="14">
        <v>15</v>
      </c>
      <c r="G996" s="17" t="e">
        <v>#N/A</v>
      </c>
      <c r="H996" s="1" t="s">
        <v>1</v>
      </c>
      <c r="I996" s="14"/>
    </row>
    <row r="997" spans="1:9" x14ac:dyDescent="0.25">
      <c r="A997" s="14">
        <v>2016</v>
      </c>
      <c r="B997" s="14">
        <v>173</v>
      </c>
      <c r="C997" s="15">
        <v>42542</v>
      </c>
      <c r="D997" s="16">
        <v>0.40069444444444446</v>
      </c>
      <c r="E997" s="14">
        <v>210</v>
      </c>
      <c r="F997" s="14">
        <v>16</v>
      </c>
      <c r="G997" s="17" t="e">
        <v>#N/A</v>
      </c>
      <c r="H997" s="1" t="s">
        <v>1</v>
      </c>
      <c r="I997" s="14"/>
    </row>
    <row r="998" spans="1:9" x14ac:dyDescent="0.25">
      <c r="A998" s="14">
        <v>2016</v>
      </c>
      <c r="B998" s="14">
        <v>173</v>
      </c>
      <c r="C998" s="15">
        <v>42542</v>
      </c>
      <c r="D998" s="16">
        <v>0.40625</v>
      </c>
      <c r="E998" s="14">
        <v>210</v>
      </c>
      <c r="F998" s="14">
        <v>17</v>
      </c>
      <c r="G998" s="17">
        <v>0.305545237390907</v>
      </c>
      <c r="H998" s="1" t="s">
        <v>144</v>
      </c>
      <c r="I998" s="14"/>
    </row>
    <row r="999" spans="1:9" x14ac:dyDescent="0.25">
      <c r="A999" s="14">
        <v>2016</v>
      </c>
      <c r="B999" s="14">
        <v>173</v>
      </c>
      <c r="C999" s="15">
        <v>42542</v>
      </c>
      <c r="D999" s="16">
        <v>0.41250000000000003</v>
      </c>
      <c r="E999" s="14">
        <v>210</v>
      </c>
      <c r="F999" s="14">
        <v>18</v>
      </c>
      <c r="G999" s="17">
        <v>0.30599292100716702</v>
      </c>
      <c r="H999" s="1" t="s">
        <v>144</v>
      </c>
      <c r="I999" s="14"/>
    </row>
    <row r="1000" spans="1:9" x14ac:dyDescent="0.25">
      <c r="A1000" s="14">
        <v>2016</v>
      </c>
      <c r="B1000" s="14">
        <v>173</v>
      </c>
      <c r="C1000" s="15">
        <v>42542</v>
      </c>
      <c r="D1000" s="16">
        <v>0.41805555555555557</v>
      </c>
      <c r="E1000" s="14">
        <v>210</v>
      </c>
      <c r="F1000" s="14">
        <v>19</v>
      </c>
      <c r="G1000" s="17">
        <v>0.30381289644103127</v>
      </c>
      <c r="H1000" s="1" t="s">
        <v>144</v>
      </c>
      <c r="I1000" s="14"/>
    </row>
    <row r="1001" spans="1:9" x14ac:dyDescent="0.25">
      <c r="A1001" s="14">
        <v>2016</v>
      </c>
      <c r="B1001" s="14">
        <v>173</v>
      </c>
      <c r="C1001" s="15">
        <v>42542</v>
      </c>
      <c r="D1001" s="16">
        <v>0.42430555555555555</v>
      </c>
      <c r="E1001" s="14">
        <v>210</v>
      </c>
      <c r="F1001" s="14">
        <v>20</v>
      </c>
      <c r="G1001" s="17">
        <v>0.30928242236142539</v>
      </c>
      <c r="H1001" s="1" t="s">
        <v>144</v>
      </c>
      <c r="I1001" s="14"/>
    </row>
    <row r="1002" spans="1:9" x14ac:dyDescent="0.25">
      <c r="A1002" s="14">
        <v>2016</v>
      </c>
      <c r="B1002" s="14">
        <v>173</v>
      </c>
      <c r="C1002" s="15">
        <v>42542</v>
      </c>
      <c r="D1002" s="16">
        <v>0.3034722222222222</v>
      </c>
      <c r="E1002" s="14">
        <v>190</v>
      </c>
      <c r="F1002" s="14">
        <v>1</v>
      </c>
      <c r="G1002" s="17">
        <v>0.29398332138836569</v>
      </c>
      <c r="H1002" s="1" t="s">
        <v>143</v>
      </c>
      <c r="I1002" s="14"/>
    </row>
    <row r="1003" spans="1:9" x14ac:dyDescent="0.25">
      <c r="A1003" s="14">
        <v>2016</v>
      </c>
      <c r="B1003" s="14">
        <v>173</v>
      </c>
      <c r="C1003" s="15">
        <v>42542</v>
      </c>
      <c r="D1003" s="16">
        <v>0.31041666666666667</v>
      </c>
      <c r="E1003" s="14">
        <v>190</v>
      </c>
      <c r="F1003" s="14">
        <v>2</v>
      </c>
      <c r="G1003" s="17">
        <v>0.30708293329023489</v>
      </c>
      <c r="H1003" s="1" t="s">
        <v>143</v>
      </c>
      <c r="I1003" s="14"/>
    </row>
    <row r="1004" spans="1:9" x14ac:dyDescent="0.25">
      <c r="A1004" s="14">
        <v>2016</v>
      </c>
      <c r="B1004" s="14">
        <v>173</v>
      </c>
      <c r="C1004" s="15">
        <v>42542</v>
      </c>
      <c r="D1004" s="16">
        <v>0.31736111111111115</v>
      </c>
      <c r="E1004" s="14">
        <v>190</v>
      </c>
      <c r="F1004" s="14">
        <v>3</v>
      </c>
      <c r="G1004" s="17">
        <v>0.30338467732982605</v>
      </c>
      <c r="H1004" s="1" t="s">
        <v>143</v>
      </c>
      <c r="I1004" s="14"/>
    </row>
    <row r="1005" spans="1:9" x14ac:dyDescent="0.25">
      <c r="A1005" s="14">
        <v>2016</v>
      </c>
      <c r="B1005" s="14">
        <v>173</v>
      </c>
      <c r="C1005" s="15">
        <v>42542</v>
      </c>
      <c r="D1005" s="16">
        <v>0.32361111111111113</v>
      </c>
      <c r="E1005" s="14">
        <v>190</v>
      </c>
      <c r="F1005" s="14">
        <v>4</v>
      </c>
      <c r="G1005" s="17">
        <v>0.29888837666217111</v>
      </c>
      <c r="H1005" s="1" t="s">
        <v>143</v>
      </c>
      <c r="I1005" s="14"/>
    </row>
    <row r="1006" spans="1:9" x14ac:dyDescent="0.25">
      <c r="A1006" s="14">
        <v>2016</v>
      </c>
      <c r="B1006" s="14">
        <v>173</v>
      </c>
      <c r="C1006" s="15">
        <v>42542</v>
      </c>
      <c r="D1006" s="16">
        <v>0.33055555555555555</v>
      </c>
      <c r="E1006" s="14">
        <v>190</v>
      </c>
      <c r="F1006" s="14">
        <v>5</v>
      </c>
      <c r="G1006" s="17">
        <v>0.33474199497308205</v>
      </c>
      <c r="H1006" s="1" t="s">
        <v>0</v>
      </c>
      <c r="I1006" s="14"/>
    </row>
    <row r="1007" spans="1:9" x14ac:dyDescent="0.25">
      <c r="A1007" s="14">
        <v>2016</v>
      </c>
      <c r="B1007" s="14">
        <v>173</v>
      </c>
      <c r="C1007" s="15">
        <v>42542</v>
      </c>
      <c r="D1007" s="16">
        <v>0.3354166666666667</v>
      </c>
      <c r="E1007" s="14">
        <v>190</v>
      </c>
      <c r="F1007" s="14">
        <v>6</v>
      </c>
      <c r="G1007" s="17">
        <v>0.34957394782482698</v>
      </c>
      <c r="H1007" s="1" t="s">
        <v>0</v>
      </c>
      <c r="I1007" s="14"/>
    </row>
    <row r="1008" spans="1:9" x14ac:dyDescent="0.25">
      <c r="A1008" s="14">
        <v>2016</v>
      </c>
      <c r="B1008" s="14">
        <v>173</v>
      </c>
      <c r="C1008" s="15">
        <v>42542</v>
      </c>
      <c r="D1008" s="16">
        <v>0.34097222222222223</v>
      </c>
      <c r="E1008" s="14">
        <v>190</v>
      </c>
      <c r="F1008" s="14">
        <v>7</v>
      </c>
      <c r="G1008" s="17">
        <v>0.28983738181169683</v>
      </c>
      <c r="H1008" s="1" t="s">
        <v>143</v>
      </c>
      <c r="I1008" s="14"/>
    </row>
    <row r="1009" spans="1:9" x14ac:dyDescent="0.25">
      <c r="A1009" s="14">
        <v>2016</v>
      </c>
      <c r="B1009" s="14">
        <v>173</v>
      </c>
      <c r="C1009" s="15">
        <v>42542</v>
      </c>
      <c r="D1009" s="16">
        <v>0.34722222222222227</v>
      </c>
      <c r="E1009" s="14">
        <v>190</v>
      </c>
      <c r="F1009" s="14">
        <v>8</v>
      </c>
      <c r="G1009" s="17">
        <v>0.30272288415796339</v>
      </c>
      <c r="H1009" s="1" t="s">
        <v>143</v>
      </c>
      <c r="I1009" s="14"/>
    </row>
    <row r="1010" spans="1:9" x14ac:dyDescent="0.25">
      <c r="A1010" s="14">
        <v>2016</v>
      </c>
      <c r="B1010" s="14">
        <v>173</v>
      </c>
      <c r="C1010" s="15">
        <v>42542</v>
      </c>
      <c r="D1010" s="16">
        <v>0.35416666666666669</v>
      </c>
      <c r="E1010" s="14">
        <v>190</v>
      </c>
      <c r="F1010" s="14">
        <v>9</v>
      </c>
      <c r="G1010" s="17">
        <v>0.29711710670218577</v>
      </c>
      <c r="H1010" s="1" t="s">
        <v>143</v>
      </c>
      <c r="I1010" s="14"/>
    </row>
    <row r="1011" spans="1:9" x14ac:dyDescent="0.25">
      <c r="A1011" s="14">
        <v>2016</v>
      </c>
      <c r="B1011" s="14">
        <v>173</v>
      </c>
      <c r="C1011" s="15">
        <v>42542</v>
      </c>
      <c r="D1011" s="16">
        <v>0.3611111111111111</v>
      </c>
      <c r="E1011" s="14">
        <v>190</v>
      </c>
      <c r="F1011" s="14">
        <v>10</v>
      </c>
      <c r="G1011" s="17">
        <v>0.30229466504675817</v>
      </c>
      <c r="H1011" s="1" t="s">
        <v>143</v>
      </c>
      <c r="I1011" s="14"/>
    </row>
    <row r="1012" spans="1:9" x14ac:dyDescent="0.25">
      <c r="A1012" s="14">
        <v>2016</v>
      </c>
      <c r="B1012" s="14">
        <v>173</v>
      </c>
      <c r="C1012" s="15">
        <v>42542</v>
      </c>
      <c r="D1012" s="16">
        <v>0.37222222222222223</v>
      </c>
      <c r="E1012" s="14">
        <v>190</v>
      </c>
      <c r="F1012" s="14">
        <v>11</v>
      </c>
      <c r="G1012" s="17">
        <v>0.31292228480666989</v>
      </c>
      <c r="H1012" s="1" t="s">
        <v>144</v>
      </c>
      <c r="I1012" s="14"/>
    </row>
    <row r="1013" spans="1:9" x14ac:dyDescent="0.25">
      <c r="A1013" s="14">
        <v>2016</v>
      </c>
      <c r="B1013" s="14">
        <v>173</v>
      </c>
      <c r="C1013" s="15">
        <v>42542</v>
      </c>
      <c r="D1013" s="16">
        <v>0.37847222222222227</v>
      </c>
      <c r="E1013" s="14">
        <v>190</v>
      </c>
      <c r="F1013" s="14">
        <v>12</v>
      </c>
      <c r="G1013" s="17">
        <v>0.32111684143473368</v>
      </c>
      <c r="H1013" s="1" t="s">
        <v>144</v>
      </c>
      <c r="I1013" s="14"/>
    </row>
    <row r="1014" spans="1:9" x14ac:dyDescent="0.25">
      <c r="A1014" s="14">
        <v>2016</v>
      </c>
      <c r="B1014" s="14">
        <v>173</v>
      </c>
      <c r="C1014" s="15">
        <v>42542</v>
      </c>
      <c r="D1014" s="16">
        <v>0.38472222222222219</v>
      </c>
      <c r="E1014" s="14">
        <v>190</v>
      </c>
      <c r="F1014" s="14">
        <v>13</v>
      </c>
      <c r="G1014" s="17">
        <v>0.29886891215711631</v>
      </c>
      <c r="H1014" s="1" t="s">
        <v>144</v>
      </c>
      <c r="I1014" s="14"/>
    </row>
    <row r="1015" spans="1:9" x14ac:dyDescent="0.25">
      <c r="A1015" s="14">
        <v>2016</v>
      </c>
      <c r="B1015" s="14">
        <v>173</v>
      </c>
      <c r="C1015" s="15">
        <v>42542</v>
      </c>
      <c r="D1015" s="16">
        <v>0.39027777777777778</v>
      </c>
      <c r="E1015" s="14">
        <v>190</v>
      </c>
      <c r="F1015" s="14">
        <v>14</v>
      </c>
      <c r="G1015" s="17">
        <v>0.30241145207708686</v>
      </c>
      <c r="H1015" s="1" t="s">
        <v>144</v>
      </c>
      <c r="I1015" s="14"/>
    </row>
    <row r="1016" spans="1:9" x14ac:dyDescent="0.25">
      <c r="A1016" s="14">
        <v>2016</v>
      </c>
      <c r="B1016" s="14">
        <v>173</v>
      </c>
      <c r="C1016" s="15">
        <v>42542</v>
      </c>
      <c r="D1016" s="16">
        <v>0.39583333333333331</v>
      </c>
      <c r="E1016" s="14">
        <v>190</v>
      </c>
      <c r="F1016" s="14">
        <v>15</v>
      </c>
      <c r="G1016" s="17">
        <v>0.34392924135893982</v>
      </c>
      <c r="H1016" s="1" t="s">
        <v>1</v>
      </c>
      <c r="I1016" s="14"/>
    </row>
    <row r="1017" spans="1:9" x14ac:dyDescent="0.25">
      <c r="A1017" s="14">
        <v>2016</v>
      </c>
      <c r="B1017" s="14">
        <v>173</v>
      </c>
      <c r="C1017" s="15">
        <v>42542</v>
      </c>
      <c r="D1017" s="16">
        <v>0.40069444444444446</v>
      </c>
      <c r="E1017" s="14">
        <v>190</v>
      </c>
      <c r="F1017" s="14">
        <v>16</v>
      </c>
      <c r="G1017" s="17">
        <v>0.33047926836608454</v>
      </c>
      <c r="H1017" s="1" t="s">
        <v>1</v>
      </c>
      <c r="I1017" s="14"/>
    </row>
    <row r="1018" spans="1:9" x14ac:dyDescent="0.25">
      <c r="A1018" s="14">
        <v>2016</v>
      </c>
      <c r="B1018" s="14">
        <v>173</v>
      </c>
      <c r="C1018" s="15">
        <v>42542</v>
      </c>
      <c r="D1018" s="16">
        <v>0.40625</v>
      </c>
      <c r="E1018" s="14">
        <v>190</v>
      </c>
      <c r="F1018" s="14">
        <v>17</v>
      </c>
      <c r="G1018" s="17">
        <v>0.32261560832395203</v>
      </c>
      <c r="H1018" s="1" t="s">
        <v>144</v>
      </c>
      <c r="I1018" s="14"/>
    </row>
    <row r="1019" spans="1:9" x14ac:dyDescent="0.25">
      <c r="A1019" s="14">
        <v>2016</v>
      </c>
      <c r="B1019" s="14">
        <v>173</v>
      </c>
      <c r="C1019" s="15">
        <v>42542</v>
      </c>
      <c r="D1019" s="16">
        <v>0.41250000000000003</v>
      </c>
      <c r="E1019" s="14">
        <v>190</v>
      </c>
      <c r="F1019" s="14">
        <v>18</v>
      </c>
      <c r="G1019" s="17">
        <v>0.31375925852402559</v>
      </c>
      <c r="H1019" s="1" t="s">
        <v>144</v>
      </c>
      <c r="I1019" s="14"/>
    </row>
    <row r="1020" spans="1:9" x14ac:dyDescent="0.25">
      <c r="A1020" s="14">
        <v>2016</v>
      </c>
      <c r="B1020" s="14">
        <v>173</v>
      </c>
      <c r="C1020" s="15">
        <v>42542</v>
      </c>
      <c r="D1020" s="16">
        <v>0.41805555555555557</v>
      </c>
      <c r="E1020" s="14">
        <v>190</v>
      </c>
      <c r="F1020" s="14">
        <v>19</v>
      </c>
      <c r="G1020" s="17">
        <v>0.30856223567439844</v>
      </c>
      <c r="H1020" s="1" t="s">
        <v>144</v>
      </c>
      <c r="I1020" s="14"/>
    </row>
    <row r="1021" spans="1:9" x14ac:dyDescent="0.25">
      <c r="A1021" s="14">
        <v>2016</v>
      </c>
      <c r="B1021" s="14">
        <v>173</v>
      </c>
      <c r="C1021" s="15">
        <v>42542</v>
      </c>
      <c r="D1021" s="16">
        <v>0.42430555555555555</v>
      </c>
      <c r="E1021" s="14">
        <v>190</v>
      </c>
      <c r="F1021" s="14">
        <v>20</v>
      </c>
      <c r="G1021" s="17">
        <v>0.31132619539217771</v>
      </c>
      <c r="H1021" s="1" t="s">
        <v>144</v>
      </c>
      <c r="I1021" s="14"/>
    </row>
    <row r="1022" spans="1:9" x14ac:dyDescent="0.25">
      <c r="A1022" s="14">
        <v>2016</v>
      </c>
      <c r="B1022" s="14">
        <v>173</v>
      </c>
      <c r="C1022" s="15">
        <v>42542</v>
      </c>
      <c r="D1022" s="16">
        <v>0.3034722222222222</v>
      </c>
      <c r="E1022" s="14">
        <v>170</v>
      </c>
      <c r="F1022" s="14">
        <v>1</v>
      </c>
      <c r="G1022" s="17">
        <v>0.28857218898313591</v>
      </c>
      <c r="H1022" s="1" t="s">
        <v>143</v>
      </c>
      <c r="I1022" s="14"/>
    </row>
    <row r="1023" spans="1:9" x14ac:dyDescent="0.25">
      <c r="A1023" s="14">
        <v>2016</v>
      </c>
      <c r="B1023" s="14">
        <v>173</v>
      </c>
      <c r="C1023" s="15">
        <v>42542</v>
      </c>
      <c r="D1023" s="16">
        <v>0.31041666666666667</v>
      </c>
      <c r="E1023" s="14">
        <v>170</v>
      </c>
      <c r="F1023" s="14">
        <v>2</v>
      </c>
      <c r="G1023" s="17">
        <v>0.27979369720342862</v>
      </c>
      <c r="H1023" s="1" t="s">
        <v>143</v>
      </c>
      <c r="I1023" s="14"/>
    </row>
    <row r="1024" spans="1:9" x14ac:dyDescent="0.25">
      <c r="A1024" s="14">
        <v>2016</v>
      </c>
      <c r="B1024" s="14">
        <v>173</v>
      </c>
      <c r="C1024" s="15">
        <v>42542</v>
      </c>
      <c r="D1024" s="16">
        <v>0.31736111111111115</v>
      </c>
      <c r="E1024" s="14">
        <v>170</v>
      </c>
      <c r="F1024" s="14">
        <v>3</v>
      </c>
      <c r="G1024" s="17">
        <v>0.29881051864195196</v>
      </c>
      <c r="H1024" s="1" t="s">
        <v>143</v>
      </c>
      <c r="I1024" s="14"/>
    </row>
    <row r="1025" spans="1:9" x14ac:dyDescent="0.25">
      <c r="A1025" s="14">
        <v>2016</v>
      </c>
      <c r="B1025" s="14">
        <v>173</v>
      </c>
      <c r="C1025" s="15">
        <v>42542</v>
      </c>
      <c r="D1025" s="16">
        <v>0.32361111111111113</v>
      </c>
      <c r="E1025" s="14">
        <v>170</v>
      </c>
      <c r="F1025" s="14">
        <v>4</v>
      </c>
      <c r="G1025" s="17">
        <v>0.30468879916849656</v>
      </c>
      <c r="H1025" s="1" t="s">
        <v>143</v>
      </c>
      <c r="I1025" s="14"/>
    </row>
    <row r="1026" spans="1:9" x14ac:dyDescent="0.25">
      <c r="A1026" s="14">
        <v>2016</v>
      </c>
      <c r="B1026" s="14">
        <v>173</v>
      </c>
      <c r="C1026" s="15">
        <v>42542</v>
      </c>
      <c r="D1026" s="16">
        <v>0.33055555555555555</v>
      </c>
      <c r="E1026" s="14">
        <v>170</v>
      </c>
      <c r="F1026" s="14">
        <v>5</v>
      </c>
      <c r="G1026" s="17">
        <v>0.32683940592083999</v>
      </c>
      <c r="H1026" s="1" t="s">
        <v>0</v>
      </c>
      <c r="I1026" s="14"/>
    </row>
    <row r="1027" spans="1:9" x14ac:dyDescent="0.25">
      <c r="A1027" s="14">
        <v>2016</v>
      </c>
      <c r="B1027" s="14">
        <v>173</v>
      </c>
      <c r="C1027" s="15">
        <v>42542</v>
      </c>
      <c r="D1027" s="16">
        <v>0.3354166666666667</v>
      </c>
      <c r="E1027" s="14">
        <v>170</v>
      </c>
      <c r="F1027" s="14">
        <v>6</v>
      </c>
      <c r="G1027" s="17">
        <v>0.33875168301436742</v>
      </c>
      <c r="H1027" s="1" t="s">
        <v>0</v>
      </c>
      <c r="I1027" s="14"/>
    </row>
    <row r="1028" spans="1:9" x14ac:dyDescent="0.25">
      <c r="A1028" s="14">
        <v>2016</v>
      </c>
      <c r="B1028" s="14">
        <v>173</v>
      </c>
      <c r="C1028" s="15">
        <v>42542</v>
      </c>
      <c r="D1028" s="16">
        <v>0.34097222222222223</v>
      </c>
      <c r="E1028" s="14">
        <v>170</v>
      </c>
      <c r="F1028" s="14">
        <v>7</v>
      </c>
      <c r="G1028" s="17">
        <v>0.30494183773420869</v>
      </c>
      <c r="H1028" s="1" t="s">
        <v>143</v>
      </c>
      <c r="I1028" s="14"/>
    </row>
    <row r="1029" spans="1:9" x14ac:dyDescent="0.25">
      <c r="A1029" s="14">
        <v>2016</v>
      </c>
      <c r="B1029" s="14">
        <v>173</v>
      </c>
      <c r="C1029" s="15">
        <v>42542</v>
      </c>
      <c r="D1029" s="16">
        <v>0.34722222222222227</v>
      </c>
      <c r="E1029" s="14">
        <v>170</v>
      </c>
      <c r="F1029" s="14">
        <v>8</v>
      </c>
      <c r="G1029" s="17">
        <v>0.31128726638206811</v>
      </c>
      <c r="H1029" s="1" t="s">
        <v>143</v>
      </c>
      <c r="I1029" s="14"/>
    </row>
    <row r="1030" spans="1:9" x14ac:dyDescent="0.25">
      <c r="A1030" s="14">
        <v>2016</v>
      </c>
      <c r="B1030" s="14">
        <v>173</v>
      </c>
      <c r="C1030" s="15">
        <v>42542</v>
      </c>
      <c r="D1030" s="16">
        <v>0.35416666666666669</v>
      </c>
      <c r="E1030" s="14">
        <v>170</v>
      </c>
      <c r="F1030" s="14">
        <v>9</v>
      </c>
      <c r="G1030" s="17">
        <v>0.3078031199772619</v>
      </c>
      <c r="H1030" s="1" t="s">
        <v>143</v>
      </c>
      <c r="I1030" s="14"/>
    </row>
    <row r="1031" spans="1:9" x14ac:dyDescent="0.25">
      <c r="A1031" s="14">
        <v>2016</v>
      </c>
      <c r="B1031" s="14">
        <v>173</v>
      </c>
      <c r="C1031" s="15">
        <v>42542</v>
      </c>
      <c r="D1031" s="16">
        <v>0.3611111111111111</v>
      </c>
      <c r="E1031" s="14">
        <v>170</v>
      </c>
      <c r="F1031" s="14">
        <v>10</v>
      </c>
      <c r="G1031" s="17">
        <v>0.31917039092925537</v>
      </c>
      <c r="H1031" s="1" t="s">
        <v>143</v>
      </c>
      <c r="I1031" s="14"/>
    </row>
    <row r="1032" spans="1:9" x14ac:dyDescent="0.25">
      <c r="A1032" s="14">
        <v>2016</v>
      </c>
      <c r="B1032" s="14">
        <v>173</v>
      </c>
      <c r="C1032" s="15">
        <v>42542</v>
      </c>
      <c r="D1032" s="16">
        <v>0.37222222222222223</v>
      </c>
      <c r="E1032" s="14">
        <v>170</v>
      </c>
      <c r="F1032" s="14">
        <v>11</v>
      </c>
      <c r="G1032" s="17">
        <v>0.32477616838503298</v>
      </c>
      <c r="H1032" s="1" t="s">
        <v>144</v>
      </c>
      <c r="I1032" s="14"/>
    </row>
    <row r="1033" spans="1:9" x14ac:dyDescent="0.25">
      <c r="A1033" s="14">
        <v>2016</v>
      </c>
      <c r="B1033" s="14">
        <v>173</v>
      </c>
      <c r="C1033" s="15">
        <v>42542</v>
      </c>
      <c r="D1033" s="16">
        <v>0.37847222222222227</v>
      </c>
      <c r="E1033" s="14">
        <v>170</v>
      </c>
      <c r="F1033" s="14">
        <v>12</v>
      </c>
      <c r="G1033" s="17">
        <v>0.34235261644950238</v>
      </c>
      <c r="H1033" s="1" t="s">
        <v>144</v>
      </c>
      <c r="I1033" s="14"/>
    </row>
    <row r="1034" spans="1:9" x14ac:dyDescent="0.25">
      <c r="A1034" s="14">
        <v>2016</v>
      </c>
      <c r="B1034" s="14">
        <v>173</v>
      </c>
      <c r="C1034" s="15">
        <v>42542</v>
      </c>
      <c r="D1034" s="16">
        <v>0.38472222222222219</v>
      </c>
      <c r="E1034" s="14">
        <v>170</v>
      </c>
      <c r="F1034" s="14">
        <v>13</v>
      </c>
      <c r="G1034" s="17">
        <v>0.31000260904845239</v>
      </c>
      <c r="H1034" s="1" t="s">
        <v>144</v>
      </c>
      <c r="I1034" s="14"/>
    </row>
    <row r="1035" spans="1:9" x14ac:dyDescent="0.25">
      <c r="A1035" s="14">
        <v>2016</v>
      </c>
      <c r="B1035" s="14">
        <v>173</v>
      </c>
      <c r="C1035" s="15">
        <v>42542</v>
      </c>
      <c r="D1035" s="16">
        <v>0.39027777777777778</v>
      </c>
      <c r="E1035" s="14">
        <v>170</v>
      </c>
      <c r="F1035" s="14">
        <v>14</v>
      </c>
      <c r="G1035" s="17">
        <v>0.32226524723296596</v>
      </c>
      <c r="H1035" s="1" t="s">
        <v>144</v>
      </c>
      <c r="I1035" s="14"/>
    </row>
    <row r="1036" spans="1:9" x14ac:dyDescent="0.25">
      <c r="A1036" s="14">
        <v>2016</v>
      </c>
      <c r="B1036" s="14">
        <v>173</v>
      </c>
      <c r="C1036" s="15">
        <v>42542</v>
      </c>
      <c r="D1036" s="16">
        <v>0.39583333333333331</v>
      </c>
      <c r="E1036" s="14">
        <v>170</v>
      </c>
      <c r="F1036" s="14">
        <v>15</v>
      </c>
      <c r="G1036" s="17">
        <v>0.3310437390126732</v>
      </c>
      <c r="H1036" s="1" t="s">
        <v>1</v>
      </c>
      <c r="I1036" s="14"/>
    </row>
    <row r="1037" spans="1:9" x14ac:dyDescent="0.25">
      <c r="A1037" s="14">
        <v>2016</v>
      </c>
      <c r="B1037" s="14">
        <v>173</v>
      </c>
      <c r="C1037" s="15">
        <v>42542</v>
      </c>
      <c r="D1037" s="16">
        <v>0.40069444444444446</v>
      </c>
      <c r="E1037" s="14">
        <v>170</v>
      </c>
      <c r="F1037" s="14">
        <v>16</v>
      </c>
      <c r="G1037" s="17">
        <v>0.32136988000044586</v>
      </c>
      <c r="H1037" s="1" t="s">
        <v>1</v>
      </c>
      <c r="I1037" s="14"/>
    </row>
    <row r="1038" spans="1:9" x14ac:dyDescent="0.25">
      <c r="A1038" s="14">
        <v>2016</v>
      </c>
      <c r="B1038" s="14">
        <v>173</v>
      </c>
      <c r="C1038" s="15">
        <v>42542</v>
      </c>
      <c r="D1038" s="16">
        <v>0.40625</v>
      </c>
      <c r="E1038" s="14">
        <v>170</v>
      </c>
      <c r="F1038" s="14">
        <v>17</v>
      </c>
      <c r="G1038" s="17">
        <v>0.32039665474770673</v>
      </c>
      <c r="H1038" s="1" t="s">
        <v>144</v>
      </c>
      <c r="I1038" s="14"/>
    </row>
    <row r="1039" spans="1:9" x14ac:dyDescent="0.25">
      <c r="A1039" s="14">
        <v>2016</v>
      </c>
      <c r="B1039" s="14">
        <v>173</v>
      </c>
      <c r="C1039" s="15">
        <v>42542</v>
      </c>
      <c r="D1039" s="16">
        <v>0.41250000000000003</v>
      </c>
      <c r="E1039" s="14">
        <v>170</v>
      </c>
      <c r="F1039" s="14">
        <v>18</v>
      </c>
      <c r="G1039" s="17">
        <v>0.32929193355774272</v>
      </c>
      <c r="H1039" s="1" t="s">
        <v>144</v>
      </c>
      <c r="I1039" s="14"/>
    </row>
    <row r="1040" spans="1:9" x14ac:dyDescent="0.25">
      <c r="A1040" s="14">
        <v>2016</v>
      </c>
      <c r="B1040" s="14">
        <v>173</v>
      </c>
      <c r="C1040" s="15">
        <v>42542</v>
      </c>
      <c r="D1040" s="16">
        <v>0.41805555555555557</v>
      </c>
      <c r="E1040" s="14">
        <v>170</v>
      </c>
      <c r="F1040" s="14">
        <v>19</v>
      </c>
      <c r="G1040" s="17">
        <v>0.3171266178985031</v>
      </c>
      <c r="H1040" s="1" t="s">
        <v>144</v>
      </c>
      <c r="I1040" s="14"/>
    </row>
    <row r="1041" spans="1:9" x14ac:dyDescent="0.25">
      <c r="A1041" s="14">
        <v>2016</v>
      </c>
      <c r="B1041" s="14">
        <v>173</v>
      </c>
      <c r="C1041" s="15">
        <v>42542</v>
      </c>
      <c r="D1041" s="16">
        <v>0.42430555555555555</v>
      </c>
      <c r="E1041" s="14">
        <v>170</v>
      </c>
      <c r="F1041" s="14">
        <v>20</v>
      </c>
      <c r="G1041" s="17">
        <v>0.32218738921274676</v>
      </c>
      <c r="H1041" s="1" t="s">
        <v>144</v>
      </c>
      <c r="I1041" s="14"/>
    </row>
    <row r="1042" spans="1:9" x14ac:dyDescent="0.25">
      <c r="A1042" s="14">
        <v>2016</v>
      </c>
      <c r="B1042" s="14">
        <v>173</v>
      </c>
      <c r="C1042" s="15">
        <v>42542</v>
      </c>
      <c r="D1042" s="16">
        <v>0.3034722222222222</v>
      </c>
      <c r="E1042" s="14">
        <v>150</v>
      </c>
      <c r="F1042" s="14">
        <v>1</v>
      </c>
      <c r="G1042" s="17">
        <v>0.34447424750047378</v>
      </c>
      <c r="H1042" s="1" t="s">
        <v>143</v>
      </c>
      <c r="I1042" s="14"/>
    </row>
    <row r="1043" spans="1:9" x14ac:dyDescent="0.25">
      <c r="A1043" s="14">
        <v>2016</v>
      </c>
      <c r="B1043" s="14">
        <v>173</v>
      </c>
      <c r="C1043" s="15">
        <v>42542</v>
      </c>
      <c r="D1043" s="16">
        <v>0.31041666666666667</v>
      </c>
      <c r="E1043" s="14">
        <v>150</v>
      </c>
      <c r="F1043" s="14">
        <v>2</v>
      </c>
      <c r="G1043" s="17">
        <v>0.33188071273002895</v>
      </c>
      <c r="H1043" s="1" t="s">
        <v>143</v>
      </c>
      <c r="I1043" s="14"/>
    </row>
    <row r="1044" spans="1:9" x14ac:dyDescent="0.25">
      <c r="A1044" s="14">
        <v>2016</v>
      </c>
      <c r="B1044" s="14">
        <v>173</v>
      </c>
      <c r="C1044" s="15">
        <v>42542</v>
      </c>
      <c r="D1044" s="16">
        <v>0.31736111111111115</v>
      </c>
      <c r="E1044" s="14">
        <v>150</v>
      </c>
      <c r="F1044" s="14">
        <v>3</v>
      </c>
      <c r="G1044" s="17">
        <v>0.31880056533321449</v>
      </c>
      <c r="H1044" s="1" t="s">
        <v>143</v>
      </c>
      <c r="I1044" s="14"/>
    </row>
    <row r="1045" spans="1:9" x14ac:dyDescent="0.25">
      <c r="A1045" s="14">
        <v>2016</v>
      </c>
      <c r="B1045" s="14">
        <v>173</v>
      </c>
      <c r="C1045" s="15">
        <v>42542</v>
      </c>
      <c r="D1045" s="16">
        <v>0.32361111111111113</v>
      </c>
      <c r="E1045" s="14">
        <v>150</v>
      </c>
      <c r="F1045" s="14">
        <v>4</v>
      </c>
      <c r="G1045" s="17">
        <v>0.31319478787743688</v>
      </c>
      <c r="H1045" s="1" t="s">
        <v>143</v>
      </c>
      <c r="I1045" s="14"/>
    </row>
    <row r="1046" spans="1:9" x14ac:dyDescent="0.25">
      <c r="A1046" s="14">
        <v>2016</v>
      </c>
      <c r="B1046" s="14">
        <v>173</v>
      </c>
      <c r="C1046" s="15">
        <v>42542</v>
      </c>
      <c r="D1046" s="16">
        <v>0.33055555555555555</v>
      </c>
      <c r="E1046" s="14">
        <v>150</v>
      </c>
      <c r="F1046" s="14">
        <v>5</v>
      </c>
      <c r="G1046" s="17">
        <v>0.36129157986780658</v>
      </c>
      <c r="H1046" s="1" t="s">
        <v>0</v>
      </c>
      <c r="I1046" s="14"/>
    </row>
    <row r="1047" spans="1:9" x14ac:dyDescent="0.25">
      <c r="A1047" s="14">
        <v>2016</v>
      </c>
      <c r="B1047" s="14">
        <v>173</v>
      </c>
      <c r="C1047" s="15">
        <v>42542</v>
      </c>
      <c r="D1047" s="16">
        <v>0.3354166666666667</v>
      </c>
      <c r="E1047" s="14">
        <v>150</v>
      </c>
      <c r="F1047" s="14">
        <v>6</v>
      </c>
      <c r="G1047" s="17">
        <v>0.35083914065338789</v>
      </c>
      <c r="H1047" s="1" t="s">
        <v>0</v>
      </c>
      <c r="I1047" s="14"/>
    </row>
    <row r="1048" spans="1:9" x14ac:dyDescent="0.25">
      <c r="A1048" s="14">
        <v>2016</v>
      </c>
      <c r="B1048" s="14">
        <v>173</v>
      </c>
      <c r="C1048" s="15">
        <v>42542</v>
      </c>
      <c r="D1048" s="16">
        <v>0.34097222222222223</v>
      </c>
      <c r="E1048" s="14">
        <v>150</v>
      </c>
      <c r="F1048" s="14">
        <v>7</v>
      </c>
      <c r="G1048" s="17">
        <v>0.33154981614409762</v>
      </c>
      <c r="H1048" s="1" t="s">
        <v>143</v>
      </c>
      <c r="I1048" s="14"/>
    </row>
    <row r="1049" spans="1:9" x14ac:dyDescent="0.25">
      <c r="A1049" s="14">
        <v>2016</v>
      </c>
      <c r="B1049" s="14">
        <v>173</v>
      </c>
      <c r="C1049" s="15">
        <v>42542</v>
      </c>
      <c r="D1049" s="16">
        <v>0.34722222222222227</v>
      </c>
      <c r="E1049" s="14">
        <v>150</v>
      </c>
      <c r="F1049" s="14">
        <v>8</v>
      </c>
      <c r="G1049" s="17">
        <v>0.3412820686714893</v>
      </c>
      <c r="H1049" s="1" t="s">
        <v>143</v>
      </c>
      <c r="I1049" s="14"/>
    </row>
    <row r="1050" spans="1:9" x14ac:dyDescent="0.25">
      <c r="A1050" s="14">
        <v>2016</v>
      </c>
      <c r="B1050" s="14">
        <v>173</v>
      </c>
      <c r="C1050" s="15">
        <v>42542</v>
      </c>
      <c r="D1050" s="16">
        <v>0.35416666666666669</v>
      </c>
      <c r="E1050" s="14">
        <v>150</v>
      </c>
      <c r="F1050" s="14">
        <v>9</v>
      </c>
      <c r="G1050" s="17">
        <v>0.3398611598024901</v>
      </c>
      <c r="H1050" s="1" t="s">
        <v>143</v>
      </c>
      <c r="I1050" s="14"/>
    </row>
    <row r="1051" spans="1:9" x14ac:dyDescent="0.25">
      <c r="A1051" s="14">
        <v>2016</v>
      </c>
      <c r="B1051" s="14">
        <v>173</v>
      </c>
      <c r="C1051" s="15">
        <v>42542</v>
      </c>
      <c r="D1051" s="16">
        <v>0.3611111111111111</v>
      </c>
      <c r="E1051" s="14">
        <v>150</v>
      </c>
      <c r="F1051" s="14">
        <v>10</v>
      </c>
      <c r="G1051" s="17">
        <v>0.35788529148321951</v>
      </c>
      <c r="H1051" s="1" t="s">
        <v>143</v>
      </c>
      <c r="I1051" s="14"/>
    </row>
    <row r="1052" spans="1:9" x14ac:dyDescent="0.25">
      <c r="A1052" s="14">
        <v>2016</v>
      </c>
      <c r="B1052" s="14">
        <v>173</v>
      </c>
      <c r="C1052" s="15">
        <v>42542</v>
      </c>
      <c r="D1052" s="16">
        <v>0.37222222222222223</v>
      </c>
      <c r="E1052" s="14">
        <v>150</v>
      </c>
      <c r="F1052" s="14">
        <v>11</v>
      </c>
      <c r="G1052" s="17">
        <v>0.33970544376205181</v>
      </c>
      <c r="H1052" s="1" t="s">
        <v>144</v>
      </c>
      <c r="I1052" s="14"/>
    </row>
    <row r="1053" spans="1:9" x14ac:dyDescent="0.25">
      <c r="A1053" s="14">
        <v>2016</v>
      </c>
      <c r="B1053" s="14">
        <v>173</v>
      </c>
      <c r="C1053" s="15">
        <v>42542</v>
      </c>
      <c r="D1053" s="16">
        <v>0.37847222222222227</v>
      </c>
      <c r="E1053" s="14">
        <v>150</v>
      </c>
      <c r="F1053" s="14">
        <v>12</v>
      </c>
      <c r="G1053" s="17">
        <v>0.33954972772161357</v>
      </c>
      <c r="H1053" s="1" t="s">
        <v>144</v>
      </c>
      <c r="I1053" s="14"/>
    </row>
    <row r="1054" spans="1:9" x14ac:dyDescent="0.25">
      <c r="A1054" s="14">
        <v>2016</v>
      </c>
      <c r="B1054" s="14">
        <v>173</v>
      </c>
      <c r="C1054" s="15">
        <v>42542</v>
      </c>
      <c r="D1054" s="16">
        <v>0.38472222222222219</v>
      </c>
      <c r="E1054" s="14">
        <v>150</v>
      </c>
      <c r="F1054" s="14">
        <v>13</v>
      </c>
      <c r="G1054" s="17">
        <v>0.31251353020051942</v>
      </c>
      <c r="H1054" s="1" t="s">
        <v>144</v>
      </c>
      <c r="I1054" s="14"/>
    </row>
    <row r="1055" spans="1:9" x14ac:dyDescent="0.25">
      <c r="A1055" s="14">
        <v>2016</v>
      </c>
      <c r="B1055" s="14">
        <v>173</v>
      </c>
      <c r="C1055" s="15">
        <v>42542</v>
      </c>
      <c r="D1055" s="16">
        <v>0.39027777777777778</v>
      </c>
      <c r="E1055" s="14">
        <v>150</v>
      </c>
      <c r="F1055" s="14">
        <v>14</v>
      </c>
      <c r="G1055" s="17">
        <v>0.31220209811964289</v>
      </c>
      <c r="H1055" s="1" t="s">
        <v>144</v>
      </c>
      <c r="I1055" s="14"/>
    </row>
    <row r="1056" spans="1:9" x14ac:dyDescent="0.25">
      <c r="A1056" s="14">
        <v>2016</v>
      </c>
      <c r="B1056" s="14">
        <v>173</v>
      </c>
      <c r="C1056" s="15">
        <v>42542</v>
      </c>
      <c r="D1056" s="16">
        <v>0.39583333333333331</v>
      </c>
      <c r="E1056" s="14">
        <v>150</v>
      </c>
      <c r="F1056" s="14">
        <v>15</v>
      </c>
      <c r="G1056" s="17">
        <v>0.34118474614621536</v>
      </c>
      <c r="H1056" s="1" t="s">
        <v>1</v>
      </c>
      <c r="I1056" s="14"/>
    </row>
    <row r="1057" spans="1:9" x14ac:dyDescent="0.25">
      <c r="A1057" s="14">
        <v>2016</v>
      </c>
      <c r="B1057" s="14">
        <v>173</v>
      </c>
      <c r="C1057" s="15">
        <v>42542</v>
      </c>
      <c r="D1057" s="16">
        <v>0.40069444444444446</v>
      </c>
      <c r="E1057" s="14">
        <v>150</v>
      </c>
      <c r="F1057" s="14">
        <v>16</v>
      </c>
      <c r="G1057" s="17">
        <v>0.32837710182016788</v>
      </c>
      <c r="H1057" s="1" t="s">
        <v>1</v>
      </c>
      <c r="I1057" s="14"/>
    </row>
    <row r="1058" spans="1:9" x14ac:dyDescent="0.25">
      <c r="A1058" s="14">
        <v>2016</v>
      </c>
      <c r="B1058" s="14">
        <v>173</v>
      </c>
      <c r="C1058" s="15">
        <v>42542</v>
      </c>
      <c r="D1058" s="16">
        <v>0.40625</v>
      </c>
      <c r="E1058" s="14">
        <v>150</v>
      </c>
      <c r="F1058" s="14">
        <v>17</v>
      </c>
      <c r="G1058" s="17">
        <v>0.3295644366285097</v>
      </c>
      <c r="H1058" s="1" t="s">
        <v>144</v>
      </c>
      <c r="I1058" s="14"/>
    </row>
    <row r="1059" spans="1:9" x14ac:dyDescent="0.25">
      <c r="A1059" s="14">
        <v>2016</v>
      </c>
      <c r="B1059" s="14">
        <v>173</v>
      </c>
      <c r="C1059" s="15">
        <v>42542</v>
      </c>
      <c r="D1059" s="16">
        <v>0.41250000000000003</v>
      </c>
      <c r="E1059" s="14">
        <v>150</v>
      </c>
      <c r="F1059" s="14">
        <v>18</v>
      </c>
      <c r="G1059" s="17">
        <v>0.33805096083239522</v>
      </c>
      <c r="H1059" s="1" t="s">
        <v>144</v>
      </c>
      <c r="I1059" s="14"/>
    </row>
    <row r="1060" spans="1:9" x14ac:dyDescent="0.25">
      <c r="A1060" s="14">
        <v>2016</v>
      </c>
      <c r="B1060" s="14">
        <v>173</v>
      </c>
      <c r="C1060" s="15">
        <v>42542</v>
      </c>
      <c r="D1060" s="16">
        <v>0.41805555555555557</v>
      </c>
      <c r="E1060" s="14">
        <v>150</v>
      </c>
      <c r="F1060" s="14">
        <v>19</v>
      </c>
      <c r="G1060" s="17">
        <v>0.33699987755943694</v>
      </c>
      <c r="H1060" s="1" t="s">
        <v>144</v>
      </c>
      <c r="I1060" s="14"/>
    </row>
    <row r="1061" spans="1:9" x14ac:dyDescent="0.25">
      <c r="A1061" s="14">
        <v>2016</v>
      </c>
      <c r="B1061" s="14">
        <v>173</v>
      </c>
      <c r="C1061" s="15">
        <v>42542</v>
      </c>
      <c r="D1061" s="16">
        <v>0.42430555555555555</v>
      </c>
      <c r="E1061" s="14">
        <v>150</v>
      </c>
      <c r="F1061" s="14">
        <v>20</v>
      </c>
      <c r="G1061" s="17">
        <v>0.34988537990570351</v>
      </c>
      <c r="H1061" s="1" t="s">
        <v>144</v>
      </c>
      <c r="I1061" s="14"/>
    </row>
    <row r="1062" spans="1:9" x14ac:dyDescent="0.25">
      <c r="A1062" s="14">
        <v>2016</v>
      </c>
      <c r="B1062" s="14">
        <v>173</v>
      </c>
      <c r="C1062" s="15">
        <v>42542</v>
      </c>
      <c r="D1062" s="16">
        <v>0.3034722222222222</v>
      </c>
      <c r="E1062" s="14">
        <v>130</v>
      </c>
      <c r="F1062" s="14">
        <v>1</v>
      </c>
      <c r="G1062" s="17">
        <v>0.31558892199917521</v>
      </c>
      <c r="H1062" s="1" t="s">
        <v>143</v>
      </c>
      <c r="I1062" s="14"/>
    </row>
    <row r="1063" spans="1:9" x14ac:dyDescent="0.25">
      <c r="A1063" s="14">
        <v>2016</v>
      </c>
      <c r="B1063" s="14">
        <v>173</v>
      </c>
      <c r="C1063" s="15">
        <v>42542</v>
      </c>
      <c r="D1063" s="16">
        <v>0.31041666666666667</v>
      </c>
      <c r="E1063" s="14">
        <v>130</v>
      </c>
      <c r="F1063" s="14">
        <v>2</v>
      </c>
      <c r="G1063" s="17">
        <v>0.31541374145368217</v>
      </c>
      <c r="H1063" s="1" t="s">
        <v>143</v>
      </c>
      <c r="I1063" s="14"/>
    </row>
    <row r="1064" spans="1:9" x14ac:dyDescent="0.25">
      <c r="A1064" s="14">
        <v>2016</v>
      </c>
      <c r="B1064" s="14">
        <v>173</v>
      </c>
      <c r="C1064" s="15">
        <v>42542</v>
      </c>
      <c r="D1064" s="16">
        <v>0.31736111111111115</v>
      </c>
      <c r="E1064" s="14">
        <v>130</v>
      </c>
      <c r="F1064" s="14">
        <v>3</v>
      </c>
      <c r="G1064" s="17">
        <v>0.31076172474558894</v>
      </c>
      <c r="H1064" s="1" t="s">
        <v>143</v>
      </c>
      <c r="I1064" s="14"/>
    </row>
    <row r="1065" spans="1:9" x14ac:dyDescent="0.25">
      <c r="A1065" s="14">
        <v>2016</v>
      </c>
      <c r="B1065" s="14">
        <v>173</v>
      </c>
      <c r="C1065" s="15">
        <v>42542</v>
      </c>
      <c r="D1065" s="16">
        <v>0.32361111111111113</v>
      </c>
      <c r="E1065" s="14">
        <v>130</v>
      </c>
      <c r="F1065" s="14">
        <v>4</v>
      </c>
      <c r="G1065" s="17">
        <v>0.30842598413901495</v>
      </c>
      <c r="H1065" s="1" t="s">
        <v>143</v>
      </c>
      <c r="I1065" s="14"/>
    </row>
    <row r="1066" spans="1:9" x14ac:dyDescent="0.25">
      <c r="A1066" s="14">
        <v>2016</v>
      </c>
      <c r="B1066" s="14">
        <v>173</v>
      </c>
      <c r="C1066" s="15">
        <v>42542</v>
      </c>
      <c r="D1066" s="16">
        <v>0.33055555555555555</v>
      </c>
      <c r="E1066" s="14">
        <v>130</v>
      </c>
      <c r="F1066" s="14">
        <v>5</v>
      </c>
      <c r="G1066" s="17">
        <v>0.31545267046379172</v>
      </c>
      <c r="H1066" s="1" t="s">
        <v>0</v>
      </c>
      <c r="I1066" s="14"/>
    </row>
    <row r="1067" spans="1:9" x14ac:dyDescent="0.25">
      <c r="A1067" s="14">
        <v>2016</v>
      </c>
      <c r="B1067" s="14">
        <v>173</v>
      </c>
      <c r="C1067" s="15">
        <v>42542</v>
      </c>
      <c r="D1067" s="16">
        <v>0.3354166666666667</v>
      </c>
      <c r="E1067" s="14">
        <v>130</v>
      </c>
      <c r="F1067" s="14">
        <v>6</v>
      </c>
      <c r="G1067" s="17">
        <v>0.30521434080497567</v>
      </c>
      <c r="H1067" s="1" t="s">
        <v>0</v>
      </c>
      <c r="I1067" s="14"/>
    </row>
    <row r="1068" spans="1:9" x14ac:dyDescent="0.25">
      <c r="A1068" s="14">
        <v>2016</v>
      </c>
      <c r="B1068" s="14">
        <v>173</v>
      </c>
      <c r="C1068" s="15">
        <v>42542</v>
      </c>
      <c r="D1068" s="16">
        <v>0.34097222222222223</v>
      </c>
      <c r="E1068" s="14">
        <v>130</v>
      </c>
      <c r="F1068" s="14">
        <v>7</v>
      </c>
      <c r="G1068" s="17">
        <v>0.31681518581762658</v>
      </c>
      <c r="H1068" s="1" t="s">
        <v>143</v>
      </c>
      <c r="I1068" s="14"/>
    </row>
    <row r="1069" spans="1:9" x14ac:dyDescent="0.25">
      <c r="A1069" s="14">
        <v>2016</v>
      </c>
      <c r="B1069" s="14">
        <v>173</v>
      </c>
      <c r="C1069" s="15">
        <v>42542</v>
      </c>
      <c r="D1069" s="16">
        <v>0.34722222222222227</v>
      </c>
      <c r="E1069" s="14">
        <v>130</v>
      </c>
      <c r="F1069" s="14">
        <v>8</v>
      </c>
      <c r="G1069" s="17">
        <v>0.34813357445077309</v>
      </c>
      <c r="H1069" s="1" t="s">
        <v>143</v>
      </c>
      <c r="I1069" s="14"/>
    </row>
    <row r="1070" spans="1:9" x14ac:dyDescent="0.25">
      <c r="A1070" s="14">
        <v>2016</v>
      </c>
      <c r="B1070" s="14">
        <v>173</v>
      </c>
      <c r="C1070" s="15">
        <v>42542</v>
      </c>
      <c r="D1070" s="16">
        <v>0.35416666666666669</v>
      </c>
      <c r="E1070" s="14">
        <v>130</v>
      </c>
      <c r="F1070" s="14">
        <v>9</v>
      </c>
      <c r="G1070" s="17">
        <v>0.312104775594369</v>
      </c>
      <c r="H1070" s="1" t="s">
        <v>143</v>
      </c>
      <c r="I1070" s="14"/>
    </row>
    <row r="1071" spans="1:9" x14ac:dyDescent="0.25">
      <c r="A1071" s="14">
        <v>2016</v>
      </c>
      <c r="B1071" s="14">
        <v>173</v>
      </c>
      <c r="C1071" s="15">
        <v>42542</v>
      </c>
      <c r="D1071" s="16">
        <v>0.3611111111111111</v>
      </c>
      <c r="E1071" s="14">
        <v>130</v>
      </c>
      <c r="F1071" s="14">
        <v>10</v>
      </c>
      <c r="G1071" s="17">
        <v>0.32140880901055546</v>
      </c>
      <c r="H1071" s="1" t="s">
        <v>143</v>
      </c>
      <c r="I1071" s="14"/>
    </row>
    <row r="1072" spans="1:9" x14ac:dyDescent="0.25">
      <c r="A1072" s="14">
        <v>2016</v>
      </c>
      <c r="B1072" s="14">
        <v>173</v>
      </c>
      <c r="C1072" s="15">
        <v>42542</v>
      </c>
      <c r="D1072" s="16">
        <v>0.37222222222222223</v>
      </c>
      <c r="E1072" s="14">
        <v>130</v>
      </c>
      <c r="F1072" s="14">
        <v>11</v>
      </c>
      <c r="G1072" s="17">
        <v>0.31226049163480729</v>
      </c>
      <c r="H1072" s="1" t="s">
        <v>144</v>
      </c>
      <c r="I1072" s="14"/>
    </row>
    <row r="1073" spans="1:9" x14ac:dyDescent="0.25">
      <c r="A1073" s="14">
        <v>2016</v>
      </c>
      <c r="B1073" s="14">
        <v>173</v>
      </c>
      <c r="C1073" s="15">
        <v>42542</v>
      </c>
      <c r="D1073" s="16">
        <v>0.37847222222222227</v>
      </c>
      <c r="E1073" s="14">
        <v>130</v>
      </c>
      <c r="F1073" s="14">
        <v>12</v>
      </c>
      <c r="G1073" s="17">
        <v>0.30311217425905912</v>
      </c>
      <c r="H1073" s="1" t="s">
        <v>144</v>
      </c>
      <c r="I1073" s="14"/>
    </row>
    <row r="1074" spans="1:9" x14ac:dyDescent="0.25">
      <c r="A1074" s="14">
        <v>2016</v>
      </c>
      <c r="B1074" s="14">
        <v>173</v>
      </c>
      <c r="C1074" s="15">
        <v>42542</v>
      </c>
      <c r="D1074" s="16">
        <v>0.38472222222222219</v>
      </c>
      <c r="E1074" s="14">
        <v>130</v>
      </c>
      <c r="F1074" s="14">
        <v>13</v>
      </c>
      <c r="G1074" s="17">
        <v>0.31673732779740743</v>
      </c>
      <c r="H1074" s="1" t="s">
        <v>144</v>
      </c>
      <c r="I1074" s="14"/>
    </row>
    <row r="1075" spans="1:9" x14ac:dyDescent="0.25">
      <c r="A1075" s="14">
        <v>2016</v>
      </c>
      <c r="B1075" s="14">
        <v>173</v>
      </c>
      <c r="C1075" s="15">
        <v>42542</v>
      </c>
      <c r="D1075" s="16">
        <v>0.39027777777777778</v>
      </c>
      <c r="E1075" s="14">
        <v>130</v>
      </c>
      <c r="F1075" s="14">
        <v>14</v>
      </c>
      <c r="G1075" s="17">
        <v>0.31928717795958406</v>
      </c>
      <c r="H1075" s="1" t="s">
        <v>144</v>
      </c>
      <c r="I1075" s="14"/>
    </row>
    <row r="1076" spans="1:9" x14ac:dyDescent="0.25">
      <c r="A1076" s="14">
        <v>2016</v>
      </c>
      <c r="B1076" s="14">
        <v>173</v>
      </c>
      <c r="C1076" s="15">
        <v>42542</v>
      </c>
      <c r="D1076" s="16">
        <v>0.39583333333333331</v>
      </c>
      <c r="E1076" s="14">
        <v>130</v>
      </c>
      <c r="F1076" s="14">
        <v>15</v>
      </c>
      <c r="G1076" s="17">
        <v>0.30461094114827736</v>
      </c>
      <c r="H1076" s="1" t="s">
        <v>1</v>
      </c>
      <c r="I1076" s="14"/>
    </row>
    <row r="1077" spans="1:9" x14ac:dyDescent="0.25">
      <c r="A1077" s="14">
        <v>2016</v>
      </c>
      <c r="B1077" s="14">
        <v>173</v>
      </c>
      <c r="C1077" s="15">
        <v>42542</v>
      </c>
      <c r="D1077" s="16">
        <v>0.40069444444444446</v>
      </c>
      <c r="E1077" s="14">
        <v>130</v>
      </c>
      <c r="F1077" s="14">
        <v>16</v>
      </c>
      <c r="G1077" s="17">
        <v>0.29984213740985549</v>
      </c>
      <c r="H1077" s="1" t="s">
        <v>1</v>
      </c>
      <c r="I1077" s="14"/>
    </row>
    <row r="1078" spans="1:9" x14ac:dyDescent="0.25">
      <c r="A1078" s="14">
        <v>2016</v>
      </c>
      <c r="B1078" s="14">
        <v>173</v>
      </c>
      <c r="C1078" s="15">
        <v>42542</v>
      </c>
      <c r="D1078" s="16">
        <v>0.40625</v>
      </c>
      <c r="E1078" s="14">
        <v>130</v>
      </c>
      <c r="F1078" s="14">
        <v>17</v>
      </c>
      <c r="G1078" s="17">
        <v>0.31798305612091354</v>
      </c>
      <c r="H1078" s="1" t="s">
        <v>144</v>
      </c>
      <c r="I1078" s="14"/>
    </row>
    <row r="1079" spans="1:9" x14ac:dyDescent="0.25">
      <c r="A1079" s="14">
        <v>2016</v>
      </c>
      <c r="B1079" s="14">
        <v>173</v>
      </c>
      <c r="C1079" s="15">
        <v>42542</v>
      </c>
      <c r="D1079" s="16">
        <v>0.41250000000000003</v>
      </c>
      <c r="E1079" s="14">
        <v>130</v>
      </c>
      <c r="F1079" s="14">
        <v>18</v>
      </c>
      <c r="G1079" s="17">
        <v>0.31229942064491684</v>
      </c>
      <c r="H1079" s="1" t="s">
        <v>144</v>
      </c>
      <c r="I1079" s="14"/>
    </row>
    <row r="1080" spans="1:9" x14ac:dyDescent="0.25">
      <c r="A1080" s="14">
        <v>2016</v>
      </c>
      <c r="B1080" s="14">
        <v>173</v>
      </c>
      <c r="C1080" s="15">
        <v>42542</v>
      </c>
      <c r="D1080" s="16">
        <v>0.41805555555555557</v>
      </c>
      <c r="E1080" s="14">
        <v>130</v>
      </c>
      <c r="F1080" s="14">
        <v>19</v>
      </c>
      <c r="G1080" s="17">
        <v>0.30825080359352192</v>
      </c>
      <c r="H1080" s="1" t="s">
        <v>144</v>
      </c>
      <c r="I1080" s="14"/>
    </row>
    <row r="1081" spans="1:9" x14ac:dyDescent="0.25">
      <c r="A1081" s="14">
        <v>2016</v>
      </c>
      <c r="B1081" s="14">
        <v>173</v>
      </c>
      <c r="C1081" s="15">
        <v>42542</v>
      </c>
      <c r="D1081" s="16">
        <v>0.42430555555555555</v>
      </c>
      <c r="E1081" s="14">
        <v>130</v>
      </c>
      <c r="F1081" s="14">
        <v>20</v>
      </c>
      <c r="G1081" s="17">
        <v>0.30885420325022017</v>
      </c>
      <c r="H1081" s="1" t="s">
        <v>144</v>
      </c>
      <c r="I1081" s="14"/>
    </row>
    <row r="1082" spans="1:9" x14ac:dyDescent="0.25">
      <c r="A1082" s="14">
        <v>2016</v>
      </c>
      <c r="B1082" s="14">
        <v>173</v>
      </c>
      <c r="C1082" s="15">
        <v>42542</v>
      </c>
      <c r="D1082" s="16">
        <v>0.3034722222222222</v>
      </c>
      <c r="E1082" s="14">
        <v>110</v>
      </c>
      <c r="F1082" s="14">
        <v>1</v>
      </c>
      <c r="G1082" s="17">
        <v>0.34682620298271233</v>
      </c>
      <c r="H1082" s="1" t="s">
        <v>143</v>
      </c>
      <c r="I1082" s="14"/>
    </row>
    <row r="1083" spans="1:9" x14ac:dyDescent="0.25">
      <c r="A1083" s="14">
        <v>2016</v>
      </c>
      <c r="B1083" s="14">
        <v>173</v>
      </c>
      <c r="C1083" s="15">
        <v>42542</v>
      </c>
      <c r="D1083" s="16">
        <v>0.31041666666666667</v>
      </c>
      <c r="E1083" s="14">
        <v>110</v>
      </c>
      <c r="F1083" s="14">
        <v>2</v>
      </c>
      <c r="G1083" s="17">
        <v>0.34119322058249835</v>
      </c>
      <c r="H1083" s="1" t="s">
        <v>143</v>
      </c>
      <c r="I1083" s="14"/>
    </row>
    <row r="1084" spans="1:9" x14ac:dyDescent="0.25">
      <c r="A1084" s="14">
        <v>2016</v>
      </c>
      <c r="B1084" s="14">
        <v>173</v>
      </c>
      <c r="C1084" s="15">
        <v>42542</v>
      </c>
      <c r="D1084" s="16">
        <v>0.31736111111111115</v>
      </c>
      <c r="E1084" s="14">
        <v>110</v>
      </c>
      <c r="F1084" s="14">
        <v>3</v>
      </c>
      <c r="G1084" s="17">
        <v>0.33352228926513372</v>
      </c>
      <c r="H1084" s="1" t="s">
        <v>143</v>
      </c>
      <c r="I1084" s="14"/>
    </row>
    <row r="1085" spans="1:9" x14ac:dyDescent="0.25">
      <c r="A1085" s="14">
        <v>2016</v>
      </c>
      <c r="B1085" s="14">
        <v>173</v>
      </c>
      <c r="C1085" s="15">
        <v>42542</v>
      </c>
      <c r="D1085" s="16">
        <v>0.32361111111111113</v>
      </c>
      <c r="E1085" s="14">
        <v>110</v>
      </c>
      <c r="F1085" s="14">
        <v>4</v>
      </c>
      <c r="G1085" s="17">
        <v>0.34151379681665689</v>
      </c>
      <c r="H1085" s="1" t="s">
        <v>143</v>
      </c>
      <c r="I1085" s="14"/>
    </row>
    <row r="1086" spans="1:9" x14ac:dyDescent="0.25">
      <c r="A1086" s="14">
        <v>2016</v>
      </c>
      <c r="B1086" s="14">
        <v>173</v>
      </c>
      <c r="C1086" s="15">
        <v>42542</v>
      </c>
      <c r="D1086" s="16">
        <v>0.33055555555555555</v>
      </c>
      <c r="E1086" s="14">
        <v>110</v>
      </c>
      <c r="F1086" s="14">
        <v>5</v>
      </c>
      <c r="G1086" s="17">
        <v>0.34581867767535696</v>
      </c>
      <c r="H1086" s="1" t="s">
        <v>0</v>
      </c>
      <c r="I1086" s="14"/>
    </row>
    <row r="1087" spans="1:9" x14ac:dyDescent="0.25">
      <c r="A1087" s="14">
        <v>2016</v>
      </c>
      <c r="B1087" s="14">
        <v>173</v>
      </c>
      <c r="C1087" s="15">
        <v>42542</v>
      </c>
      <c r="D1087" s="16">
        <v>0.3354166666666667</v>
      </c>
      <c r="E1087" s="14">
        <v>110</v>
      </c>
      <c r="F1087" s="14">
        <v>6</v>
      </c>
      <c r="G1087" s="17">
        <v>0.33221708602605976</v>
      </c>
      <c r="H1087" s="1" t="s">
        <v>0</v>
      </c>
      <c r="I1087" s="14"/>
    </row>
    <row r="1088" spans="1:9" x14ac:dyDescent="0.25">
      <c r="A1088" s="14">
        <v>2016</v>
      </c>
      <c r="B1088" s="14">
        <v>173</v>
      </c>
      <c r="C1088" s="15">
        <v>42542</v>
      </c>
      <c r="D1088" s="16">
        <v>0.34097222222222223</v>
      </c>
      <c r="E1088" s="14">
        <v>110</v>
      </c>
      <c r="F1088" s="14">
        <v>7</v>
      </c>
      <c r="G1088" s="17">
        <v>0.34197176286545472</v>
      </c>
      <c r="H1088" s="1" t="s">
        <v>143</v>
      </c>
      <c r="I1088" s="14"/>
    </row>
    <row r="1089" spans="1:9" x14ac:dyDescent="0.25">
      <c r="A1089" s="14">
        <v>2016</v>
      </c>
      <c r="B1089" s="14">
        <v>173</v>
      </c>
      <c r="C1089" s="15">
        <v>42542</v>
      </c>
      <c r="D1089" s="16">
        <v>0.34722222222222227</v>
      </c>
      <c r="E1089" s="14">
        <v>110</v>
      </c>
      <c r="F1089" s="14">
        <v>8</v>
      </c>
      <c r="G1089" s="17">
        <v>0.34313957628988934</v>
      </c>
      <c r="H1089" s="1" t="s">
        <v>143</v>
      </c>
      <c r="I1089" s="14"/>
    </row>
    <row r="1090" spans="1:9" x14ac:dyDescent="0.25">
      <c r="A1090" s="14">
        <v>2016</v>
      </c>
      <c r="B1090" s="14">
        <v>173</v>
      </c>
      <c r="C1090" s="15">
        <v>42542</v>
      </c>
      <c r="D1090" s="16">
        <v>0.35416666666666669</v>
      </c>
      <c r="E1090" s="14">
        <v>110</v>
      </c>
      <c r="F1090" s="14">
        <v>9</v>
      </c>
      <c r="G1090" s="17">
        <v>0.339086576758028</v>
      </c>
      <c r="H1090" s="1" t="s">
        <v>143</v>
      </c>
      <c r="I1090" s="14"/>
    </row>
    <row r="1091" spans="1:9" x14ac:dyDescent="0.25">
      <c r="A1091" s="14">
        <v>2016</v>
      </c>
      <c r="B1091" s="14">
        <v>173</v>
      </c>
      <c r="C1091" s="15">
        <v>42542</v>
      </c>
      <c r="D1091" s="16">
        <v>0.3611111111111111</v>
      </c>
      <c r="E1091" s="14">
        <v>110</v>
      </c>
      <c r="F1091" s="14">
        <v>10</v>
      </c>
      <c r="G1091" s="17">
        <v>0.33997961055318393</v>
      </c>
      <c r="H1091" s="1" t="s">
        <v>143</v>
      </c>
      <c r="I1091" s="14"/>
    </row>
    <row r="1092" spans="1:9" x14ac:dyDescent="0.25">
      <c r="A1092" s="14">
        <v>2016</v>
      </c>
      <c r="B1092" s="14">
        <v>173</v>
      </c>
      <c r="C1092" s="15">
        <v>42542</v>
      </c>
      <c r="D1092" s="16">
        <v>0.37222222222222223</v>
      </c>
      <c r="E1092" s="14">
        <v>110</v>
      </c>
      <c r="F1092" s="14">
        <v>11</v>
      </c>
      <c r="G1092" s="17">
        <v>0.33324750963585498</v>
      </c>
      <c r="H1092" s="1" t="s">
        <v>144</v>
      </c>
      <c r="I1092" s="14"/>
    </row>
    <row r="1093" spans="1:9" x14ac:dyDescent="0.25">
      <c r="A1093" s="14">
        <v>2016</v>
      </c>
      <c r="B1093" s="14">
        <v>173</v>
      </c>
      <c r="C1093" s="15">
        <v>42542</v>
      </c>
      <c r="D1093" s="16">
        <v>0.37847222222222227</v>
      </c>
      <c r="E1093" s="14">
        <v>110</v>
      </c>
      <c r="F1093" s="14">
        <v>12</v>
      </c>
      <c r="G1093" s="17">
        <v>0.34247552551913241</v>
      </c>
      <c r="H1093" s="1" t="s">
        <v>144</v>
      </c>
      <c r="I1093" s="14"/>
    </row>
    <row r="1094" spans="1:9" x14ac:dyDescent="0.25">
      <c r="A1094" s="14">
        <v>2016</v>
      </c>
      <c r="B1094" s="14">
        <v>173</v>
      </c>
      <c r="C1094" s="15">
        <v>42542</v>
      </c>
      <c r="D1094" s="16">
        <v>0.38472222222222219</v>
      </c>
      <c r="E1094" s="14">
        <v>110</v>
      </c>
      <c r="F1094" s="14">
        <v>13</v>
      </c>
      <c r="G1094" s="17">
        <v>0.34025439018246267</v>
      </c>
      <c r="H1094" s="1" t="s">
        <v>144</v>
      </c>
      <c r="I1094" s="14"/>
    </row>
    <row r="1095" spans="1:9" x14ac:dyDescent="0.25">
      <c r="A1095" s="14">
        <v>2016</v>
      </c>
      <c r="B1095" s="14">
        <v>173</v>
      </c>
      <c r="C1095" s="15">
        <v>42542</v>
      </c>
      <c r="D1095" s="16">
        <v>0.39027777777777778</v>
      </c>
      <c r="E1095" s="14">
        <v>110</v>
      </c>
      <c r="F1095" s="14">
        <v>14</v>
      </c>
      <c r="G1095" s="17">
        <v>0.33246896735289855</v>
      </c>
      <c r="H1095" s="1" t="s">
        <v>144</v>
      </c>
      <c r="I1095" s="14"/>
    </row>
    <row r="1096" spans="1:9" x14ac:dyDescent="0.25">
      <c r="A1096" s="14">
        <v>2016</v>
      </c>
      <c r="B1096" s="14">
        <v>173</v>
      </c>
      <c r="C1096" s="15">
        <v>42542</v>
      </c>
      <c r="D1096" s="16">
        <v>0.39583333333333331</v>
      </c>
      <c r="E1096" s="14">
        <v>110</v>
      </c>
      <c r="F1096" s="14">
        <v>15</v>
      </c>
      <c r="G1096" s="17">
        <v>0.33402605191881141</v>
      </c>
      <c r="H1096" s="1" t="s">
        <v>1</v>
      </c>
      <c r="I1096" s="14"/>
    </row>
    <row r="1097" spans="1:9" x14ac:dyDescent="0.25">
      <c r="A1097" s="14">
        <v>2016</v>
      </c>
      <c r="B1097" s="14">
        <v>173</v>
      </c>
      <c r="C1097" s="15">
        <v>42542</v>
      </c>
      <c r="D1097" s="16">
        <v>0.40069444444444446</v>
      </c>
      <c r="E1097" s="14">
        <v>110</v>
      </c>
      <c r="F1097" s="14">
        <v>16</v>
      </c>
      <c r="G1097" s="17">
        <v>0.3307057980650267</v>
      </c>
      <c r="H1097" s="1" t="s">
        <v>1</v>
      </c>
      <c r="I1097" s="14"/>
    </row>
    <row r="1098" spans="1:9" x14ac:dyDescent="0.25">
      <c r="A1098" s="14">
        <v>2016</v>
      </c>
      <c r="B1098" s="14">
        <v>173</v>
      </c>
      <c r="C1098" s="15">
        <v>42542</v>
      </c>
      <c r="D1098" s="16">
        <v>0.40625</v>
      </c>
      <c r="E1098" s="14">
        <v>110</v>
      </c>
      <c r="F1098" s="14">
        <v>17</v>
      </c>
      <c r="G1098" s="17">
        <v>0.34549810144119841</v>
      </c>
      <c r="H1098" s="1" t="s">
        <v>144</v>
      </c>
      <c r="I1098" s="14"/>
    </row>
    <row r="1099" spans="1:9" x14ac:dyDescent="0.25">
      <c r="A1099" s="14">
        <v>2016</v>
      </c>
      <c r="B1099" s="14">
        <v>173</v>
      </c>
      <c r="C1099" s="15">
        <v>42542</v>
      </c>
      <c r="D1099" s="16">
        <v>0.41250000000000003</v>
      </c>
      <c r="E1099" s="14">
        <v>110</v>
      </c>
      <c r="F1099" s="14">
        <v>18</v>
      </c>
      <c r="G1099" s="17">
        <v>0.3407810511385802</v>
      </c>
      <c r="H1099" s="1" t="s">
        <v>144</v>
      </c>
      <c r="I1099" s="14"/>
    </row>
    <row r="1100" spans="1:9" x14ac:dyDescent="0.25">
      <c r="A1100" s="14">
        <v>2016</v>
      </c>
      <c r="B1100" s="14">
        <v>173</v>
      </c>
      <c r="C1100" s="15">
        <v>42542</v>
      </c>
      <c r="D1100" s="16">
        <v>0.41805555555555557</v>
      </c>
      <c r="E1100" s="14">
        <v>110</v>
      </c>
      <c r="F1100" s="14">
        <v>19</v>
      </c>
      <c r="G1100" s="17">
        <v>0.33572052629936355</v>
      </c>
      <c r="H1100" s="1" t="s">
        <v>144</v>
      </c>
      <c r="I1100" s="14"/>
    </row>
    <row r="1101" spans="1:9" x14ac:dyDescent="0.25">
      <c r="A1101" s="14">
        <v>2016</v>
      </c>
      <c r="B1101" s="14">
        <v>173</v>
      </c>
      <c r="C1101" s="15">
        <v>42542</v>
      </c>
      <c r="D1101" s="16">
        <v>0.42430555555555555</v>
      </c>
      <c r="E1101" s="14">
        <v>110</v>
      </c>
      <c r="F1101" s="14">
        <v>20</v>
      </c>
      <c r="G1101" s="17">
        <v>0.33361388247489326</v>
      </c>
      <c r="H1101" s="1" t="s">
        <v>144</v>
      </c>
      <c r="I1101" s="14"/>
    </row>
    <row r="1102" spans="1:9" x14ac:dyDescent="0.25">
      <c r="A1102" s="14">
        <v>2016</v>
      </c>
      <c r="B1102" s="14">
        <v>173</v>
      </c>
      <c r="C1102" s="15">
        <v>42542</v>
      </c>
      <c r="D1102" s="16">
        <v>0.3034722222222222</v>
      </c>
      <c r="E1102" s="14">
        <v>90</v>
      </c>
      <c r="F1102" s="14">
        <v>1</v>
      </c>
      <c r="G1102" s="17">
        <v>0.34547520313875857</v>
      </c>
      <c r="H1102" s="1" t="s">
        <v>143</v>
      </c>
      <c r="I1102" s="14"/>
    </row>
    <row r="1103" spans="1:9" x14ac:dyDescent="0.25">
      <c r="A1103" s="14">
        <v>2016</v>
      </c>
      <c r="B1103" s="14">
        <v>173</v>
      </c>
      <c r="C1103" s="15">
        <v>42542</v>
      </c>
      <c r="D1103" s="16">
        <v>0.31041666666666667</v>
      </c>
      <c r="E1103" s="14">
        <v>90</v>
      </c>
      <c r="F1103" s="14">
        <v>2</v>
      </c>
      <c r="G1103" s="17">
        <v>0.34682620298271233</v>
      </c>
      <c r="H1103" s="1" t="s">
        <v>143</v>
      </c>
      <c r="I1103" s="14"/>
    </row>
    <row r="1104" spans="1:9" x14ac:dyDescent="0.25">
      <c r="A1104" s="14">
        <v>2016</v>
      </c>
      <c r="B1104" s="14">
        <v>173</v>
      </c>
      <c r="C1104" s="15">
        <v>42542</v>
      </c>
      <c r="D1104" s="16">
        <v>0.31736111111111115</v>
      </c>
      <c r="E1104" s="14">
        <v>90</v>
      </c>
      <c r="F1104" s="14">
        <v>3</v>
      </c>
      <c r="G1104" s="17">
        <v>0.3376210854018748</v>
      </c>
      <c r="H1104" s="1" t="s">
        <v>143</v>
      </c>
      <c r="I1104" s="14"/>
    </row>
    <row r="1105" spans="1:9" x14ac:dyDescent="0.25">
      <c r="A1105" s="14">
        <v>2016</v>
      </c>
      <c r="B1105" s="14">
        <v>173</v>
      </c>
      <c r="C1105" s="15">
        <v>42542</v>
      </c>
      <c r="D1105" s="16">
        <v>0.32361111111111113</v>
      </c>
      <c r="E1105" s="14">
        <v>90</v>
      </c>
      <c r="F1105" s="14">
        <v>4</v>
      </c>
      <c r="G1105" s="17">
        <v>0.34201755947033452</v>
      </c>
      <c r="H1105" s="1" t="s">
        <v>143</v>
      </c>
      <c r="I1105" s="14"/>
    </row>
    <row r="1106" spans="1:9" x14ac:dyDescent="0.25">
      <c r="A1106" s="14">
        <v>2016</v>
      </c>
      <c r="B1106" s="14">
        <v>173</v>
      </c>
      <c r="C1106" s="15">
        <v>42542</v>
      </c>
      <c r="D1106" s="16">
        <v>0.33055555555555555</v>
      </c>
      <c r="E1106" s="14">
        <v>90</v>
      </c>
      <c r="F1106" s="14">
        <v>5</v>
      </c>
      <c r="G1106" s="17">
        <v>0.34036888169466212</v>
      </c>
      <c r="H1106" s="1" t="s">
        <v>0</v>
      </c>
      <c r="I1106" s="14"/>
    </row>
    <row r="1107" spans="1:9" x14ac:dyDescent="0.25">
      <c r="A1107" s="14">
        <v>2016</v>
      </c>
      <c r="B1107" s="14">
        <v>173</v>
      </c>
      <c r="C1107" s="15">
        <v>42542</v>
      </c>
      <c r="D1107" s="16">
        <v>0.3354166666666667</v>
      </c>
      <c r="E1107" s="14">
        <v>90</v>
      </c>
      <c r="F1107" s="14">
        <v>6</v>
      </c>
      <c r="G1107" s="17">
        <v>0.33191940809434112</v>
      </c>
      <c r="H1107" s="1" t="s">
        <v>0</v>
      </c>
      <c r="I1107" s="14"/>
    </row>
    <row r="1108" spans="1:9" x14ac:dyDescent="0.25">
      <c r="A1108" s="14">
        <v>2016</v>
      </c>
      <c r="B1108" s="14">
        <v>173</v>
      </c>
      <c r="C1108" s="15">
        <v>42542</v>
      </c>
      <c r="D1108" s="16">
        <v>0.34097222222222223</v>
      </c>
      <c r="E1108" s="14">
        <v>90</v>
      </c>
      <c r="F1108" s="14">
        <v>7</v>
      </c>
      <c r="G1108" s="17">
        <v>0.3461392539095155</v>
      </c>
      <c r="H1108" s="1" t="s">
        <v>143</v>
      </c>
      <c r="I1108" s="14"/>
    </row>
    <row r="1109" spans="1:9" x14ac:dyDescent="0.25">
      <c r="A1109" s="14">
        <v>2016</v>
      </c>
      <c r="B1109" s="14">
        <v>173</v>
      </c>
      <c r="C1109" s="15">
        <v>42542</v>
      </c>
      <c r="D1109" s="16">
        <v>0.34722222222222227</v>
      </c>
      <c r="E1109" s="14">
        <v>90</v>
      </c>
      <c r="F1109" s="14">
        <v>8</v>
      </c>
      <c r="G1109" s="17">
        <v>0.34165118663129618</v>
      </c>
      <c r="H1109" s="1" t="s">
        <v>143</v>
      </c>
      <c r="I1109" s="14"/>
    </row>
    <row r="1110" spans="1:9" x14ac:dyDescent="0.25">
      <c r="A1110" s="14">
        <v>2016</v>
      </c>
      <c r="B1110" s="14">
        <v>173</v>
      </c>
      <c r="C1110" s="15">
        <v>42542</v>
      </c>
      <c r="D1110" s="16">
        <v>0.35416666666666669</v>
      </c>
      <c r="E1110" s="14">
        <v>90</v>
      </c>
      <c r="F1110" s="14">
        <v>9</v>
      </c>
      <c r="G1110" s="17">
        <v>0.3408497460458999</v>
      </c>
      <c r="H1110" s="1" t="s">
        <v>143</v>
      </c>
      <c r="I1110" s="14"/>
    </row>
    <row r="1111" spans="1:9" x14ac:dyDescent="0.25">
      <c r="A1111" s="14">
        <v>2016</v>
      </c>
      <c r="B1111" s="14">
        <v>173</v>
      </c>
      <c r="C1111" s="15">
        <v>42542</v>
      </c>
      <c r="D1111" s="16">
        <v>0.3611111111111111</v>
      </c>
      <c r="E1111" s="14">
        <v>90</v>
      </c>
      <c r="F1111" s="14">
        <v>10</v>
      </c>
      <c r="G1111" s="17">
        <v>0.3461392539095155</v>
      </c>
      <c r="H1111" s="1" t="s">
        <v>143</v>
      </c>
      <c r="I1111" s="14"/>
    </row>
    <row r="1112" spans="1:9" x14ac:dyDescent="0.25">
      <c r="A1112" s="14">
        <v>2016</v>
      </c>
      <c r="B1112" s="14">
        <v>173</v>
      </c>
      <c r="C1112" s="15">
        <v>42542</v>
      </c>
      <c r="D1112" s="16">
        <v>0.37222222222222223</v>
      </c>
      <c r="E1112" s="14">
        <v>90</v>
      </c>
      <c r="F1112" s="14">
        <v>11</v>
      </c>
      <c r="G1112" s="17">
        <v>0.33986511904098443</v>
      </c>
      <c r="H1112" s="1" t="s">
        <v>144</v>
      </c>
      <c r="I1112" s="14"/>
    </row>
    <row r="1113" spans="1:9" x14ac:dyDescent="0.25">
      <c r="A1113" s="14">
        <v>2016</v>
      </c>
      <c r="B1113" s="14">
        <v>173</v>
      </c>
      <c r="C1113" s="15">
        <v>42542</v>
      </c>
      <c r="D1113" s="16">
        <v>0.37847222222222227</v>
      </c>
      <c r="E1113" s="14">
        <v>90</v>
      </c>
      <c r="F1113" s="14">
        <v>12</v>
      </c>
      <c r="G1113" s="17">
        <v>0.34013989867026317</v>
      </c>
      <c r="H1113" s="1" t="s">
        <v>144</v>
      </c>
      <c r="I1113" s="14"/>
    </row>
    <row r="1114" spans="1:9" x14ac:dyDescent="0.25">
      <c r="A1114" s="14">
        <v>2016</v>
      </c>
      <c r="B1114" s="14">
        <v>173</v>
      </c>
      <c r="C1114" s="15">
        <v>42542</v>
      </c>
      <c r="D1114" s="16">
        <v>0.38472222222222219</v>
      </c>
      <c r="E1114" s="14">
        <v>90</v>
      </c>
      <c r="F1114" s="14">
        <v>13</v>
      </c>
      <c r="G1114" s="17">
        <v>0.33727761086527636</v>
      </c>
      <c r="H1114" s="1" t="s">
        <v>144</v>
      </c>
      <c r="I1114" s="14"/>
    </row>
    <row r="1115" spans="1:9" x14ac:dyDescent="0.25">
      <c r="A1115" s="14">
        <v>2016</v>
      </c>
      <c r="B1115" s="14">
        <v>173</v>
      </c>
      <c r="C1115" s="15">
        <v>42542</v>
      </c>
      <c r="D1115" s="16">
        <v>0.39027777777777778</v>
      </c>
      <c r="E1115" s="14">
        <v>90</v>
      </c>
      <c r="F1115" s="14">
        <v>14</v>
      </c>
      <c r="G1115" s="17">
        <v>0.33361388247489326</v>
      </c>
      <c r="H1115" s="1" t="s">
        <v>144</v>
      </c>
      <c r="I1115" s="14"/>
    </row>
    <row r="1116" spans="1:9" x14ac:dyDescent="0.25">
      <c r="A1116" s="14">
        <v>2016</v>
      </c>
      <c r="B1116" s="14">
        <v>173</v>
      </c>
      <c r="C1116" s="15">
        <v>42542</v>
      </c>
      <c r="D1116" s="16">
        <v>0.39583333333333331</v>
      </c>
      <c r="E1116" s="14">
        <v>90</v>
      </c>
      <c r="F1116" s="14">
        <v>15</v>
      </c>
      <c r="G1116" s="17">
        <v>0.33297273000657623</v>
      </c>
      <c r="H1116" s="1" t="s">
        <v>1</v>
      </c>
      <c r="I1116" s="14"/>
    </row>
    <row r="1117" spans="1:9" x14ac:dyDescent="0.25">
      <c r="A1117" s="14">
        <v>2016</v>
      </c>
      <c r="B1117" s="14">
        <v>173</v>
      </c>
      <c r="C1117" s="15">
        <v>42542</v>
      </c>
      <c r="D1117" s="16">
        <v>0.40069444444444446</v>
      </c>
      <c r="E1117" s="14">
        <v>90</v>
      </c>
      <c r="F1117" s="14">
        <v>16</v>
      </c>
      <c r="G1117" s="17">
        <v>0.3292861033137533</v>
      </c>
      <c r="H1117" s="1" t="s">
        <v>1</v>
      </c>
      <c r="I1117" s="14"/>
    </row>
    <row r="1118" spans="1:9" x14ac:dyDescent="0.25">
      <c r="A1118" s="14">
        <v>2016</v>
      </c>
      <c r="B1118" s="14">
        <v>173</v>
      </c>
      <c r="C1118" s="15">
        <v>42542</v>
      </c>
      <c r="D1118" s="16">
        <v>0.40625</v>
      </c>
      <c r="E1118" s="14">
        <v>90</v>
      </c>
      <c r="F1118" s="14">
        <v>17</v>
      </c>
      <c r="G1118" s="17">
        <v>0.34213205098253396</v>
      </c>
      <c r="H1118" s="1" t="s">
        <v>144</v>
      </c>
      <c r="I1118" s="14"/>
    </row>
    <row r="1119" spans="1:9" x14ac:dyDescent="0.25">
      <c r="A1119" s="14">
        <v>2016</v>
      </c>
      <c r="B1119" s="14">
        <v>173</v>
      </c>
      <c r="C1119" s="15">
        <v>42542</v>
      </c>
      <c r="D1119" s="16">
        <v>0.41250000000000003</v>
      </c>
      <c r="E1119" s="14">
        <v>90</v>
      </c>
      <c r="F1119" s="14">
        <v>18</v>
      </c>
      <c r="G1119" s="17">
        <v>0.33750659388967535</v>
      </c>
      <c r="H1119" s="1" t="s">
        <v>144</v>
      </c>
      <c r="I1119" s="14"/>
    </row>
    <row r="1120" spans="1:9" x14ac:dyDescent="0.25">
      <c r="A1120" s="14">
        <v>2016</v>
      </c>
      <c r="B1120" s="14">
        <v>173</v>
      </c>
      <c r="C1120" s="15">
        <v>42542</v>
      </c>
      <c r="D1120" s="16">
        <v>0.41805555555555557</v>
      </c>
      <c r="E1120" s="14">
        <v>90</v>
      </c>
      <c r="F1120" s="14">
        <v>19</v>
      </c>
      <c r="G1120" s="17">
        <v>0.33576632290424335</v>
      </c>
      <c r="H1120" s="1" t="s">
        <v>144</v>
      </c>
      <c r="I1120" s="14"/>
    </row>
    <row r="1121" spans="1:9" x14ac:dyDescent="0.25">
      <c r="A1121" s="14">
        <v>2016</v>
      </c>
      <c r="B1121" s="14">
        <v>173</v>
      </c>
      <c r="C1121" s="15">
        <v>42542</v>
      </c>
      <c r="D1121" s="16">
        <v>0.42430555555555555</v>
      </c>
      <c r="E1121" s="14">
        <v>90</v>
      </c>
      <c r="F1121" s="14">
        <v>20</v>
      </c>
      <c r="G1121" s="17">
        <v>0.33659066179207958</v>
      </c>
      <c r="H1121" s="1" t="s">
        <v>144</v>
      </c>
      <c r="I1121" s="14"/>
    </row>
    <row r="1122" spans="1:9" x14ac:dyDescent="0.25">
      <c r="A1122" s="14">
        <v>2016</v>
      </c>
      <c r="B1122" s="14">
        <v>173</v>
      </c>
      <c r="C1122" s="15">
        <v>42542</v>
      </c>
      <c r="D1122" s="16">
        <v>0.3034722222222222</v>
      </c>
      <c r="E1122" s="14">
        <v>70</v>
      </c>
      <c r="F1122" s="14">
        <v>1</v>
      </c>
      <c r="G1122" s="17">
        <v>0.35266527010488535</v>
      </c>
      <c r="H1122" s="1" t="s">
        <v>143</v>
      </c>
      <c r="I1122" s="14"/>
    </row>
    <row r="1123" spans="1:9" x14ac:dyDescent="0.25">
      <c r="A1123" s="14">
        <v>2016</v>
      </c>
      <c r="B1123" s="14">
        <v>173</v>
      </c>
      <c r="C1123" s="15">
        <v>42542</v>
      </c>
      <c r="D1123" s="16">
        <v>0.31041666666666667</v>
      </c>
      <c r="E1123" s="14">
        <v>70</v>
      </c>
      <c r="F1123" s="14">
        <v>2</v>
      </c>
      <c r="G1123" s="17">
        <v>0.35062732118773476</v>
      </c>
      <c r="H1123" s="1" t="s">
        <v>143</v>
      </c>
      <c r="I1123" s="14"/>
    </row>
    <row r="1124" spans="1:9" x14ac:dyDescent="0.25">
      <c r="A1124" s="14">
        <v>2016</v>
      </c>
      <c r="B1124" s="14">
        <v>173</v>
      </c>
      <c r="C1124" s="15">
        <v>42542</v>
      </c>
      <c r="D1124" s="16">
        <v>0.31736111111111115</v>
      </c>
      <c r="E1124" s="14">
        <v>70</v>
      </c>
      <c r="F1124" s="14">
        <v>3</v>
      </c>
      <c r="G1124" s="17">
        <v>0.34655142335343359</v>
      </c>
      <c r="H1124" s="1" t="s">
        <v>143</v>
      </c>
      <c r="I1124" s="14"/>
    </row>
    <row r="1125" spans="1:9" x14ac:dyDescent="0.25">
      <c r="A1125" s="14">
        <v>2016</v>
      </c>
      <c r="B1125" s="14">
        <v>173</v>
      </c>
      <c r="C1125" s="15">
        <v>42542</v>
      </c>
      <c r="D1125" s="16">
        <v>0.32361111111111113</v>
      </c>
      <c r="E1125" s="14">
        <v>70</v>
      </c>
      <c r="F1125" s="14">
        <v>4</v>
      </c>
      <c r="G1125" s="17">
        <v>0.34066655962638076</v>
      </c>
      <c r="H1125" s="1" t="s">
        <v>143</v>
      </c>
      <c r="I1125" s="14"/>
    </row>
    <row r="1126" spans="1:9" x14ac:dyDescent="0.25">
      <c r="A1126" s="14">
        <v>2016</v>
      </c>
      <c r="B1126" s="14">
        <v>173</v>
      </c>
      <c r="C1126" s="15">
        <v>42542</v>
      </c>
      <c r="D1126" s="16">
        <v>0.33055555555555555</v>
      </c>
      <c r="E1126" s="14">
        <v>70</v>
      </c>
      <c r="F1126" s="14">
        <v>5</v>
      </c>
      <c r="G1126" s="17">
        <v>0.34222364419229356</v>
      </c>
      <c r="H1126" s="1" t="s">
        <v>0</v>
      </c>
      <c r="I1126" s="14"/>
    </row>
    <row r="1127" spans="1:9" x14ac:dyDescent="0.25">
      <c r="A1127" s="14">
        <v>2016</v>
      </c>
      <c r="B1127" s="14">
        <v>173</v>
      </c>
      <c r="C1127" s="15">
        <v>42542</v>
      </c>
      <c r="D1127" s="16">
        <v>0.3354166666666667</v>
      </c>
      <c r="E1127" s="14">
        <v>70</v>
      </c>
      <c r="F1127" s="14">
        <v>6</v>
      </c>
      <c r="G1127" s="17">
        <v>0.34066655962638076</v>
      </c>
      <c r="H1127" s="1" t="s">
        <v>0</v>
      </c>
      <c r="I1127" s="14"/>
    </row>
    <row r="1128" spans="1:9" x14ac:dyDescent="0.25">
      <c r="A1128" s="14">
        <v>2016</v>
      </c>
      <c r="B1128" s="14">
        <v>173</v>
      </c>
      <c r="C1128" s="15">
        <v>42542</v>
      </c>
      <c r="D1128" s="16">
        <v>0.34097222222222223</v>
      </c>
      <c r="E1128" s="14">
        <v>70</v>
      </c>
      <c r="F1128" s="14">
        <v>7</v>
      </c>
      <c r="G1128" s="17">
        <v>0.3461850505143953</v>
      </c>
      <c r="H1128" s="1" t="s">
        <v>143</v>
      </c>
      <c r="I1128" s="14"/>
    </row>
    <row r="1129" spans="1:9" x14ac:dyDescent="0.25">
      <c r="A1129" s="14">
        <v>2016</v>
      </c>
      <c r="B1129" s="14">
        <v>173</v>
      </c>
      <c r="C1129" s="15">
        <v>42542</v>
      </c>
      <c r="D1129" s="16">
        <v>0.34722222222222227</v>
      </c>
      <c r="E1129" s="14">
        <v>70</v>
      </c>
      <c r="F1129" s="14">
        <v>8</v>
      </c>
      <c r="G1129" s="17">
        <v>0.34320827119720904</v>
      </c>
      <c r="H1129" s="1" t="s">
        <v>143</v>
      </c>
      <c r="I1129" s="14"/>
    </row>
    <row r="1130" spans="1:9" x14ac:dyDescent="0.25">
      <c r="A1130" s="14">
        <v>2016</v>
      </c>
      <c r="B1130" s="14">
        <v>173</v>
      </c>
      <c r="C1130" s="15">
        <v>42542</v>
      </c>
      <c r="D1130" s="16">
        <v>0.35416666666666669</v>
      </c>
      <c r="E1130" s="14">
        <v>70</v>
      </c>
      <c r="F1130" s="14">
        <v>9</v>
      </c>
      <c r="G1130" s="17">
        <v>0.34476535576312184</v>
      </c>
      <c r="H1130" s="1" t="s">
        <v>143</v>
      </c>
      <c r="I1130" s="14"/>
    </row>
    <row r="1131" spans="1:9" x14ac:dyDescent="0.25">
      <c r="A1131" s="14">
        <v>2016</v>
      </c>
      <c r="B1131" s="14">
        <v>173</v>
      </c>
      <c r="C1131" s="15">
        <v>42542</v>
      </c>
      <c r="D1131" s="16">
        <v>0.3611111111111111</v>
      </c>
      <c r="E1131" s="14">
        <v>70</v>
      </c>
      <c r="F1131" s="14">
        <v>10</v>
      </c>
      <c r="G1131" s="17">
        <v>0.35424525297323811</v>
      </c>
      <c r="H1131" s="1" t="s">
        <v>143</v>
      </c>
      <c r="I1131" s="14"/>
    </row>
    <row r="1132" spans="1:9" x14ac:dyDescent="0.25">
      <c r="A1132" s="14">
        <v>2016</v>
      </c>
      <c r="B1132" s="14">
        <v>173</v>
      </c>
      <c r="C1132" s="15">
        <v>42542</v>
      </c>
      <c r="D1132" s="16">
        <v>0.37222222222222223</v>
      </c>
      <c r="E1132" s="14">
        <v>70</v>
      </c>
      <c r="F1132" s="14">
        <v>11</v>
      </c>
      <c r="G1132" s="17">
        <v>0.34568128786071761</v>
      </c>
      <c r="H1132" s="1" t="s">
        <v>144</v>
      </c>
      <c r="I1132" s="14"/>
    </row>
    <row r="1133" spans="1:9" x14ac:dyDescent="0.25">
      <c r="A1133" s="14">
        <v>2016</v>
      </c>
      <c r="B1133" s="14">
        <v>173</v>
      </c>
      <c r="C1133" s="15">
        <v>42542</v>
      </c>
      <c r="D1133" s="16">
        <v>0.37847222222222227</v>
      </c>
      <c r="E1133" s="14">
        <v>70</v>
      </c>
      <c r="F1133" s="14">
        <v>12</v>
      </c>
      <c r="G1133" s="17">
        <v>0.33530835685544552</v>
      </c>
      <c r="H1133" s="1" t="s">
        <v>144</v>
      </c>
      <c r="I1133" s="14"/>
    </row>
    <row r="1134" spans="1:9" x14ac:dyDescent="0.25">
      <c r="A1134" s="14">
        <v>2016</v>
      </c>
      <c r="B1134" s="14">
        <v>173</v>
      </c>
      <c r="C1134" s="15">
        <v>42542</v>
      </c>
      <c r="D1134" s="16">
        <v>0.38472222222222219</v>
      </c>
      <c r="E1134" s="14">
        <v>70</v>
      </c>
      <c r="F1134" s="14">
        <v>13</v>
      </c>
      <c r="G1134" s="17">
        <v>0.33581211950912315</v>
      </c>
      <c r="H1134" s="1" t="s">
        <v>144</v>
      </c>
      <c r="I1134" s="14"/>
    </row>
    <row r="1135" spans="1:9" x14ac:dyDescent="0.25">
      <c r="A1135" s="14">
        <v>2016</v>
      </c>
      <c r="B1135" s="14">
        <v>173</v>
      </c>
      <c r="C1135" s="15">
        <v>42542</v>
      </c>
      <c r="D1135" s="16">
        <v>0.39027777777777778</v>
      </c>
      <c r="E1135" s="14">
        <v>70</v>
      </c>
      <c r="F1135" s="14">
        <v>14</v>
      </c>
      <c r="G1135" s="17">
        <v>0.34242972891425266</v>
      </c>
      <c r="H1135" s="1" t="s">
        <v>144</v>
      </c>
      <c r="I1135" s="14"/>
    </row>
    <row r="1136" spans="1:9" x14ac:dyDescent="0.25">
      <c r="A1136" s="14">
        <v>2016</v>
      </c>
      <c r="B1136" s="14">
        <v>173</v>
      </c>
      <c r="C1136" s="15">
        <v>42542</v>
      </c>
      <c r="D1136" s="16">
        <v>0.39583333333333331</v>
      </c>
      <c r="E1136" s="14">
        <v>70</v>
      </c>
      <c r="F1136" s="14">
        <v>15</v>
      </c>
      <c r="G1136" s="17">
        <v>0.33304142491389593</v>
      </c>
      <c r="H1136" s="1" t="s">
        <v>1</v>
      </c>
      <c r="I1136" s="14"/>
    </row>
    <row r="1137" spans="1:9" x14ac:dyDescent="0.25">
      <c r="A1137" s="14">
        <v>2016</v>
      </c>
      <c r="B1137" s="14">
        <v>173</v>
      </c>
      <c r="C1137" s="15">
        <v>42542</v>
      </c>
      <c r="D1137" s="16">
        <v>0.40069444444444446</v>
      </c>
      <c r="E1137" s="14">
        <v>70</v>
      </c>
      <c r="F1137" s="14">
        <v>16</v>
      </c>
      <c r="G1137" s="17">
        <v>0.33306432321633583</v>
      </c>
      <c r="H1137" s="1" t="s">
        <v>1</v>
      </c>
      <c r="I1137" s="14"/>
    </row>
    <row r="1138" spans="1:9" x14ac:dyDescent="0.25">
      <c r="A1138" s="14">
        <v>2016</v>
      </c>
      <c r="B1138" s="14">
        <v>173</v>
      </c>
      <c r="C1138" s="15">
        <v>42542</v>
      </c>
      <c r="D1138" s="16">
        <v>0.40625</v>
      </c>
      <c r="E1138" s="14">
        <v>70</v>
      </c>
      <c r="F1138" s="14">
        <v>17</v>
      </c>
      <c r="G1138" s="17">
        <v>0.3461163556070756</v>
      </c>
      <c r="H1138" s="1" t="s">
        <v>144</v>
      </c>
      <c r="I1138" s="14"/>
    </row>
    <row r="1139" spans="1:9" x14ac:dyDescent="0.25">
      <c r="A1139" s="14">
        <v>2016</v>
      </c>
      <c r="B1139" s="14">
        <v>173</v>
      </c>
      <c r="C1139" s="15">
        <v>42542</v>
      </c>
      <c r="D1139" s="16">
        <v>0.41250000000000003</v>
      </c>
      <c r="E1139" s="14">
        <v>70</v>
      </c>
      <c r="F1139" s="14">
        <v>18</v>
      </c>
      <c r="G1139" s="17">
        <v>0.3393613563873068</v>
      </c>
      <c r="H1139" s="1" t="s">
        <v>144</v>
      </c>
      <c r="I1139" s="14"/>
    </row>
    <row r="1140" spans="1:9" x14ac:dyDescent="0.25">
      <c r="A1140" s="14">
        <v>2016</v>
      </c>
      <c r="B1140" s="14">
        <v>173</v>
      </c>
      <c r="C1140" s="15">
        <v>42542</v>
      </c>
      <c r="D1140" s="16">
        <v>0.41805555555555557</v>
      </c>
      <c r="E1140" s="14">
        <v>70</v>
      </c>
      <c r="F1140" s="14">
        <v>19</v>
      </c>
      <c r="G1140" s="17">
        <v>0.33798745824091309</v>
      </c>
      <c r="H1140" s="1" t="s">
        <v>144</v>
      </c>
      <c r="I1140" s="14"/>
    </row>
    <row r="1141" spans="1:9" x14ac:dyDescent="0.25">
      <c r="A1141" s="14">
        <v>2016</v>
      </c>
      <c r="B1141" s="14">
        <v>173</v>
      </c>
      <c r="C1141" s="15">
        <v>42542</v>
      </c>
      <c r="D1141" s="16">
        <v>0.42430555555555555</v>
      </c>
      <c r="E1141" s="14">
        <v>70</v>
      </c>
      <c r="F1141" s="14">
        <v>20</v>
      </c>
      <c r="G1141" s="17">
        <v>0.34293349156793029</v>
      </c>
      <c r="H1141" s="1" t="s">
        <v>144</v>
      </c>
      <c r="I1141" s="14"/>
    </row>
    <row r="1142" spans="1:9" x14ac:dyDescent="0.25">
      <c r="A1142" s="14">
        <v>2016</v>
      </c>
      <c r="B1142" s="14">
        <v>173</v>
      </c>
      <c r="C1142" s="15">
        <v>42542</v>
      </c>
      <c r="D1142" s="16">
        <v>0.3034722222222222</v>
      </c>
      <c r="E1142" s="14">
        <v>50</v>
      </c>
      <c r="F1142" s="14">
        <v>1</v>
      </c>
      <c r="G1142" s="17">
        <v>0.3493221179486608</v>
      </c>
      <c r="H1142" s="1" t="s">
        <v>143</v>
      </c>
      <c r="I1142" s="14"/>
    </row>
    <row r="1143" spans="1:9" x14ac:dyDescent="0.25">
      <c r="A1143" s="14">
        <v>2016</v>
      </c>
      <c r="B1143" s="14">
        <v>173</v>
      </c>
      <c r="C1143" s="15">
        <v>42542</v>
      </c>
      <c r="D1143" s="16">
        <v>0.31041666666666667</v>
      </c>
      <c r="E1143" s="14">
        <v>50</v>
      </c>
      <c r="F1143" s="14">
        <v>2</v>
      </c>
      <c r="G1143" s="17">
        <v>0.35662667642698709</v>
      </c>
      <c r="H1143" s="1" t="s">
        <v>143</v>
      </c>
      <c r="I1143" s="14"/>
    </row>
    <row r="1144" spans="1:9" x14ac:dyDescent="0.25">
      <c r="A1144" s="14">
        <v>2016</v>
      </c>
      <c r="B1144" s="14">
        <v>173</v>
      </c>
      <c r="C1144" s="15">
        <v>42542</v>
      </c>
      <c r="D1144" s="16">
        <v>0.31736111111111115</v>
      </c>
      <c r="E1144" s="14">
        <v>50</v>
      </c>
      <c r="F1144" s="14">
        <v>3</v>
      </c>
      <c r="G1144" s="17">
        <v>0.35511538846595408</v>
      </c>
      <c r="H1144" s="1" t="s">
        <v>143</v>
      </c>
      <c r="I1144" s="14"/>
    </row>
    <row r="1145" spans="1:9" x14ac:dyDescent="0.25">
      <c r="A1145" s="14">
        <v>2016</v>
      </c>
      <c r="B1145" s="14">
        <v>173</v>
      </c>
      <c r="C1145" s="15">
        <v>42542</v>
      </c>
      <c r="D1145" s="16">
        <v>0.32361111111111113</v>
      </c>
      <c r="E1145" s="14">
        <v>50</v>
      </c>
      <c r="F1145" s="14">
        <v>4</v>
      </c>
      <c r="G1145" s="17">
        <v>0.34169698323617603</v>
      </c>
      <c r="H1145" s="1" t="s">
        <v>143</v>
      </c>
      <c r="I1145" s="14"/>
    </row>
    <row r="1146" spans="1:9" x14ac:dyDescent="0.25">
      <c r="A1146" s="14">
        <v>2016</v>
      </c>
      <c r="B1146" s="14">
        <v>173</v>
      </c>
      <c r="C1146" s="15">
        <v>42542</v>
      </c>
      <c r="D1146" s="16">
        <v>0.33055555555555555</v>
      </c>
      <c r="E1146" s="14">
        <v>50</v>
      </c>
      <c r="F1146" s="14">
        <v>5</v>
      </c>
      <c r="G1146" s="17">
        <v>0.34339145761672818</v>
      </c>
      <c r="H1146" s="1" t="s">
        <v>0</v>
      </c>
      <c r="I1146" s="14"/>
    </row>
    <row r="1147" spans="1:9" x14ac:dyDescent="0.25">
      <c r="A1147" s="14">
        <v>2016</v>
      </c>
      <c r="B1147" s="14">
        <v>173</v>
      </c>
      <c r="C1147" s="15">
        <v>42542</v>
      </c>
      <c r="D1147" s="16">
        <v>0.3354166666666667</v>
      </c>
      <c r="E1147" s="14">
        <v>50</v>
      </c>
      <c r="F1147" s="14">
        <v>6</v>
      </c>
      <c r="G1147" s="17">
        <v>0.344513474436283</v>
      </c>
      <c r="H1147" s="1" t="s">
        <v>0</v>
      </c>
      <c r="I1147" s="14"/>
    </row>
    <row r="1148" spans="1:9" x14ac:dyDescent="0.25">
      <c r="A1148" s="14">
        <v>2016</v>
      </c>
      <c r="B1148" s="14">
        <v>173</v>
      </c>
      <c r="C1148" s="15">
        <v>42542</v>
      </c>
      <c r="D1148" s="16">
        <v>0.34097222222222223</v>
      </c>
      <c r="E1148" s="14">
        <v>50</v>
      </c>
      <c r="F1148" s="14">
        <v>7</v>
      </c>
      <c r="G1148" s="17">
        <v>0.35142876177313109</v>
      </c>
      <c r="H1148" s="1" t="s">
        <v>143</v>
      </c>
      <c r="I1148" s="14"/>
    </row>
    <row r="1149" spans="1:9" x14ac:dyDescent="0.25">
      <c r="A1149" s="14">
        <v>2016</v>
      </c>
      <c r="B1149" s="14">
        <v>173</v>
      </c>
      <c r="C1149" s="15">
        <v>42542</v>
      </c>
      <c r="D1149" s="16">
        <v>0.34722222222222227</v>
      </c>
      <c r="E1149" s="14">
        <v>50</v>
      </c>
      <c r="F1149" s="14">
        <v>8</v>
      </c>
      <c r="G1149" s="17">
        <v>0.34737576224126981</v>
      </c>
      <c r="H1149" s="1" t="s">
        <v>143</v>
      </c>
      <c r="I1149" s="14"/>
    </row>
    <row r="1150" spans="1:9" x14ac:dyDescent="0.25">
      <c r="A1150" s="14">
        <v>2016</v>
      </c>
      <c r="B1150" s="14">
        <v>173</v>
      </c>
      <c r="C1150" s="15">
        <v>42542</v>
      </c>
      <c r="D1150" s="16">
        <v>0.35416666666666669</v>
      </c>
      <c r="E1150" s="14">
        <v>50</v>
      </c>
      <c r="F1150" s="14">
        <v>9</v>
      </c>
      <c r="G1150" s="17">
        <v>0.35587103244647061</v>
      </c>
      <c r="H1150" s="1" t="s">
        <v>143</v>
      </c>
      <c r="I1150" s="14"/>
    </row>
    <row r="1151" spans="1:9" x14ac:dyDescent="0.25">
      <c r="A1151" s="14">
        <v>2016</v>
      </c>
      <c r="B1151" s="14">
        <v>173</v>
      </c>
      <c r="C1151" s="15">
        <v>42542</v>
      </c>
      <c r="D1151" s="16">
        <v>0.3611111111111111</v>
      </c>
      <c r="E1151" s="14">
        <v>50</v>
      </c>
      <c r="F1151" s="14">
        <v>10</v>
      </c>
      <c r="G1151" s="17">
        <v>0.36189328598816278</v>
      </c>
      <c r="H1151" s="1" t="s">
        <v>143</v>
      </c>
      <c r="I1151" s="14"/>
    </row>
    <row r="1152" spans="1:9" x14ac:dyDescent="0.25">
      <c r="A1152" s="14">
        <v>2016</v>
      </c>
      <c r="B1152" s="14">
        <v>173</v>
      </c>
      <c r="C1152" s="15">
        <v>42542</v>
      </c>
      <c r="D1152" s="16">
        <v>0.37222222222222223</v>
      </c>
      <c r="E1152" s="14">
        <v>50</v>
      </c>
      <c r="F1152" s="14">
        <v>11</v>
      </c>
      <c r="G1152" s="17">
        <v>0.35321482936344284</v>
      </c>
      <c r="H1152" s="1" t="s">
        <v>144</v>
      </c>
      <c r="I1152" s="14"/>
    </row>
    <row r="1153" spans="1:9" x14ac:dyDescent="0.25">
      <c r="A1153" s="14">
        <v>2016</v>
      </c>
      <c r="B1153" s="14">
        <v>173</v>
      </c>
      <c r="C1153" s="15">
        <v>42542</v>
      </c>
      <c r="D1153" s="16">
        <v>0.37847222222222227</v>
      </c>
      <c r="E1153" s="14">
        <v>50</v>
      </c>
      <c r="F1153" s="14">
        <v>12</v>
      </c>
      <c r="G1153" s="17">
        <v>0.34588737258267666</v>
      </c>
      <c r="H1153" s="1" t="s">
        <v>144</v>
      </c>
      <c r="I1153" s="14"/>
    </row>
    <row r="1154" spans="1:9" x14ac:dyDescent="0.25">
      <c r="A1154" s="14">
        <v>2016</v>
      </c>
      <c r="B1154" s="14">
        <v>173</v>
      </c>
      <c r="C1154" s="15">
        <v>42542</v>
      </c>
      <c r="D1154" s="16">
        <v>0.38472222222222219</v>
      </c>
      <c r="E1154" s="14">
        <v>50</v>
      </c>
      <c r="F1154" s="14">
        <v>13</v>
      </c>
      <c r="G1154" s="17">
        <v>0.31598218959617463</v>
      </c>
      <c r="H1154" s="1" t="s">
        <v>144</v>
      </c>
      <c r="I1154" s="14"/>
    </row>
    <row r="1155" spans="1:9" x14ac:dyDescent="0.25">
      <c r="A1155" s="14">
        <v>2016</v>
      </c>
      <c r="B1155" s="14">
        <v>173</v>
      </c>
      <c r="C1155" s="15">
        <v>42542</v>
      </c>
      <c r="D1155" s="16">
        <v>0.39027777777777778</v>
      </c>
      <c r="E1155" s="14">
        <v>50</v>
      </c>
      <c r="F1155" s="14">
        <v>14</v>
      </c>
      <c r="G1155" s="17">
        <v>0.3155471218498167</v>
      </c>
      <c r="H1155" s="1" t="s">
        <v>144</v>
      </c>
      <c r="I1155" s="14"/>
    </row>
    <row r="1156" spans="1:9" x14ac:dyDescent="0.25">
      <c r="A1156" s="14">
        <v>2016</v>
      </c>
      <c r="B1156" s="14">
        <v>173</v>
      </c>
      <c r="C1156" s="15">
        <v>42542</v>
      </c>
      <c r="D1156" s="16">
        <v>0.39583333333333331</v>
      </c>
      <c r="E1156" s="14">
        <v>50</v>
      </c>
      <c r="F1156" s="14">
        <v>15</v>
      </c>
      <c r="G1156" s="17">
        <v>0.31996649422071627</v>
      </c>
      <c r="H1156" s="1" t="s">
        <v>1</v>
      </c>
      <c r="I1156" s="14"/>
    </row>
    <row r="1157" spans="1:9" x14ac:dyDescent="0.25">
      <c r="A1157" s="14">
        <v>2016</v>
      </c>
      <c r="B1157" s="14">
        <v>173</v>
      </c>
      <c r="C1157" s="15">
        <v>42542</v>
      </c>
      <c r="D1157" s="16">
        <v>0.40069444444444446</v>
      </c>
      <c r="E1157" s="14">
        <v>50</v>
      </c>
      <c r="F1157" s="14">
        <v>16</v>
      </c>
      <c r="G1157" s="17">
        <v>0.32555368001605045</v>
      </c>
      <c r="H1157" s="1" t="s">
        <v>1</v>
      </c>
      <c r="I1157" s="14"/>
    </row>
    <row r="1158" spans="1:9" x14ac:dyDescent="0.25">
      <c r="A1158" s="14">
        <v>2016</v>
      </c>
      <c r="B1158" s="14">
        <v>173</v>
      </c>
      <c r="C1158" s="15">
        <v>42542</v>
      </c>
      <c r="D1158" s="16">
        <v>0.40625</v>
      </c>
      <c r="E1158" s="14">
        <v>50</v>
      </c>
      <c r="F1158" s="14">
        <v>17</v>
      </c>
      <c r="G1158" s="17">
        <v>0.35548176130499237</v>
      </c>
      <c r="H1158" s="1" t="s">
        <v>144</v>
      </c>
      <c r="I1158" s="14"/>
    </row>
    <row r="1159" spans="1:9" x14ac:dyDescent="0.25">
      <c r="A1159" s="14">
        <v>2016</v>
      </c>
      <c r="B1159" s="14">
        <v>173</v>
      </c>
      <c r="C1159" s="15">
        <v>42542</v>
      </c>
      <c r="D1159" s="16">
        <v>0.41250000000000003</v>
      </c>
      <c r="E1159" s="14">
        <v>50</v>
      </c>
      <c r="F1159" s="14">
        <v>18</v>
      </c>
      <c r="G1159" s="17">
        <v>0.34531491502167927</v>
      </c>
      <c r="H1159" s="1" t="s">
        <v>144</v>
      </c>
      <c r="I1159" s="14"/>
    </row>
    <row r="1160" spans="1:9" x14ac:dyDescent="0.25">
      <c r="A1160" s="14">
        <v>2016</v>
      </c>
      <c r="B1160" s="14">
        <v>173</v>
      </c>
      <c r="C1160" s="15">
        <v>42542</v>
      </c>
      <c r="D1160" s="16">
        <v>0.41805555555555557</v>
      </c>
      <c r="E1160" s="14">
        <v>50</v>
      </c>
      <c r="F1160" s="14">
        <v>19</v>
      </c>
      <c r="G1160" s="17">
        <v>0.34476535576312184</v>
      </c>
      <c r="H1160" s="1" t="s">
        <v>144</v>
      </c>
      <c r="I1160" s="14"/>
    </row>
    <row r="1161" spans="1:9" x14ac:dyDescent="0.25">
      <c r="A1161" s="14">
        <v>2016</v>
      </c>
      <c r="B1161" s="14">
        <v>173</v>
      </c>
      <c r="C1161" s="15">
        <v>42542</v>
      </c>
      <c r="D1161" s="16">
        <v>0.42430555555555555</v>
      </c>
      <c r="E1161" s="14">
        <v>50</v>
      </c>
      <c r="F1161" s="14">
        <v>20</v>
      </c>
      <c r="G1161" s="17">
        <v>0.35477191392935564</v>
      </c>
      <c r="H1161" s="1" t="s">
        <v>144</v>
      </c>
      <c r="I1161" s="14"/>
    </row>
    <row r="1162" spans="1:9" x14ac:dyDescent="0.25">
      <c r="A1162" s="14">
        <v>2016</v>
      </c>
      <c r="B1162" s="14">
        <v>173</v>
      </c>
      <c r="C1162" s="15">
        <v>42542</v>
      </c>
      <c r="D1162" s="16">
        <v>0.3034722222222222</v>
      </c>
      <c r="E1162" s="14">
        <v>30</v>
      </c>
      <c r="F1162" s="14">
        <v>1</v>
      </c>
      <c r="G1162" s="17">
        <v>0.27547509258000158</v>
      </c>
      <c r="H1162" s="1" t="s">
        <v>143</v>
      </c>
      <c r="I1162" s="14"/>
    </row>
    <row r="1163" spans="1:9" x14ac:dyDescent="0.25">
      <c r="A1163" s="14">
        <v>2016</v>
      </c>
      <c r="B1163" s="14">
        <v>173</v>
      </c>
      <c r="C1163" s="15">
        <v>42542</v>
      </c>
      <c r="D1163" s="16">
        <v>0.31041666666666667</v>
      </c>
      <c r="E1163" s="14">
        <v>30</v>
      </c>
      <c r="F1163" s="14">
        <v>2</v>
      </c>
      <c r="G1163" s="17">
        <v>0.31103615626915748</v>
      </c>
      <c r="H1163" s="1" t="s">
        <v>143</v>
      </c>
      <c r="I1163" s="14"/>
    </row>
    <row r="1164" spans="1:9" x14ac:dyDescent="0.25">
      <c r="A1164" s="14">
        <v>2016</v>
      </c>
      <c r="B1164" s="14">
        <v>173</v>
      </c>
      <c r="C1164" s="15">
        <v>42542</v>
      </c>
      <c r="D1164" s="16">
        <v>0.31736111111111115</v>
      </c>
      <c r="E1164" s="14">
        <v>30</v>
      </c>
      <c r="F1164" s="14">
        <v>3</v>
      </c>
      <c r="G1164" s="17">
        <v>0.29319837866847975</v>
      </c>
      <c r="H1164" s="1" t="s">
        <v>143</v>
      </c>
      <c r="I1164" s="14"/>
    </row>
    <row r="1165" spans="1:9" x14ac:dyDescent="0.25">
      <c r="A1165" s="14">
        <v>2016</v>
      </c>
      <c r="B1165" s="14">
        <v>173</v>
      </c>
      <c r="C1165" s="15">
        <v>42542</v>
      </c>
      <c r="D1165" s="16">
        <v>0.32361111111111113</v>
      </c>
      <c r="E1165" s="14">
        <v>30</v>
      </c>
      <c r="F1165" s="14">
        <v>4</v>
      </c>
      <c r="G1165" s="17">
        <v>0.29246563299040312</v>
      </c>
      <c r="H1165" s="1" t="s">
        <v>143</v>
      </c>
      <c r="I1165" s="14"/>
    </row>
    <row r="1166" spans="1:9" x14ac:dyDescent="0.25">
      <c r="A1166" s="14">
        <v>2016</v>
      </c>
      <c r="B1166" s="14">
        <v>173</v>
      </c>
      <c r="C1166" s="15">
        <v>42542</v>
      </c>
      <c r="D1166" s="16">
        <v>0.33055555555555555</v>
      </c>
      <c r="E1166" s="14">
        <v>30</v>
      </c>
      <c r="F1166" s="14">
        <v>5</v>
      </c>
      <c r="G1166" s="17">
        <v>0.30705185164461585</v>
      </c>
      <c r="H1166" s="1" t="s">
        <v>0</v>
      </c>
      <c r="I1166" s="14"/>
    </row>
    <row r="1167" spans="1:9" x14ac:dyDescent="0.25">
      <c r="A1167" s="14">
        <v>2016</v>
      </c>
      <c r="B1167" s="14">
        <v>173</v>
      </c>
      <c r="C1167" s="15">
        <v>42542</v>
      </c>
      <c r="D1167" s="16">
        <v>0.3354166666666667</v>
      </c>
      <c r="E1167" s="14">
        <v>30</v>
      </c>
      <c r="F1167" s="14">
        <v>6</v>
      </c>
      <c r="G1167" s="17">
        <v>0.30590693652262113</v>
      </c>
      <c r="H1167" s="1" t="s">
        <v>0</v>
      </c>
      <c r="I1167" s="14"/>
    </row>
    <row r="1168" spans="1:9" x14ac:dyDescent="0.25">
      <c r="A1168" s="14">
        <v>2016</v>
      </c>
      <c r="B1168" s="14">
        <v>173</v>
      </c>
      <c r="C1168" s="15">
        <v>42542</v>
      </c>
      <c r="D1168" s="16">
        <v>0.34097222222222223</v>
      </c>
      <c r="E1168" s="14">
        <v>30</v>
      </c>
      <c r="F1168" s="14">
        <v>7</v>
      </c>
      <c r="G1168" s="17">
        <v>0.29896875088333319</v>
      </c>
      <c r="H1168" s="1" t="s">
        <v>143</v>
      </c>
      <c r="I1168" s="14"/>
    </row>
    <row r="1169" spans="1:9" x14ac:dyDescent="0.25">
      <c r="A1169" s="14">
        <v>2016</v>
      </c>
      <c r="B1169" s="14">
        <v>173</v>
      </c>
      <c r="C1169" s="15">
        <v>42542</v>
      </c>
      <c r="D1169" s="16">
        <v>0.34722222222222227</v>
      </c>
      <c r="E1169" s="14">
        <v>30</v>
      </c>
      <c r="F1169" s="14">
        <v>8</v>
      </c>
      <c r="G1169" s="17">
        <v>0.31231846120579154</v>
      </c>
      <c r="H1169" s="1" t="s">
        <v>143</v>
      </c>
      <c r="I1169" s="14"/>
    </row>
    <row r="1170" spans="1:9" x14ac:dyDescent="0.25">
      <c r="A1170" s="14">
        <v>2016</v>
      </c>
      <c r="B1170" s="14">
        <v>173</v>
      </c>
      <c r="C1170" s="15">
        <v>42542</v>
      </c>
      <c r="D1170" s="16">
        <v>0.35416666666666669</v>
      </c>
      <c r="E1170" s="14">
        <v>30</v>
      </c>
      <c r="F1170" s="14">
        <v>9</v>
      </c>
      <c r="G1170" s="17">
        <v>0.29741166631742033</v>
      </c>
      <c r="H1170" s="1" t="s">
        <v>143</v>
      </c>
      <c r="I1170" s="14"/>
    </row>
    <row r="1171" spans="1:9" x14ac:dyDescent="0.25">
      <c r="A1171" s="14">
        <v>2016</v>
      </c>
      <c r="B1171" s="14">
        <v>173</v>
      </c>
      <c r="C1171" s="15">
        <v>42542</v>
      </c>
      <c r="D1171" s="16">
        <v>0.3611111111111111</v>
      </c>
      <c r="E1171" s="14">
        <v>30</v>
      </c>
      <c r="F1171" s="14">
        <v>10</v>
      </c>
      <c r="G1171" s="17">
        <v>0.31561581675713635</v>
      </c>
      <c r="H1171" s="1" t="s">
        <v>143</v>
      </c>
      <c r="I1171" s="14"/>
    </row>
    <row r="1172" spans="1:9" x14ac:dyDescent="0.25">
      <c r="A1172" s="14">
        <v>2016</v>
      </c>
      <c r="B1172" s="14">
        <v>173</v>
      </c>
      <c r="C1172" s="15">
        <v>42542</v>
      </c>
      <c r="D1172" s="16">
        <v>0.37222222222222223</v>
      </c>
      <c r="E1172" s="14">
        <v>30</v>
      </c>
      <c r="F1172" s="14">
        <v>11</v>
      </c>
      <c r="G1172" s="17">
        <v>0.25571385757437276</v>
      </c>
      <c r="H1172" s="1" t="s">
        <v>144</v>
      </c>
      <c r="I1172" s="14"/>
    </row>
    <row r="1173" spans="1:9" x14ac:dyDescent="0.25">
      <c r="A1173" s="14">
        <v>2016</v>
      </c>
      <c r="B1173" s="14">
        <v>173</v>
      </c>
      <c r="C1173" s="15">
        <v>42542</v>
      </c>
      <c r="D1173" s="16">
        <v>0.37847222222222227</v>
      </c>
      <c r="E1173" s="14">
        <v>30</v>
      </c>
      <c r="F1173" s="14">
        <v>12</v>
      </c>
      <c r="G1173" s="17">
        <v>0.22074814974865409</v>
      </c>
      <c r="H1173" s="1" t="s">
        <v>144</v>
      </c>
      <c r="I1173" s="14"/>
    </row>
    <row r="1174" spans="1:9" x14ac:dyDescent="0.25">
      <c r="A1174" s="14">
        <v>2016</v>
      </c>
      <c r="B1174" s="14">
        <v>173</v>
      </c>
      <c r="C1174" s="15">
        <v>42542</v>
      </c>
      <c r="D1174" s="16">
        <v>0.38472222222222219</v>
      </c>
      <c r="E1174" s="14">
        <v>30</v>
      </c>
      <c r="F1174" s="14">
        <v>13</v>
      </c>
      <c r="G1174" s="17">
        <v>0.19883447431367524</v>
      </c>
      <c r="H1174" s="1" t="s">
        <v>144</v>
      </c>
      <c r="I1174" s="14"/>
    </row>
    <row r="1175" spans="1:9" x14ac:dyDescent="0.25">
      <c r="A1175" s="14">
        <v>2016</v>
      </c>
      <c r="B1175" s="14">
        <v>173</v>
      </c>
      <c r="C1175" s="15">
        <v>42542</v>
      </c>
      <c r="D1175" s="16">
        <v>0.39027777777777778</v>
      </c>
      <c r="E1175" s="14">
        <v>30</v>
      </c>
      <c r="F1175" s="14">
        <v>14</v>
      </c>
      <c r="G1175" s="17">
        <v>0.18875922124012173</v>
      </c>
      <c r="H1175" s="1" t="s">
        <v>144</v>
      </c>
      <c r="I1175" s="14"/>
    </row>
    <row r="1176" spans="1:9" x14ac:dyDescent="0.25">
      <c r="A1176" s="14">
        <v>2016</v>
      </c>
      <c r="B1176" s="14">
        <v>173</v>
      </c>
      <c r="C1176" s="15">
        <v>42542</v>
      </c>
      <c r="D1176" s="16">
        <v>0.39583333333333331</v>
      </c>
      <c r="E1176" s="14">
        <v>30</v>
      </c>
      <c r="F1176" s="14">
        <v>15</v>
      </c>
      <c r="G1176" s="17">
        <v>0.28946595537077702</v>
      </c>
      <c r="H1176" s="1" t="s">
        <v>1</v>
      </c>
      <c r="I1176" s="14"/>
    </row>
    <row r="1177" spans="1:9" x14ac:dyDescent="0.25">
      <c r="A1177" s="14">
        <v>2016</v>
      </c>
      <c r="B1177" s="14">
        <v>173</v>
      </c>
      <c r="C1177" s="15">
        <v>42542</v>
      </c>
      <c r="D1177" s="16">
        <v>0.40069444444444446</v>
      </c>
      <c r="E1177" s="14">
        <v>30</v>
      </c>
      <c r="F1177" s="14">
        <v>16</v>
      </c>
      <c r="G1177" s="17">
        <v>0.29145810768304781</v>
      </c>
      <c r="H1177" s="1" t="s">
        <v>1</v>
      </c>
      <c r="I1177" s="14"/>
    </row>
    <row r="1178" spans="1:9" x14ac:dyDescent="0.25">
      <c r="A1178" s="14">
        <v>2016</v>
      </c>
      <c r="B1178" s="14">
        <v>173</v>
      </c>
      <c r="C1178" s="15">
        <v>42542</v>
      </c>
      <c r="D1178" s="16">
        <v>0.40625</v>
      </c>
      <c r="E1178" s="14">
        <v>30</v>
      </c>
      <c r="F1178" s="14">
        <v>17</v>
      </c>
      <c r="G1178" s="17">
        <v>0.30240349624931734</v>
      </c>
      <c r="H1178" s="1" t="s">
        <v>144</v>
      </c>
      <c r="I1178" s="14"/>
    </row>
    <row r="1179" spans="1:9" x14ac:dyDescent="0.25">
      <c r="A1179" s="14">
        <v>2016</v>
      </c>
      <c r="B1179" s="14">
        <v>173</v>
      </c>
      <c r="C1179" s="15">
        <v>42542</v>
      </c>
      <c r="D1179" s="16">
        <v>0.41250000000000003</v>
      </c>
      <c r="E1179" s="14">
        <v>30</v>
      </c>
      <c r="F1179" s="14">
        <v>18</v>
      </c>
      <c r="G1179" s="17">
        <v>0.2712160083261812</v>
      </c>
      <c r="H1179" s="1" t="s">
        <v>144</v>
      </c>
      <c r="I1179" s="14"/>
    </row>
    <row r="1180" spans="1:9" x14ac:dyDescent="0.25">
      <c r="A1180" s="14">
        <v>2016</v>
      </c>
      <c r="B1180" s="14">
        <v>173</v>
      </c>
      <c r="C1180" s="15">
        <v>42542</v>
      </c>
      <c r="D1180" s="16">
        <v>0.41805555555555557</v>
      </c>
      <c r="E1180" s="14">
        <v>30</v>
      </c>
      <c r="F1180" s="14">
        <v>19</v>
      </c>
      <c r="G1180" s="17">
        <v>0.28108517667777566</v>
      </c>
      <c r="H1180" s="1" t="s">
        <v>144</v>
      </c>
      <c r="I1180" s="14"/>
    </row>
    <row r="1181" spans="1:9" x14ac:dyDescent="0.25">
      <c r="A1181" s="14">
        <v>2016</v>
      </c>
      <c r="B1181" s="14">
        <v>173</v>
      </c>
      <c r="C1181" s="15">
        <v>42542</v>
      </c>
      <c r="D1181" s="16">
        <v>0.42430555555555555</v>
      </c>
      <c r="E1181" s="14">
        <v>30</v>
      </c>
      <c r="F1181" s="14">
        <v>20</v>
      </c>
      <c r="G1181" s="17">
        <v>0.27323105894089189</v>
      </c>
      <c r="H1181" s="1" t="s">
        <v>144</v>
      </c>
      <c r="I1181" s="14"/>
    </row>
    <row r="1182" spans="1:9" x14ac:dyDescent="0.25">
      <c r="A1182" s="14">
        <v>2016</v>
      </c>
      <c r="B1182" s="14">
        <v>173</v>
      </c>
      <c r="C1182" s="15">
        <v>42542</v>
      </c>
      <c r="D1182" s="16">
        <v>0.3034722222222222</v>
      </c>
      <c r="E1182" s="14">
        <v>10</v>
      </c>
      <c r="F1182" s="14">
        <v>1</v>
      </c>
      <c r="G1182" s="17">
        <v>0.18721018629691144</v>
      </c>
      <c r="H1182" s="1" t="s">
        <v>143</v>
      </c>
      <c r="I1182" s="14"/>
    </row>
    <row r="1183" spans="1:9" x14ac:dyDescent="0.25">
      <c r="A1183" s="14">
        <v>2016</v>
      </c>
      <c r="B1183" s="14">
        <v>173</v>
      </c>
      <c r="C1183" s="15">
        <v>42542</v>
      </c>
      <c r="D1183" s="16">
        <v>0.31041666666666667</v>
      </c>
      <c r="E1183" s="14">
        <v>10</v>
      </c>
      <c r="F1183" s="14">
        <v>2</v>
      </c>
      <c r="G1183" s="17">
        <v>0.20182642444575721</v>
      </c>
      <c r="H1183" s="1" t="s">
        <v>143</v>
      </c>
      <c r="I1183" s="14"/>
    </row>
    <row r="1184" spans="1:9" x14ac:dyDescent="0.25">
      <c r="A1184" s="14">
        <v>2016</v>
      </c>
      <c r="B1184" s="14">
        <v>173</v>
      </c>
      <c r="C1184" s="15">
        <v>42542</v>
      </c>
      <c r="D1184" s="16">
        <v>0.31736111111111115</v>
      </c>
      <c r="E1184" s="14">
        <v>10</v>
      </c>
      <c r="F1184" s="14">
        <v>3</v>
      </c>
      <c r="G1184" s="17">
        <v>0.20362947744574605</v>
      </c>
      <c r="H1184" s="1" t="s">
        <v>143</v>
      </c>
      <c r="I1184" s="14"/>
    </row>
    <row r="1185" spans="1:9" x14ac:dyDescent="0.25">
      <c r="A1185" s="14">
        <v>2016</v>
      </c>
      <c r="B1185" s="14">
        <v>173</v>
      </c>
      <c r="C1185" s="15">
        <v>42542</v>
      </c>
      <c r="D1185" s="16">
        <v>0.32361111111111113</v>
      </c>
      <c r="E1185" s="14">
        <v>10</v>
      </c>
      <c r="F1185" s="14">
        <v>4</v>
      </c>
      <c r="G1185" s="17">
        <v>0.20752330466912627</v>
      </c>
      <c r="H1185" s="1" t="s">
        <v>143</v>
      </c>
      <c r="I1185" s="14"/>
    </row>
    <row r="1186" spans="1:9" x14ac:dyDescent="0.25">
      <c r="A1186" s="14">
        <v>2016</v>
      </c>
      <c r="B1186" s="14">
        <v>173</v>
      </c>
      <c r="C1186" s="15">
        <v>42542</v>
      </c>
      <c r="D1186" s="16">
        <v>0.33055555555555555</v>
      </c>
      <c r="E1186" s="14">
        <v>10</v>
      </c>
      <c r="F1186" s="14">
        <v>5</v>
      </c>
      <c r="G1186" s="17">
        <v>0.19495947791388479</v>
      </c>
      <c r="H1186" s="1" t="s">
        <v>0</v>
      </c>
      <c r="I1186" s="14"/>
    </row>
    <row r="1187" spans="1:9" x14ac:dyDescent="0.25">
      <c r="A1187" s="14">
        <v>2016</v>
      </c>
      <c r="B1187" s="14">
        <v>173</v>
      </c>
      <c r="C1187" s="15">
        <v>42542</v>
      </c>
      <c r="D1187" s="16">
        <v>0.3354166666666667</v>
      </c>
      <c r="E1187" s="14">
        <v>10</v>
      </c>
      <c r="F1187" s="14">
        <v>6</v>
      </c>
      <c r="G1187" s="17">
        <v>0.18995312862668168</v>
      </c>
      <c r="H1187" s="1" t="s">
        <v>0</v>
      </c>
      <c r="I1187" s="14"/>
    </row>
    <row r="1188" spans="1:9" x14ac:dyDescent="0.25">
      <c r="A1188" s="14">
        <v>2016</v>
      </c>
      <c r="B1188" s="14">
        <v>173</v>
      </c>
      <c r="C1188" s="15">
        <v>42542</v>
      </c>
      <c r="D1188" s="16">
        <v>0.34097222222222223</v>
      </c>
      <c r="E1188" s="14">
        <v>10</v>
      </c>
      <c r="F1188" s="14">
        <v>7</v>
      </c>
      <c r="G1188" s="17">
        <v>0.19747224326493307</v>
      </c>
      <c r="H1188" s="1" t="s">
        <v>143</v>
      </c>
      <c r="I1188" s="14"/>
    </row>
    <row r="1189" spans="1:9" x14ac:dyDescent="0.25">
      <c r="A1189" s="14">
        <v>2016</v>
      </c>
      <c r="B1189" s="14">
        <v>173</v>
      </c>
      <c r="C1189" s="15">
        <v>42542</v>
      </c>
      <c r="D1189" s="16">
        <v>0.34722222222222227</v>
      </c>
      <c r="E1189" s="14">
        <v>10</v>
      </c>
      <c r="F1189" s="14">
        <v>8</v>
      </c>
      <c r="G1189" s="17">
        <v>0.20470363667978198</v>
      </c>
      <c r="H1189" s="1" t="s">
        <v>143</v>
      </c>
      <c r="I1189" s="14"/>
    </row>
    <row r="1190" spans="1:9" x14ac:dyDescent="0.25">
      <c r="A1190" s="14">
        <v>2016</v>
      </c>
      <c r="B1190" s="14">
        <v>173</v>
      </c>
      <c r="C1190" s="15">
        <v>42542</v>
      </c>
      <c r="D1190" s="16">
        <v>0.35416666666666669</v>
      </c>
      <c r="E1190" s="14">
        <v>10</v>
      </c>
      <c r="F1190" s="14">
        <v>9</v>
      </c>
      <c r="G1190" s="17">
        <v>0.18416034132884518</v>
      </c>
      <c r="H1190" s="1" t="s">
        <v>143</v>
      </c>
      <c r="I1190" s="14"/>
    </row>
    <row r="1191" spans="1:9" x14ac:dyDescent="0.25">
      <c r="A1191" s="14">
        <v>2016</v>
      </c>
      <c r="B1191" s="14">
        <v>173</v>
      </c>
      <c r="C1191" s="15">
        <v>42542</v>
      </c>
      <c r="D1191" s="16">
        <v>0.3611111111111111</v>
      </c>
      <c r="E1191" s="14">
        <v>10</v>
      </c>
      <c r="F1191" s="14">
        <v>10</v>
      </c>
      <c r="G1191" s="17">
        <v>0.19273443378623895</v>
      </c>
      <c r="H1191" s="1" t="s">
        <v>143</v>
      </c>
      <c r="I1191" s="14"/>
    </row>
    <row r="1192" spans="1:9" x14ac:dyDescent="0.25">
      <c r="A1192" s="14">
        <v>2016</v>
      </c>
      <c r="B1192" s="14">
        <v>173</v>
      </c>
      <c r="C1192" s="15">
        <v>42542</v>
      </c>
      <c r="D1192" s="16">
        <v>0.37222222222222223</v>
      </c>
      <c r="E1192" s="14">
        <v>10</v>
      </c>
      <c r="F1192" s="14">
        <v>11</v>
      </c>
      <c r="G1192" s="17">
        <v>0.15500459069072753</v>
      </c>
      <c r="H1192" s="1" t="s">
        <v>144</v>
      </c>
      <c r="I1192" s="14"/>
    </row>
    <row r="1193" spans="1:9" x14ac:dyDescent="0.25">
      <c r="A1193" s="14">
        <v>2016</v>
      </c>
      <c r="B1193" s="14">
        <v>173</v>
      </c>
      <c r="C1193" s="15">
        <v>42542</v>
      </c>
      <c r="D1193" s="16">
        <v>0.37847222222222227</v>
      </c>
      <c r="E1193" s="14">
        <v>10</v>
      </c>
      <c r="F1193" s="14">
        <v>12</v>
      </c>
      <c r="G1193" s="17">
        <v>0.15136012186096282</v>
      </c>
      <c r="H1193" s="1" t="s">
        <v>144</v>
      </c>
      <c r="I1193" s="14"/>
    </row>
    <row r="1194" spans="1:9" x14ac:dyDescent="0.25">
      <c r="A1194" s="14">
        <v>2016</v>
      </c>
      <c r="B1194" s="14">
        <v>173</v>
      </c>
      <c r="C1194" s="15">
        <v>42542</v>
      </c>
      <c r="D1194" s="16">
        <v>0.38472222222222219</v>
      </c>
      <c r="E1194" s="14">
        <v>10</v>
      </c>
      <c r="F1194" s="14">
        <v>13</v>
      </c>
      <c r="G1194" s="17">
        <v>0.18916669061604824</v>
      </c>
      <c r="H1194" s="1" t="s">
        <v>144</v>
      </c>
      <c r="I1194" s="14"/>
    </row>
    <row r="1195" spans="1:9" x14ac:dyDescent="0.25">
      <c r="A1195" s="14">
        <v>2016</v>
      </c>
      <c r="B1195" s="14">
        <v>173</v>
      </c>
      <c r="C1195" s="15">
        <v>42542</v>
      </c>
      <c r="D1195" s="16">
        <v>0.39027777777777778</v>
      </c>
      <c r="E1195" s="14">
        <v>10</v>
      </c>
      <c r="F1195" s="14">
        <v>14</v>
      </c>
      <c r="G1195" s="17">
        <v>0.18157085031822284</v>
      </c>
      <c r="H1195" s="1" t="s">
        <v>144</v>
      </c>
      <c r="I1195" s="14"/>
    </row>
    <row r="1196" spans="1:9" x14ac:dyDescent="0.25">
      <c r="A1196" s="14">
        <v>2016</v>
      </c>
      <c r="B1196" s="14">
        <v>173</v>
      </c>
      <c r="C1196" s="15">
        <v>42542</v>
      </c>
      <c r="D1196" s="16">
        <v>0.39583333333333331</v>
      </c>
      <c r="E1196" s="14">
        <v>10</v>
      </c>
      <c r="F1196" s="14">
        <v>15</v>
      </c>
      <c r="G1196" s="17">
        <v>0.19219735416922101</v>
      </c>
      <c r="H1196" s="1" t="s">
        <v>1</v>
      </c>
      <c r="I1196" s="14"/>
    </row>
    <row r="1197" spans="1:9" x14ac:dyDescent="0.25">
      <c r="A1197" s="14">
        <v>2016</v>
      </c>
      <c r="B1197" s="14">
        <v>173</v>
      </c>
      <c r="C1197" s="15">
        <v>42542</v>
      </c>
      <c r="D1197" s="16">
        <v>0.40069444444444446</v>
      </c>
      <c r="E1197" s="14">
        <v>10</v>
      </c>
      <c r="F1197" s="14">
        <v>16</v>
      </c>
      <c r="G1197" s="17">
        <v>0.18020896986078444</v>
      </c>
      <c r="H1197" s="1" t="s">
        <v>1</v>
      </c>
      <c r="I1197" s="14"/>
    </row>
    <row r="1198" spans="1:9" x14ac:dyDescent="0.25">
      <c r="A1198" s="14">
        <v>2016</v>
      </c>
      <c r="B1198" s="14">
        <v>173</v>
      </c>
      <c r="C1198" s="15">
        <v>42542</v>
      </c>
      <c r="D1198" s="16">
        <v>0.40625</v>
      </c>
      <c r="E1198" s="14">
        <v>10</v>
      </c>
      <c r="F1198" s="14">
        <v>17</v>
      </c>
      <c r="G1198" s="17">
        <v>0.19388531867984887</v>
      </c>
      <c r="H1198" s="1" t="s">
        <v>144</v>
      </c>
      <c r="I1198" s="14"/>
    </row>
    <row r="1199" spans="1:9" x14ac:dyDescent="0.25">
      <c r="A1199" s="14">
        <v>2016</v>
      </c>
      <c r="B1199" s="14">
        <v>173</v>
      </c>
      <c r="C1199" s="15">
        <v>42542</v>
      </c>
      <c r="D1199" s="16">
        <v>0.41250000000000003</v>
      </c>
      <c r="E1199" s="14">
        <v>10</v>
      </c>
      <c r="F1199" s="14">
        <v>18</v>
      </c>
      <c r="G1199" s="17">
        <v>0.17433945690337393</v>
      </c>
      <c r="H1199" s="1" t="s">
        <v>144</v>
      </c>
      <c r="I1199" s="14"/>
    </row>
    <row r="1200" spans="1:9" x14ac:dyDescent="0.25">
      <c r="A1200" s="14">
        <v>2016</v>
      </c>
      <c r="B1200" s="14">
        <v>173</v>
      </c>
      <c r="C1200" s="15">
        <v>42542</v>
      </c>
      <c r="D1200" s="16">
        <v>0.41805555555555557</v>
      </c>
      <c r="E1200" s="14">
        <v>10</v>
      </c>
      <c r="F1200" s="14">
        <v>19</v>
      </c>
      <c r="G1200" s="17">
        <v>0.19599527431813368</v>
      </c>
      <c r="H1200" s="1" t="s">
        <v>144</v>
      </c>
      <c r="I1200" s="14"/>
    </row>
    <row r="1201" spans="1:9" x14ac:dyDescent="0.25">
      <c r="A1201" s="14">
        <v>2016</v>
      </c>
      <c r="B1201" s="14">
        <v>173</v>
      </c>
      <c r="C1201" s="15">
        <v>42542</v>
      </c>
      <c r="D1201" s="16">
        <v>0.42430555555555555</v>
      </c>
      <c r="E1201" s="14">
        <v>10</v>
      </c>
      <c r="F1201" s="14">
        <v>20</v>
      </c>
      <c r="G1201" s="17">
        <v>0.17924989911610956</v>
      </c>
      <c r="H1201" s="1" t="s">
        <v>144</v>
      </c>
      <c r="I1201" s="14"/>
    </row>
    <row r="1202" spans="1:9" x14ac:dyDescent="0.25">
      <c r="A1202" s="14">
        <v>2016</v>
      </c>
      <c r="B1202" s="14">
        <v>180</v>
      </c>
      <c r="C1202" s="15">
        <v>42549</v>
      </c>
      <c r="D1202" s="16">
        <v>0.35625000000000001</v>
      </c>
      <c r="E1202" s="14">
        <v>230</v>
      </c>
      <c r="F1202" s="14">
        <v>1</v>
      </c>
      <c r="G1202" s="17">
        <v>0.29466457906528309</v>
      </c>
      <c r="H1202" s="1" t="s">
        <v>143</v>
      </c>
      <c r="I1202" s="14"/>
    </row>
    <row r="1203" spans="1:9" x14ac:dyDescent="0.25">
      <c r="A1203" s="14">
        <v>2016</v>
      </c>
      <c r="B1203" s="14">
        <v>180</v>
      </c>
      <c r="C1203" s="15">
        <v>42549</v>
      </c>
      <c r="D1203" s="16">
        <v>0.34930555555555554</v>
      </c>
      <c r="E1203" s="14">
        <v>230</v>
      </c>
      <c r="F1203" s="14">
        <v>2</v>
      </c>
      <c r="G1203" s="17">
        <v>0.305545237390907</v>
      </c>
      <c r="H1203" s="1" t="s">
        <v>143</v>
      </c>
      <c r="I1203" s="14"/>
    </row>
    <row r="1204" spans="1:9" x14ac:dyDescent="0.25">
      <c r="A1204" s="14">
        <v>2016</v>
      </c>
      <c r="B1204" s="14">
        <v>180</v>
      </c>
      <c r="C1204" s="15">
        <v>42549</v>
      </c>
      <c r="D1204" s="16">
        <v>0.37013888888888885</v>
      </c>
      <c r="E1204" s="14">
        <v>230</v>
      </c>
      <c r="F1204" s="14">
        <v>3</v>
      </c>
      <c r="G1204" s="17">
        <v>0.28744324768995844</v>
      </c>
      <c r="H1204" s="1" t="s">
        <v>143</v>
      </c>
      <c r="I1204" s="14"/>
    </row>
    <row r="1205" spans="1:9" x14ac:dyDescent="0.25">
      <c r="A1205" s="14">
        <v>2016</v>
      </c>
      <c r="B1205" s="14">
        <v>180</v>
      </c>
      <c r="C1205" s="15">
        <v>42549</v>
      </c>
      <c r="D1205" s="16">
        <v>0.36319444444444443</v>
      </c>
      <c r="E1205" s="14">
        <v>230</v>
      </c>
      <c r="F1205" s="14">
        <v>4</v>
      </c>
      <c r="G1205" s="17">
        <v>0.28156496716341389</v>
      </c>
      <c r="H1205" s="1" t="s">
        <v>143</v>
      </c>
      <c r="I1205" s="14"/>
    </row>
    <row r="1206" spans="1:9" x14ac:dyDescent="0.25">
      <c r="A1206" s="14">
        <v>2016</v>
      </c>
      <c r="B1206" s="14">
        <v>180</v>
      </c>
      <c r="C1206" s="15">
        <v>42549</v>
      </c>
      <c r="D1206" s="16">
        <v>0.37638888888888888</v>
      </c>
      <c r="E1206" s="14">
        <v>230</v>
      </c>
      <c r="F1206" s="14">
        <v>5</v>
      </c>
      <c r="G1206" s="17" t="e">
        <v>#N/A</v>
      </c>
      <c r="H1206" s="1" t="s">
        <v>0</v>
      </c>
      <c r="I1206" s="14"/>
    </row>
    <row r="1207" spans="1:9" x14ac:dyDescent="0.25">
      <c r="A1207" s="14">
        <v>2016</v>
      </c>
      <c r="B1207" s="14">
        <v>180</v>
      </c>
      <c r="C1207" s="15">
        <v>42549</v>
      </c>
      <c r="D1207" s="16">
        <v>0.38194444444444442</v>
      </c>
      <c r="E1207" s="14">
        <v>230</v>
      </c>
      <c r="F1207" s="14">
        <v>6</v>
      </c>
      <c r="G1207" s="17" t="e">
        <v>#N/A</v>
      </c>
      <c r="H1207" s="1" t="s">
        <v>0</v>
      </c>
      <c r="I1207" s="14"/>
    </row>
    <row r="1208" spans="1:9" x14ac:dyDescent="0.25">
      <c r="A1208" s="14">
        <v>2016</v>
      </c>
      <c r="B1208" s="14">
        <v>180</v>
      </c>
      <c r="C1208" s="15">
        <v>42549</v>
      </c>
      <c r="D1208" s="16">
        <v>0.38194444444444442</v>
      </c>
      <c r="E1208" s="14">
        <v>230</v>
      </c>
      <c r="F1208" s="14">
        <v>7</v>
      </c>
      <c r="G1208" s="17">
        <v>0.28337516613350877</v>
      </c>
      <c r="H1208" s="1" t="s">
        <v>143</v>
      </c>
      <c r="I1208" s="14"/>
    </row>
    <row r="1209" spans="1:9" x14ac:dyDescent="0.25">
      <c r="A1209" s="14">
        <v>2016</v>
      </c>
      <c r="B1209" s="14">
        <v>180</v>
      </c>
      <c r="C1209" s="15">
        <v>42549</v>
      </c>
      <c r="D1209" s="16">
        <v>0.39374999999999999</v>
      </c>
      <c r="E1209" s="14">
        <v>230</v>
      </c>
      <c r="F1209" s="14">
        <v>8</v>
      </c>
      <c r="G1209" s="17">
        <v>0.3098468930080141</v>
      </c>
      <c r="H1209" s="1" t="s">
        <v>143</v>
      </c>
      <c r="I1209" s="14"/>
    </row>
    <row r="1210" spans="1:9" x14ac:dyDescent="0.25">
      <c r="A1210" s="14">
        <v>2016</v>
      </c>
      <c r="B1210" s="14">
        <v>180</v>
      </c>
      <c r="C1210" s="15">
        <v>42549</v>
      </c>
      <c r="D1210" s="16">
        <v>0.39583333333333331</v>
      </c>
      <c r="E1210" s="14">
        <v>230</v>
      </c>
      <c r="F1210" s="14">
        <v>9</v>
      </c>
      <c r="G1210" s="17">
        <v>0.30817294557330277</v>
      </c>
      <c r="H1210" s="1" t="s">
        <v>143</v>
      </c>
      <c r="I1210" s="14"/>
    </row>
    <row r="1211" spans="1:9" x14ac:dyDescent="0.25">
      <c r="A1211" s="14">
        <v>2016</v>
      </c>
      <c r="B1211" s="14">
        <v>180</v>
      </c>
      <c r="C1211" s="15">
        <v>42549</v>
      </c>
      <c r="D1211" s="16">
        <v>0.40763888888888888</v>
      </c>
      <c r="E1211" s="14">
        <v>230</v>
      </c>
      <c r="F1211" s="14">
        <v>10</v>
      </c>
      <c r="G1211" s="17">
        <v>0.27716598902103284</v>
      </c>
      <c r="H1211" s="1" t="s">
        <v>143</v>
      </c>
      <c r="I1211" s="14"/>
    </row>
    <row r="1212" spans="1:9" x14ac:dyDescent="0.25">
      <c r="A1212" s="14">
        <v>2016</v>
      </c>
      <c r="B1212" s="14">
        <v>180</v>
      </c>
      <c r="C1212" s="15">
        <v>42549</v>
      </c>
      <c r="D1212" s="16">
        <v>0.52083333333333337</v>
      </c>
      <c r="E1212" s="14">
        <v>230</v>
      </c>
      <c r="F1212" s="14">
        <v>11</v>
      </c>
      <c r="G1212" s="17">
        <v>0.29661102957076146</v>
      </c>
      <c r="H1212" s="1" t="s">
        <v>144</v>
      </c>
      <c r="I1212" s="14"/>
    </row>
    <row r="1213" spans="1:9" x14ac:dyDescent="0.25">
      <c r="A1213" s="14">
        <v>2016</v>
      </c>
      <c r="B1213" s="14">
        <v>180</v>
      </c>
      <c r="C1213" s="15">
        <v>42549</v>
      </c>
      <c r="D1213" s="16">
        <v>0.52847222222222223</v>
      </c>
      <c r="E1213" s="14">
        <v>230</v>
      </c>
      <c r="F1213" s="14">
        <v>12</v>
      </c>
      <c r="G1213" s="17">
        <v>0.30636274660320795</v>
      </c>
      <c r="H1213" s="1" t="s">
        <v>144</v>
      </c>
      <c r="I1213" s="14"/>
    </row>
    <row r="1214" spans="1:9" x14ac:dyDescent="0.25">
      <c r="A1214" s="14">
        <v>2016</v>
      </c>
      <c r="B1214" s="14">
        <v>180</v>
      </c>
      <c r="C1214" s="15">
        <v>42549</v>
      </c>
      <c r="D1214" s="16">
        <v>0.5444444444444444</v>
      </c>
      <c r="E1214" s="14">
        <v>230</v>
      </c>
      <c r="F1214" s="14">
        <v>13</v>
      </c>
      <c r="G1214" s="17">
        <v>0.29349670876199607</v>
      </c>
      <c r="H1214" s="1" t="s">
        <v>144</v>
      </c>
      <c r="I1214" s="14"/>
    </row>
    <row r="1215" spans="1:9" x14ac:dyDescent="0.25">
      <c r="A1215" s="14">
        <v>2016</v>
      </c>
      <c r="B1215" s="14">
        <v>180</v>
      </c>
      <c r="C1215" s="15">
        <v>42549</v>
      </c>
      <c r="D1215" s="16">
        <v>0.5180555555555556</v>
      </c>
      <c r="E1215" s="14">
        <v>230</v>
      </c>
      <c r="F1215" s="14">
        <v>14</v>
      </c>
      <c r="G1215" s="17">
        <v>0.28720967362930105</v>
      </c>
      <c r="H1215" s="1" t="s">
        <v>144</v>
      </c>
      <c r="I1215" s="14"/>
    </row>
    <row r="1216" spans="1:9" x14ac:dyDescent="0.25">
      <c r="A1216" s="14">
        <v>2016</v>
      </c>
      <c r="B1216" s="14">
        <v>180</v>
      </c>
      <c r="C1216" s="15">
        <v>42549</v>
      </c>
      <c r="D1216" s="16">
        <v>0.51180555555555551</v>
      </c>
      <c r="E1216" s="14">
        <v>230</v>
      </c>
      <c r="F1216" s="14">
        <v>15</v>
      </c>
      <c r="G1216" s="17" t="e">
        <v>#N/A</v>
      </c>
      <c r="H1216" s="1" t="s">
        <v>1</v>
      </c>
      <c r="I1216" s="14"/>
    </row>
    <row r="1217" spans="1:9" x14ac:dyDescent="0.25">
      <c r="A1217" s="14">
        <v>2016</v>
      </c>
      <c r="B1217" s="14">
        <v>180</v>
      </c>
      <c r="C1217" s="15">
        <v>42549</v>
      </c>
      <c r="D1217" s="16">
        <v>0.50694444444444442</v>
      </c>
      <c r="E1217" s="14">
        <v>230</v>
      </c>
      <c r="F1217" s="14">
        <v>16</v>
      </c>
      <c r="G1217" s="17" t="e">
        <v>#N/A</v>
      </c>
      <c r="H1217" s="1" t="s">
        <v>1</v>
      </c>
      <c r="I1217" s="14"/>
    </row>
    <row r="1218" spans="1:9" x14ac:dyDescent="0.25">
      <c r="A1218" s="14">
        <v>2016</v>
      </c>
      <c r="B1218" s="14">
        <v>180</v>
      </c>
      <c r="C1218" s="15">
        <v>42549</v>
      </c>
      <c r="D1218" s="16">
        <v>0.4381944444444445</v>
      </c>
      <c r="E1218" s="14">
        <v>230</v>
      </c>
      <c r="F1218" s="14">
        <v>17</v>
      </c>
      <c r="G1218" s="17">
        <v>0.30379343193597652</v>
      </c>
      <c r="H1218" s="1" t="s">
        <v>144</v>
      </c>
      <c r="I1218" s="14"/>
    </row>
    <row r="1219" spans="1:9" x14ac:dyDescent="0.25">
      <c r="A1219" s="14">
        <v>2016</v>
      </c>
      <c r="B1219" s="14">
        <v>180</v>
      </c>
      <c r="C1219" s="15">
        <v>42549</v>
      </c>
      <c r="D1219" s="16">
        <v>0.5</v>
      </c>
      <c r="E1219" s="14">
        <v>230</v>
      </c>
      <c r="F1219" s="14">
        <v>18</v>
      </c>
      <c r="G1219" s="17">
        <v>0.306265424077934</v>
      </c>
      <c r="H1219" s="1" t="s">
        <v>144</v>
      </c>
      <c r="I1219" s="14"/>
    </row>
    <row r="1220" spans="1:9" x14ac:dyDescent="0.25">
      <c r="A1220" s="14">
        <v>2016</v>
      </c>
      <c r="B1220" s="14">
        <v>180</v>
      </c>
      <c r="C1220" s="15">
        <v>42549</v>
      </c>
      <c r="D1220" s="16">
        <v>0.49305555555555558</v>
      </c>
      <c r="E1220" s="14">
        <v>230</v>
      </c>
      <c r="F1220" s="14">
        <v>19</v>
      </c>
      <c r="G1220" s="17">
        <v>0.29221205142838041</v>
      </c>
      <c r="H1220" s="1" t="s">
        <v>144</v>
      </c>
      <c r="I1220" s="14"/>
    </row>
    <row r="1221" spans="1:9" x14ac:dyDescent="0.25">
      <c r="A1221" s="14">
        <v>2016</v>
      </c>
      <c r="B1221" s="14">
        <v>180</v>
      </c>
      <c r="C1221" s="15">
        <v>42549</v>
      </c>
      <c r="D1221" s="16">
        <v>0.43124999999999997</v>
      </c>
      <c r="E1221" s="14">
        <v>230</v>
      </c>
      <c r="F1221" s="14">
        <v>20</v>
      </c>
      <c r="G1221" s="17">
        <v>0.30614863704760525</v>
      </c>
      <c r="H1221" s="1" t="s">
        <v>144</v>
      </c>
      <c r="I1221" s="14"/>
    </row>
    <row r="1222" spans="1:9" x14ac:dyDescent="0.25">
      <c r="A1222" s="14">
        <v>2016</v>
      </c>
      <c r="B1222" s="14">
        <v>180</v>
      </c>
      <c r="C1222" s="15">
        <v>42549</v>
      </c>
      <c r="D1222" s="16">
        <v>0.35625000000000001</v>
      </c>
      <c r="E1222" s="14">
        <v>210</v>
      </c>
      <c r="F1222" s="14">
        <v>1</v>
      </c>
      <c r="G1222" s="17">
        <v>0.30283967118829214</v>
      </c>
      <c r="H1222" s="1" t="s">
        <v>143</v>
      </c>
      <c r="I1222" s="14"/>
    </row>
    <row r="1223" spans="1:9" x14ac:dyDescent="0.25">
      <c r="A1223" s="14">
        <v>2016</v>
      </c>
      <c r="B1223" s="14">
        <v>180</v>
      </c>
      <c r="C1223" s="15">
        <v>42549</v>
      </c>
      <c r="D1223" s="16">
        <v>0.34930555555555554</v>
      </c>
      <c r="E1223" s="14">
        <v>210</v>
      </c>
      <c r="F1223" s="14">
        <v>2</v>
      </c>
      <c r="G1223" s="17">
        <v>0.30369610941070257</v>
      </c>
      <c r="H1223" s="1" t="s">
        <v>143</v>
      </c>
      <c r="I1223" s="14"/>
    </row>
    <row r="1224" spans="1:9" x14ac:dyDescent="0.25">
      <c r="A1224" s="14">
        <v>2016</v>
      </c>
      <c r="B1224" s="14">
        <v>180</v>
      </c>
      <c r="C1224" s="15">
        <v>42549</v>
      </c>
      <c r="D1224" s="16">
        <v>0.37013888888888885</v>
      </c>
      <c r="E1224" s="14">
        <v>210</v>
      </c>
      <c r="F1224" s="14">
        <v>3</v>
      </c>
      <c r="G1224" s="17">
        <v>0.28356981118405655</v>
      </c>
      <c r="H1224" s="1" t="s">
        <v>143</v>
      </c>
      <c r="I1224" s="14"/>
    </row>
    <row r="1225" spans="1:9" x14ac:dyDescent="0.25">
      <c r="A1225" s="14">
        <v>2016</v>
      </c>
      <c r="B1225" s="14">
        <v>180</v>
      </c>
      <c r="C1225" s="15">
        <v>42549</v>
      </c>
      <c r="D1225" s="16">
        <v>0.36319444444444443</v>
      </c>
      <c r="E1225" s="14">
        <v>210</v>
      </c>
      <c r="F1225" s="14">
        <v>4</v>
      </c>
      <c r="G1225" s="17">
        <v>0.28966220126620373</v>
      </c>
      <c r="H1225" s="1" t="s">
        <v>143</v>
      </c>
      <c r="I1225" s="14"/>
    </row>
    <row r="1226" spans="1:9" x14ac:dyDescent="0.25">
      <c r="A1226" s="14">
        <v>2016</v>
      </c>
      <c r="B1226" s="14">
        <v>180</v>
      </c>
      <c r="C1226" s="15">
        <v>42549</v>
      </c>
      <c r="D1226" s="16">
        <v>0.37638888888888888</v>
      </c>
      <c r="E1226" s="14">
        <v>210</v>
      </c>
      <c r="F1226" s="14">
        <v>5</v>
      </c>
      <c r="G1226" s="17" t="e">
        <v>#N/A</v>
      </c>
      <c r="H1226" s="1" t="s">
        <v>0</v>
      </c>
      <c r="I1226" s="14"/>
    </row>
    <row r="1227" spans="1:9" x14ac:dyDescent="0.25">
      <c r="A1227" s="14">
        <v>2016</v>
      </c>
      <c r="B1227" s="14">
        <v>180</v>
      </c>
      <c r="C1227" s="15">
        <v>42549</v>
      </c>
      <c r="D1227" s="16">
        <v>0.38194444444444442</v>
      </c>
      <c r="E1227" s="14">
        <v>210</v>
      </c>
      <c r="F1227" s="14">
        <v>6</v>
      </c>
      <c r="G1227" s="17" t="e">
        <v>#N/A</v>
      </c>
      <c r="H1227" s="1" t="s">
        <v>0</v>
      </c>
      <c r="I1227" s="14"/>
    </row>
    <row r="1228" spans="1:9" x14ac:dyDescent="0.25">
      <c r="A1228" s="14">
        <v>2016</v>
      </c>
      <c r="B1228" s="14">
        <v>180</v>
      </c>
      <c r="C1228" s="15">
        <v>42549</v>
      </c>
      <c r="D1228" s="16">
        <v>0.38194444444444442</v>
      </c>
      <c r="E1228" s="14">
        <v>210</v>
      </c>
      <c r="F1228" s="14">
        <v>7</v>
      </c>
      <c r="G1228" s="17">
        <v>0.28520482960865839</v>
      </c>
      <c r="H1228" s="1" t="s">
        <v>143</v>
      </c>
      <c r="I1228" s="14"/>
    </row>
    <row r="1229" spans="1:9" x14ac:dyDescent="0.25">
      <c r="A1229" s="14">
        <v>2016</v>
      </c>
      <c r="B1229" s="14">
        <v>180</v>
      </c>
      <c r="C1229" s="15">
        <v>42549</v>
      </c>
      <c r="D1229" s="16">
        <v>0.39374999999999999</v>
      </c>
      <c r="E1229" s="14">
        <v>210</v>
      </c>
      <c r="F1229" s="14">
        <v>8</v>
      </c>
      <c r="G1229" s="17">
        <v>0.30237252306697732</v>
      </c>
      <c r="H1229" s="1" t="s">
        <v>143</v>
      </c>
      <c r="I1229" s="14"/>
    </row>
    <row r="1230" spans="1:9" x14ac:dyDescent="0.25">
      <c r="A1230" s="14">
        <v>2016</v>
      </c>
      <c r="B1230" s="14">
        <v>180</v>
      </c>
      <c r="C1230" s="15">
        <v>42549</v>
      </c>
      <c r="D1230" s="16">
        <v>0.39583333333333331</v>
      </c>
      <c r="E1230" s="14">
        <v>210</v>
      </c>
      <c r="F1230" s="14">
        <v>9</v>
      </c>
      <c r="G1230" s="17">
        <v>0.30885420325022017</v>
      </c>
      <c r="H1230" s="1" t="s">
        <v>143</v>
      </c>
      <c r="I1230" s="14"/>
    </row>
    <row r="1231" spans="1:9" x14ac:dyDescent="0.25">
      <c r="A1231" s="14">
        <v>2016</v>
      </c>
      <c r="B1231" s="14">
        <v>180</v>
      </c>
      <c r="C1231" s="15">
        <v>42549</v>
      </c>
      <c r="D1231" s="16">
        <v>0.40763888888888888</v>
      </c>
      <c r="E1231" s="14">
        <v>210</v>
      </c>
      <c r="F1231" s="14">
        <v>10</v>
      </c>
      <c r="G1231" s="17">
        <v>0.27117092146415955</v>
      </c>
      <c r="H1231" s="1" t="s">
        <v>143</v>
      </c>
      <c r="I1231" s="14"/>
    </row>
    <row r="1232" spans="1:9" x14ac:dyDescent="0.25">
      <c r="A1232" s="14">
        <v>2016</v>
      </c>
      <c r="B1232" s="14">
        <v>180</v>
      </c>
      <c r="C1232" s="15">
        <v>42549</v>
      </c>
      <c r="D1232" s="16">
        <v>0.52083333333333337</v>
      </c>
      <c r="E1232" s="14">
        <v>210</v>
      </c>
      <c r="F1232" s="14">
        <v>11</v>
      </c>
      <c r="G1232" s="17">
        <v>0.30682989472452271</v>
      </c>
      <c r="H1232" s="1" t="s">
        <v>144</v>
      </c>
      <c r="I1232" s="14"/>
    </row>
    <row r="1233" spans="1:9" x14ac:dyDescent="0.25">
      <c r="A1233" s="14">
        <v>2016</v>
      </c>
      <c r="B1233" s="14">
        <v>180</v>
      </c>
      <c r="C1233" s="15">
        <v>42549</v>
      </c>
      <c r="D1233" s="16">
        <v>0.52847222222222223</v>
      </c>
      <c r="E1233" s="14">
        <v>210</v>
      </c>
      <c r="F1233" s="14">
        <v>12</v>
      </c>
      <c r="G1233" s="17">
        <v>0.31623125066598307</v>
      </c>
      <c r="H1233" s="1" t="s">
        <v>144</v>
      </c>
      <c r="I1233" s="14"/>
    </row>
    <row r="1234" spans="1:9" x14ac:dyDescent="0.25">
      <c r="A1234" s="14">
        <v>2016</v>
      </c>
      <c r="B1234" s="14">
        <v>180</v>
      </c>
      <c r="C1234" s="15">
        <v>42549</v>
      </c>
      <c r="D1234" s="16">
        <v>0.5444444444444444</v>
      </c>
      <c r="E1234" s="14">
        <v>210</v>
      </c>
      <c r="F1234" s="14">
        <v>13</v>
      </c>
      <c r="G1234" s="17">
        <v>0.30089322068281377</v>
      </c>
      <c r="H1234" s="1" t="s">
        <v>144</v>
      </c>
      <c r="I1234" s="14"/>
    </row>
    <row r="1235" spans="1:9" x14ac:dyDescent="0.25">
      <c r="A1235" s="14">
        <v>2016</v>
      </c>
      <c r="B1235" s="14">
        <v>180</v>
      </c>
      <c r="C1235" s="15">
        <v>42549</v>
      </c>
      <c r="D1235" s="16">
        <v>0.5180555555555556</v>
      </c>
      <c r="E1235" s="14">
        <v>210</v>
      </c>
      <c r="F1235" s="14">
        <v>14</v>
      </c>
      <c r="G1235" s="17">
        <v>0.27885940096079898</v>
      </c>
      <c r="H1235" s="1" t="s">
        <v>144</v>
      </c>
      <c r="I1235" s="14"/>
    </row>
    <row r="1236" spans="1:9" x14ac:dyDescent="0.25">
      <c r="A1236" s="14">
        <v>2016</v>
      </c>
      <c r="B1236" s="14">
        <v>180</v>
      </c>
      <c r="C1236" s="15">
        <v>42549</v>
      </c>
      <c r="D1236" s="16">
        <v>0.51180555555555551</v>
      </c>
      <c r="E1236" s="14">
        <v>210</v>
      </c>
      <c r="F1236" s="14">
        <v>15</v>
      </c>
      <c r="G1236" s="17" t="e">
        <v>#N/A</v>
      </c>
      <c r="H1236" s="1" t="s">
        <v>1</v>
      </c>
      <c r="I1236" s="14"/>
    </row>
    <row r="1237" spans="1:9" x14ac:dyDescent="0.25">
      <c r="A1237" s="14">
        <v>2016</v>
      </c>
      <c r="B1237" s="14">
        <v>180</v>
      </c>
      <c r="C1237" s="15">
        <v>42549</v>
      </c>
      <c r="D1237" s="16">
        <v>0.50694444444444442</v>
      </c>
      <c r="E1237" s="14">
        <v>210</v>
      </c>
      <c r="F1237" s="14">
        <v>16</v>
      </c>
      <c r="G1237" s="17" t="e">
        <v>#N/A</v>
      </c>
      <c r="H1237" s="1" t="s">
        <v>1</v>
      </c>
      <c r="I1237" s="14"/>
    </row>
    <row r="1238" spans="1:9" x14ac:dyDescent="0.25">
      <c r="A1238" s="14">
        <v>2016</v>
      </c>
      <c r="B1238" s="14">
        <v>180</v>
      </c>
      <c r="C1238" s="15">
        <v>42549</v>
      </c>
      <c r="D1238" s="16">
        <v>0.4381944444444445</v>
      </c>
      <c r="E1238" s="14">
        <v>210</v>
      </c>
      <c r="F1238" s="14">
        <v>17</v>
      </c>
      <c r="G1238" s="17">
        <v>0.3048639797139896</v>
      </c>
      <c r="H1238" s="1" t="s">
        <v>144</v>
      </c>
      <c r="I1238" s="14"/>
    </row>
    <row r="1239" spans="1:9" x14ac:dyDescent="0.25">
      <c r="A1239" s="14">
        <v>2016</v>
      </c>
      <c r="B1239" s="14">
        <v>180</v>
      </c>
      <c r="C1239" s="15">
        <v>42549</v>
      </c>
      <c r="D1239" s="16">
        <v>0.5</v>
      </c>
      <c r="E1239" s="14">
        <v>210</v>
      </c>
      <c r="F1239" s="14">
        <v>18</v>
      </c>
      <c r="G1239" s="17">
        <v>0.30587613397683833</v>
      </c>
      <c r="H1239" s="1" t="s">
        <v>144</v>
      </c>
      <c r="I1239" s="14"/>
    </row>
    <row r="1240" spans="1:9" x14ac:dyDescent="0.25">
      <c r="A1240" s="14">
        <v>2016</v>
      </c>
      <c r="B1240" s="14">
        <v>180</v>
      </c>
      <c r="C1240" s="15">
        <v>42549</v>
      </c>
      <c r="D1240" s="16">
        <v>0.49305555555555558</v>
      </c>
      <c r="E1240" s="14">
        <v>210</v>
      </c>
      <c r="F1240" s="14">
        <v>19</v>
      </c>
      <c r="G1240" s="17">
        <v>0.30128251078390944</v>
      </c>
      <c r="H1240" s="1" t="s">
        <v>144</v>
      </c>
      <c r="I1240" s="14"/>
    </row>
    <row r="1241" spans="1:9" x14ac:dyDescent="0.25">
      <c r="A1241" s="14">
        <v>2016</v>
      </c>
      <c r="B1241" s="14">
        <v>180</v>
      </c>
      <c r="C1241" s="15">
        <v>42549</v>
      </c>
      <c r="D1241" s="16">
        <v>0.43124999999999997</v>
      </c>
      <c r="E1241" s="14">
        <v>210</v>
      </c>
      <c r="F1241" s="14">
        <v>20</v>
      </c>
      <c r="G1241" s="17">
        <v>0.3055257728858522</v>
      </c>
      <c r="H1241" s="1" t="s">
        <v>144</v>
      </c>
      <c r="I1241" s="14"/>
    </row>
    <row r="1242" spans="1:9" x14ac:dyDescent="0.25">
      <c r="A1242" s="14">
        <v>2016</v>
      </c>
      <c r="B1242" s="14">
        <v>180</v>
      </c>
      <c r="C1242" s="15">
        <v>42549</v>
      </c>
      <c r="D1242" s="16">
        <v>0.35625000000000001</v>
      </c>
      <c r="E1242" s="14">
        <v>190</v>
      </c>
      <c r="F1242" s="14">
        <v>1</v>
      </c>
      <c r="G1242" s="17">
        <v>0.29114150365036734</v>
      </c>
      <c r="H1242" s="1" t="s">
        <v>143</v>
      </c>
      <c r="I1242" s="14"/>
    </row>
    <row r="1243" spans="1:9" x14ac:dyDescent="0.25">
      <c r="A1243" s="14">
        <v>2016</v>
      </c>
      <c r="B1243" s="14">
        <v>180</v>
      </c>
      <c r="C1243" s="15">
        <v>42549</v>
      </c>
      <c r="D1243" s="16">
        <v>0.34930555555555554</v>
      </c>
      <c r="E1243" s="14">
        <v>190</v>
      </c>
      <c r="F1243" s="14">
        <v>2</v>
      </c>
      <c r="G1243" s="17">
        <v>0.30075696914743033</v>
      </c>
      <c r="H1243" s="1" t="s">
        <v>143</v>
      </c>
      <c r="I1243" s="14"/>
    </row>
    <row r="1244" spans="1:9" x14ac:dyDescent="0.25">
      <c r="A1244" s="14">
        <v>2016</v>
      </c>
      <c r="B1244" s="14">
        <v>180</v>
      </c>
      <c r="C1244" s="15">
        <v>42549</v>
      </c>
      <c r="D1244" s="16">
        <v>0.37013888888888885</v>
      </c>
      <c r="E1244" s="14">
        <v>190</v>
      </c>
      <c r="F1244" s="14">
        <v>3</v>
      </c>
      <c r="G1244" s="17">
        <v>0.3026060971276347</v>
      </c>
      <c r="H1244" s="1" t="s">
        <v>143</v>
      </c>
      <c r="I1244" s="14"/>
    </row>
    <row r="1245" spans="1:9" x14ac:dyDescent="0.25">
      <c r="A1245" s="14">
        <v>2016</v>
      </c>
      <c r="B1245" s="14">
        <v>180</v>
      </c>
      <c r="C1245" s="15">
        <v>42549</v>
      </c>
      <c r="D1245" s="16">
        <v>0.36319444444444443</v>
      </c>
      <c r="E1245" s="14">
        <v>190</v>
      </c>
      <c r="F1245" s="14">
        <v>4</v>
      </c>
      <c r="G1245" s="17">
        <v>0.2990440927026094</v>
      </c>
      <c r="H1245" s="1" t="s">
        <v>143</v>
      </c>
      <c r="I1245" s="14"/>
    </row>
    <row r="1246" spans="1:9" x14ac:dyDescent="0.25">
      <c r="A1246" s="14">
        <v>2016</v>
      </c>
      <c r="B1246" s="14">
        <v>180</v>
      </c>
      <c r="C1246" s="15">
        <v>42549</v>
      </c>
      <c r="D1246" s="16">
        <v>0.37638888888888888</v>
      </c>
      <c r="E1246" s="14">
        <v>190</v>
      </c>
      <c r="F1246" s="14">
        <v>5</v>
      </c>
      <c r="G1246" s="17">
        <v>0.3354037881449447</v>
      </c>
      <c r="H1246" s="1" t="s">
        <v>0</v>
      </c>
      <c r="I1246" s="14"/>
    </row>
    <row r="1247" spans="1:9" x14ac:dyDescent="0.25">
      <c r="A1247" s="14">
        <v>2016</v>
      </c>
      <c r="B1247" s="14">
        <v>180</v>
      </c>
      <c r="C1247" s="15">
        <v>42549</v>
      </c>
      <c r="D1247" s="16">
        <v>0.38194444444444442</v>
      </c>
      <c r="E1247" s="14">
        <v>190</v>
      </c>
      <c r="F1247" s="14">
        <v>6</v>
      </c>
      <c r="G1247" s="17">
        <v>0.35467364814918029</v>
      </c>
      <c r="H1247" s="1" t="s">
        <v>0</v>
      </c>
      <c r="I1247" s="14"/>
    </row>
    <row r="1248" spans="1:9" x14ac:dyDescent="0.25">
      <c r="A1248" s="14">
        <v>2016</v>
      </c>
      <c r="B1248" s="14">
        <v>180</v>
      </c>
      <c r="C1248" s="15">
        <v>42549</v>
      </c>
      <c r="D1248" s="16">
        <v>0.38194444444444442</v>
      </c>
      <c r="E1248" s="14">
        <v>190</v>
      </c>
      <c r="F1248" s="14">
        <v>7</v>
      </c>
      <c r="G1248" s="17">
        <v>0.29028506542795685</v>
      </c>
      <c r="H1248" s="1" t="s">
        <v>143</v>
      </c>
      <c r="I1248" s="14"/>
    </row>
    <row r="1249" spans="1:9" x14ac:dyDescent="0.25">
      <c r="A1249" s="14">
        <v>2016</v>
      </c>
      <c r="B1249" s="14">
        <v>180</v>
      </c>
      <c r="C1249" s="15">
        <v>42549</v>
      </c>
      <c r="D1249" s="16">
        <v>0.39374999999999999</v>
      </c>
      <c r="E1249" s="14">
        <v>190</v>
      </c>
      <c r="F1249" s="14">
        <v>8</v>
      </c>
      <c r="G1249" s="17">
        <v>0.29978374389469109</v>
      </c>
      <c r="H1249" s="1" t="s">
        <v>143</v>
      </c>
      <c r="I1249" s="14"/>
    </row>
    <row r="1250" spans="1:9" x14ac:dyDescent="0.25">
      <c r="A1250" s="14">
        <v>2016</v>
      </c>
      <c r="B1250" s="14">
        <v>180</v>
      </c>
      <c r="C1250" s="15">
        <v>42549</v>
      </c>
      <c r="D1250" s="16">
        <v>0.39583333333333331</v>
      </c>
      <c r="E1250" s="14">
        <v>190</v>
      </c>
      <c r="F1250" s="14">
        <v>9</v>
      </c>
      <c r="G1250" s="17">
        <v>0.29400278589342044</v>
      </c>
      <c r="H1250" s="1" t="s">
        <v>143</v>
      </c>
      <c r="I1250" s="14"/>
    </row>
    <row r="1251" spans="1:9" x14ac:dyDescent="0.25">
      <c r="A1251" s="14">
        <v>2016</v>
      </c>
      <c r="B1251" s="14">
        <v>180</v>
      </c>
      <c r="C1251" s="15">
        <v>42549</v>
      </c>
      <c r="D1251" s="16">
        <v>0.40763888888888888</v>
      </c>
      <c r="E1251" s="14">
        <v>190</v>
      </c>
      <c r="F1251" s="14">
        <v>10</v>
      </c>
      <c r="G1251" s="17">
        <v>0.2967667456111997</v>
      </c>
      <c r="H1251" s="1" t="s">
        <v>143</v>
      </c>
      <c r="I1251" s="14"/>
    </row>
    <row r="1252" spans="1:9" x14ac:dyDescent="0.25">
      <c r="A1252" s="14">
        <v>2016</v>
      </c>
      <c r="B1252" s="14">
        <v>180</v>
      </c>
      <c r="C1252" s="15">
        <v>42549</v>
      </c>
      <c r="D1252" s="16">
        <v>0.52083333333333337</v>
      </c>
      <c r="E1252" s="14">
        <v>190</v>
      </c>
      <c r="F1252" s="14">
        <v>11</v>
      </c>
      <c r="G1252" s="17">
        <v>0.31080065375569849</v>
      </c>
      <c r="H1252" s="1" t="s">
        <v>144</v>
      </c>
      <c r="I1252" s="14"/>
    </row>
    <row r="1253" spans="1:9" x14ac:dyDescent="0.25">
      <c r="A1253" s="14">
        <v>2016</v>
      </c>
      <c r="B1253" s="14">
        <v>180</v>
      </c>
      <c r="C1253" s="15">
        <v>42549</v>
      </c>
      <c r="D1253" s="16">
        <v>0.52847222222222223</v>
      </c>
      <c r="E1253" s="14">
        <v>190</v>
      </c>
      <c r="F1253" s="14">
        <v>12</v>
      </c>
      <c r="G1253" s="17">
        <v>0.31969593256573448</v>
      </c>
      <c r="H1253" s="1" t="s">
        <v>144</v>
      </c>
      <c r="I1253" s="14"/>
    </row>
    <row r="1254" spans="1:9" x14ac:dyDescent="0.25">
      <c r="A1254" s="14">
        <v>2016</v>
      </c>
      <c r="B1254" s="14">
        <v>180</v>
      </c>
      <c r="C1254" s="15">
        <v>42549</v>
      </c>
      <c r="D1254" s="16">
        <v>0.5444444444444444</v>
      </c>
      <c r="E1254" s="14">
        <v>190</v>
      </c>
      <c r="F1254" s="14">
        <v>13</v>
      </c>
      <c r="G1254" s="17">
        <v>0.29849908656107543</v>
      </c>
      <c r="H1254" s="1" t="s">
        <v>144</v>
      </c>
      <c r="I1254" s="14"/>
    </row>
    <row r="1255" spans="1:9" x14ac:dyDescent="0.25">
      <c r="A1255" s="14">
        <v>2016</v>
      </c>
      <c r="B1255" s="14">
        <v>180</v>
      </c>
      <c r="C1255" s="15">
        <v>42549</v>
      </c>
      <c r="D1255" s="16">
        <v>0.5180555555555556</v>
      </c>
      <c r="E1255" s="14">
        <v>190</v>
      </c>
      <c r="F1255" s="14">
        <v>14</v>
      </c>
      <c r="G1255" s="17">
        <v>0.30443576060278432</v>
      </c>
      <c r="H1255" s="1" t="s">
        <v>144</v>
      </c>
      <c r="I1255" s="14"/>
    </row>
    <row r="1256" spans="1:9" x14ac:dyDescent="0.25">
      <c r="A1256" s="14">
        <v>2016</v>
      </c>
      <c r="B1256" s="14">
        <v>180</v>
      </c>
      <c r="C1256" s="15">
        <v>42549</v>
      </c>
      <c r="D1256" s="16">
        <v>0.51180555555555551</v>
      </c>
      <c r="E1256" s="14">
        <v>190</v>
      </c>
      <c r="F1256" s="14">
        <v>15</v>
      </c>
      <c r="G1256" s="17">
        <v>0.34200225535851625</v>
      </c>
      <c r="H1256" s="1" t="s">
        <v>1</v>
      </c>
      <c r="I1256" s="14"/>
    </row>
    <row r="1257" spans="1:9" x14ac:dyDescent="0.25">
      <c r="A1257" s="14">
        <v>2016</v>
      </c>
      <c r="B1257" s="14">
        <v>180</v>
      </c>
      <c r="C1257" s="15">
        <v>42549</v>
      </c>
      <c r="D1257" s="16">
        <v>0.50694444444444442</v>
      </c>
      <c r="E1257" s="14">
        <v>190</v>
      </c>
      <c r="F1257" s="14">
        <v>16</v>
      </c>
      <c r="G1257" s="17">
        <v>0.33365198269001417</v>
      </c>
      <c r="H1257" s="1" t="s">
        <v>1</v>
      </c>
      <c r="I1257" s="14"/>
    </row>
    <row r="1258" spans="1:9" x14ac:dyDescent="0.25">
      <c r="A1258" s="14">
        <v>2016</v>
      </c>
      <c r="B1258" s="14">
        <v>180</v>
      </c>
      <c r="C1258" s="15">
        <v>42549</v>
      </c>
      <c r="D1258" s="16">
        <v>0.4381944444444445</v>
      </c>
      <c r="E1258" s="14">
        <v>190</v>
      </c>
      <c r="F1258" s="14">
        <v>17</v>
      </c>
      <c r="G1258" s="17">
        <v>0.3215839895560485</v>
      </c>
      <c r="H1258" s="1" t="s">
        <v>144</v>
      </c>
      <c r="I1258" s="14"/>
    </row>
    <row r="1259" spans="1:9" x14ac:dyDescent="0.25">
      <c r="A1259" s="14">
        <v>2016</v>
      </c>
      <c r="B1259" s="14">
        <v>180</v>
      </c>
      <c r="C1259" s="15">
        <v>42549</v>
      </c>
      <c r="D1259" s="16">
        <v>0.5</v>
      </c>
      <c r="E1259" s="14">
        <v>190</v>
      </c>
      <c r="F1259" s="14">
        <v>18</v>
      </c>
      <c r="G1259" s="17">
        <v>0.31401229708973777</v>
      </c>
      <c r="H1259" s="1" t="s">
        <v>144</v>
      </c>
      <c r="I1259" s="14"/>
    </row>
    <row r="1260" spans="1:9" x14ac:dyDescent="0.25">
      <c r="A1260" s="14">
        <v>2016</v>
      </c>
      <c r="B1260" s="14">
        <v>180</v>
      </c>
      <c r="C1260" s="15">
        <v>42549</v>
      </c>
      <c r="D1260" s="16">
        <v>0.49305555555555558</v>
      </c>
      <c r="E1260" s="14">
        <v>190</v>
      </c>
      <c r="F1260" s="14">
        <v>19</v>
      </c>
      <c r="G1260" s="17">
        <v>0.30881527424011057</v>
      </c>
      <c r="H1260" s="1" t="s">
        <v>144</v>
      </c>
      <c r="I1260" s="14"/>
    </row>
    <row r="1261" spans="1:9" x14ac:dyDescent="0.25">
      <c r="A1261" s="14">
        <v>2016</v>
      </c>
      <c r="B1261" s="14">
        <v>180</v>
      </c>
      <c r="C1261" s="15">
        <v>42549</v>
      </c>
      <c r="D1261" s="16">
        <v>0.43124999999999997</v>
      </c>
      <c r="E1261" s="14">
        <v>190</v>
      </c>
      <c r="F1261" s="14">
        <v>20</v>
      </c>
      <c r="G1261" s="17">
        <v>0.30877634523000103</v>
      </c>
      <c r="H1261" s="1" t="s">
        <v>144</v>
      </c>
      <c r="I1261" s="14"/>
    </row>
    <row r="1262" spans="1:9" x14ac:dyDescent="0.25">
      <c r="A1262" s="14">
        <v>2016</v>
      </c>
      <c r="B1262" s="14">
        <v>180</v>
      </c>
      <c r="C1262" s="15">
        <v>42549</v>
      </c>
      <c r="D1262" s="16">
        <v>0.35625000000000001</v>
      </c>
      <c r="E1262" s="14">
        <v>170</v>
      </c>
      <c r="F1262" s="14">
        <v>1</v>
      </c>
      <c r="G1262" s="17">
        <v>0.28481553950756272</v>
      </c>
      <c r="H1262" s="1" t="s">
        <v>143</v>
      </c>
      <c r="I1262" s="14"/>
    </row>
    <row r="1263" spans="1:9" x14ac:dyDescent="0.25">
      <c r="A1263" s="14">
        <v>2016</v>
      </c>
      <c r="B1263" s="14">
        <v>180</v>
      </c>
      <c r="C1263" s="15">
        <v>42549</v>
      </c>
      <c r="D1263" s="16">
        <v>0.34930555555555554</v>
      </c>
      <c r="E1263" s="14">
        <v>170</v>
      </c>
      <c r="F1263" s="14">
        <v>2</v>
      </c>
      <c r="G1263" s="17">
        <v>0.27905404601134681</v>
      </c>
      <c r="H1263" s="1" t="s">
        <v>143</v>
      </c>
      <c r="I1263" s="14"/>
    </row>
    <row r="1264" spans="1:9" x14ac:dyDescent="0.25">
      <c r="A1264" s="14">
        <v>2016</v>
      </c>
      <c r="B1264" s="14">
        <v>180</v>
      </c>
      <c r="C1264" s="15">
        <v>42549</v>
      </c>
      <c r="D1264" s="16">
        <v>0.37013888888888885</v>
      </c>
      <c r="E1264" s="14">
        <v>170</v>
      </c>
      <c r="F1264" s="14">
        <v>3</v>
      </c>
      <c r="G1264" s="17">
        <v>0.29466457906528309</v>
      </c>
      <c r="H1264" s="1" t="s">
        <v>143</v>
      </c>
      <c r="I1264" s="14"/>
    </row>
    <row r="1265" spans="1:9" x14ac:dyDescent="0.25">
      <c r="A1265" s="14">
        <v>2016</v>
      </c>
      <c r="B1265" s="14">
        <v>180</v>
      </c>
      <c r="C1265" s="15">
        <v>42549</v>
      </c>
      <c r="D1265" s="16">
        <v>0.36319444444444443</v>
      </c>
      <c r="E1265" s="14">
        <v>170</v>
      </c>
      <c r="F1265" s="14">
        <v>4</v>
      </c>
      <c r="G1265" s="17">
        <v>0.29503440466132397</v>
      </c>
      <c r="H1265" s="1" t="s">
        <v>143</v>
      </c>
      <c r="I1265" s="14"/>
    </row>
    <row r="1266" spans="1:9" x14ac:dyDescent="0.25">
      <c r="A1266" s="14">
        <v>2016</v>
      </c>
      <c r="B1266" s="14">
        <v>180</v>
      </c>
      <c r="C1266" s="15">
        <v>42549</v>
      </c>
      <c r="D1266" s="16">
        <v>0.37638888888888888</v>
      </c>
      <c r="E1266" s="14">
        <v>170</v>
      </c>
      <c r="F1266" s="14">
        <v>5</v>
      </c>
      <c r="G1266" s="17">
        <v>0.33055712638630363</v>
      </c>
      <c r="H1266" s="1" t="s">
        <v>0</v>
      </c>
      <c r="I1266" s="14"/>
    </row>
    <row r="1267" spans="1:9" x14ac:dyDescent="0.25">
      <c r="A1267" s="14">
        <v>2016</v>
      </c>
      <c r="B1267" s="14">
        <v>180</v>
      </c>
      <c r="C1267" s="15">
        <v>42549</v>
      </c>
      <c r="D1267" s="16">
        <v>0.38194444444444442</v>
      </c>
      <c r="E1267" s="14">
        <v>170</v>
      </c>
      <c r="F1267" s="14">
        <v>6</v>
      </c>
      <c r="G1267" s="17">
        <v>0.34028937891369532</v>
      </c>
      <c r="H1267" s="1" t="s">
        <v>0</v>
      </c>
      <c r="I1267" s="14"/>
    </row>
    <row r="1268" spans="1:9" x14ac:dyDescent="0.25">
      <c r="A1268" s="14">
        <v>2016</v>
      </c>
      <c r="B1268" s="14">
        <v>180</v>
      </c>
      <c r="C1268" s="15">
        <v>42549</v>
      </c>
      <c r="D1268" s="16">
        <v>0.38194444444444442</v>
      </c>
      <c r="E1268" s="14">
        <v>170</v>
      </c>
      <c r="F1268" s="14">
        <v>7</v>
      </c>
      <c r="G1268" s="17">
        <v>0.30176912341027901</v>
      </c>
      <c r="H1268" s="1" t="s">
        <v>143</v>
      </c>
      <c r="I1268" s="14"/>
    </row>
    <row r="1269" spans="1:9" x14ac:dyDescent="0.25">
      <c r="A1269" s="14">
        <v>2016</v>
      </c>
      <c r="B1269" s="14">
        <v>180</v>
      </c>
      <c r="C1269" s="15">
        <v>42549</v>
      </c>
      <c r="D1269" s="16">
        <v>0.39374999999999999</v>
      </c>
      <c r="E1269" s="14">
        <v>170</v>
      </c>
      <c r="F1269" s="14">
        <v>8</v>
      </c>
      <c r="G1269" s="17">
        <v>0.31167655648316378</v>
      </c>
      <c r="H1269" s="1" t="s">
        <v>143</v>
      </c>
      <c r="I1269" s="14"/>
    </row>
    <row r="1270" spans="1:9" x14ac:dyDescent="0.25">
      <c r="A1270" s="14">
        <v>2016</v>
      </c>
      <c r="B1270" s="14">
        <v>180</v>
      </c>
      <c r="C1270" s="15">
        <v>42549</v>
      </c>
      <c r="D1270" s="16">
        <v>0.39583333333333331</v>
      </c>
      <c r="E1270" s="14">
        <v>170</v>
      </c>
      <c r="F1270" s="14">
        <v>9</v>
      </c>
      <c r="G1270" s="17">
        <v>0.30513648278475658</v>
      </c>
      <c r="H1270" s="1" t="s">
        <v>143</v>
      </c>
      <c r="I1270" s="14"/>
    </row>
    <row r="1271" spans="1:9" x14ac:dyDescent="0.25">
      <c r="A1271" s="14">
        <v>2016</v>
      </c>
      <c r="B1271" s="14">
        <v>180</v>
      </c>
      <c r="C1271" s="15">
        <v>42549</v>
      </c>
      <c r="D1271" s="16">
        <v>0.40763888888888888</v>
      </c>
      <c r="E1271" s="14">
        <v>170</v>
      </c>
      <c r="F1271" s="14">
        <v>10</v>
      </c>
      <c r="G1271" s="17">
        <v>0.31235781416008118</v>
      </c>
      <c r="H1271" s="1" t="s">
        <v>143</v>
      </c>
      <c r="I1271" s="14"/>
    </row>
    <row r="1272" spans="1:9" x14ac:dyDescent="0.25">
      <c r="A1272" s="14">
        <v>2016</v>
      </c>
      <c r="B1272" s="14">
        <v>180</v>
      </c>
      <c r="C1272" s="15">
        <v>42549</v>
      </c>
      <c r="D1272" s="16">
        <v>0.52083333333333337</v>
      </c>
      <c r="E1272" s="14">
        <v>170</v>
      </c>
      <c r="F1272" s="14">
        <v>11</v>
      </c>
      <c r="G1272" s="17">
        <v>0.32458152333448514</v>
      </c>
      <c r="H1272" s="1" t="s">
        <v>144</v>
      </c>
      <c r="I1272" s="14"/>
    </row>
    <row r="1273" spans="1:9" x14ac:dyDescent="0.25">
      <c r="A1273" s="14">
        <v>2016</v>
      </c>
      <c r="B1273" s="14">
        <v>180</v>
      </c>
      <c r="C1273" s="15">
        <v>42549</v>
      </c>
      <c r="D1273" s="16">
        <v>0.52847222222222223</v>
      </c>
      <c r="E1273" s="14">
        <v>170</v>
      </c>
      <c r="F1273" s="14">
        <v>12</v>
      </c>
      <c r="G1273" s="17">
        <v>0.33818721236777871</v>
      </c>
      <c r="H1273" s="1" t="s">
        <v>144</v>
      </c>
      <c r="I1273" s="14"/>
    </row>
    <row r="1274" spans="1:9" x14ac:dyDescent="0.25">
      <c r="A1274" s="14">
        <v>2016</v>
      </c>
      <c r="B1274" s="14">
        <v>180</v>
      </c>
      <c r="C1274" s="15">
        <v>42549</v>
      </c>
      <c r="D1274" s="16">
        <v>0.5444444444444444</v>
      </c>
      <c r="E1274" s="14">
        <v>170</v>
      </c>
      <c r="F1274" s="14">
        <v>13</v>
      </c>
      <c r="G1274" s="17">
        <v>0.30655739165375573</v>
      </c>
      <c r="H1274" s="1" t="s">
        <v>144</v>
      </c>
      <c r="I1274" s="14"/>
    </row>
    <row r="1275" spans="1:9" x14ac:dyDescent="0.25">
      <c r="A1275" s="14">
        <v>2016</v>
      </c>
      <c r="B1275" s="14">
        <v>180</v>
      </c>
      <c r="C1275" s="15">
        <v>42549</v>
      </c>
      <c r="D1275" s="16">
        <v>0.5180555555555556</v>
      </c>
      <c r="E1275" s="14">
        <v>170</v>
      </c>
      <c r="F1275" s="14">
        <v>14</v>
      </c>
      <c r="G1275" s="17">
        <v>0.32142827351561021</v>
      </c>
      <c r="H1275" s="1" t="s">
        <v>144</v>
      </c>
      <c r="I1275" s="14"/>
    </row>
    <row r="1276" spans="1:9" x14ac:dyDescent="0.25">
      <c r="A1276" s="14">
        <v>2016</v>
      </c>
      <c r="B1276" s="14">
        <v>180</v>
      </c>
      <c r="C1276" s="15">
        <v>42549</v>
      </c>
      <c r="D1276" s="16">
        <v>0.51180555555555551</v>
      </c>
      <c r="E1276" s="14">
        <v>170</v>
      </c>
      <c r="F1276" s="14">
        <v>15</v>
      </c>
      <c r="G1276" s="17">
        <v>0.33215321580079588</v>
      </c>
      <c r="H1276" s="1" t="s">
        <v>1</v>
      </c>
      <c r="I1276" s="14"/>
    </row>
    <row r="1277" spans="1:9" x14ac:dyDescent="0.25">
      <c r="A1277" s="14">
        <v>2016</v>
      </c>
      <c r="B1277" s="14">
        <v>180</v>
      </c>
      <c r="C1277" s="15">
        <v>42549</v>
      </c>
      <c r="D1277" s="16">
        <v>0.50694444444444442</v>
      </c>
      <c r="E1277" s="14">
        <v>170</v>
      </c>
      <c r="F1277" s="14">
        <v>16</v>
      </c>
      <c r="G1277" s="17">
        <v>0.32319954347559554</v>
      </c>
      <c r="H1277" s="1" t="s">
        <v>1</v>
      </c>
      <c r="I1277" s="14"/>
    </row>
    <row r="1278" spans="1:9" x14ac:dyDescent="0.25">
      <c r="A1278" s="14">
        <v>2016</v>
      </c>
      <c r="B1278" s="14">
        <v>180</v>
      </c>
      <c r="C1278" s="15">
        <v>42549</v>
      </c>
      <c r="D1278" s="16">
        <v>0.4381944444444445</v>
      </c>
      <c r="E1278" s="14">
        <v>170</v>
      </c>
      <c r="F1278" s="14">
        <v>17</v>
      </c>
      <c r="G1278" s="17">
        <v>0.31928717795958406</v>
      </c>
      <c r="H1278" s="1" t="s">
        <v>144</v>
      </c>
      <c r="I1278" s="14"/>
    </row>
    <row r="1279" spans="1:9" x14ac:dyDescent="0.25">
      <c r="A1279" s="14">
        <v>2016</v>
      </c>
      <c r="B1279" s="14">
        <v>180</v>
      </c>
      <c r="C1279" s="15">
        <v>42549</v>
      </c>
      <c r="D1279" s="16">
        <v>0.5</v>
      </c>
      <c r="E1279" s="14">
        <v>170</v>
      </c>
      <c r="F1279" s="14">
        <v>18</v>
      </c>
      <c r="G1279" s="17">
        <v>0.33166660317442626</v>
      </c>
      <c r="H1279" s="1" t="s">
        <v>144</v>
      </c>
      <c r="I1279" s="14"/>
    </row>
    <row r="1280" spans="1:9" x14ac:dyDescent="0.25">
      <c r="A1280" s="14">
        <v>2016</v>
      </c>
      <c r="B1280" s="14">
        <v>180</v>
      </c>
      <c r="C1280" s="15">
        <v>42549</v>
      </c>
      <c r="D1280" s="16">
        <v>0.49305555555555558</v>
      </c>
      <c r="E1280" s="14">
        <v>170</v>
      </c>
      <c r="F1280" s="14">
        <v>19</v>
      </c>
      <c r="G1280" s="17">
        <v>0.31664000527213354</v>
      </c>
      <c r="H1280" s="1" t="s">
        <v>144</v>
      </c>
      <c r="I1280" s="14"/>
    </row>
    <row r="1281" spans="1:9" x14ac:dyDescent="0.25">
      <c r="A1281" s="14">
        <v>2016</v>
      </c>
      <c r="B1281" s="14">
        <v>180</v>
      </c>
      <c r="C1281" s="15">
        <v>42549</v>
      </c>
      <c r="D1281" s="16">
        <v>0.43124999999999997</v>
      </c>
      <c r="E1281" s="14">
        <v>170</v>
      </c>
      <c r="F1281" s="14">
        <v>20</v>
      </c>
      <c r="G1281" s="17">
        <v>0.32086380286902155</v>
      </c>
      <c r="H1281" s="1" t="s">
        <v>144</v>
      </c>
      <c r="I1281" s="14"/>
    </row>
    <row r="1282" spans="1:9" x14ac:dyDescent="0.25">
      <c r="A1282" s="14">
        <v>2016</v>
      </c>
      <c r="B1282" s="14">
        <v>180</v>
      </c>
      <c r="C1282" s="15">
        <v>42549</v>
      </c>
      <c r="D1282" s="16">
        <v>0.35625000000000001</v>
      </c>
      <c r="E1282" s="14">
        <v>150</v>
      </c>
      <c r="F1282" s="14">
        <v>1</v>
      </c>
      <c r="G1282" s="17">
        <v>0.34268351303543365</v>
      </c>
      <c r="H1282" s="1" t="s">
        <v>143</v>
      </c>
      <c r="I1282" s="14"/>
    </row>
    <row r="1283" spans="1:9" x14ac:dyDescent="0.25">
      <c r="A1283" s="14">
        <v>2016</v>
      </c>
      <c r="B1283" s="14">
        <v>180</v>
      </c>
      <c r="C1283" s="15">
        <v>42549</v>
      </c>
      <c r="D1283" s="16">
        <v>0.34930555555555554</v>
      </c>
      <c r="E1283" s="14">
        <v>150</v>
      </c>
      <c r="F1283" s="14">
        <v>2</v>
      </c>
      <c r="G1283" s="17">
        <v>0.33696094854932734</v>
      </c>
      <c r="H1283" s="1" t="s">
        <v>143</v>
      </c>
      <c r="I1283" s="14"/>
    </row>
    <row r="1284" spans="1:9" x14ac:dyDescent="0.25">
      <c r="A1284" s="14">
        <v>2016</v>
      </c>
      <c r="B1284" s="14">
        <v>180</v>
      </c>
      <c r="C1284" s="15">
        <v>42549</v>
      </c>
      <c r="D1284" s="16">
        <v>0.37013888888888885</v>
      </c>
      <c r="E1284" s="14">
        <v>150</v>
      </c>
      <c r="F1284" s="14">
        <v>3</v>
      </c>
      <c r="G1284" s="17">
        <v>0.31802198513102314</v>
      </c>
      <c r="H1284" s="1" t="s">
        <v>143</v>
      </c>
      <c r="I1284" s="14"/>
    </row>
    <row r="1285" spans="1:9" x14ac:dyDescent="0.25">
      <c r="A1285" s="14">
        <v>2016</v>
      </c>
      <c r="B1285" s="14">
        <v>180</v>
      </c>
      <c r="C1285" s="15">
        <v>42549</v>
      </c>
      <c r="D1285" s="16">
        <v>0.36319444444444443</v>
      </c>
      <c r="E1285" s="14">
        <v>150</v>
      </c>
      <c r="F1285" s="14">
        <v>4</v>
      </c>
      <c r="G1285" s="17">
        <v>0.30067911112721113</v>
      </c>
      <c r="H1285" s="1" t="s">
        <v>143</v>
      </c>
      <c r="I1285" s="14"/>
    </row>
    <row r="1286" spans="1:9" x14ac:dyDescent="0.25">
      <c r="A1286" s="14">
        <v>2016</v>
      </c>
      <c r="B1286" s="14">
        <v>180</v>
      </c>
      <c r="C1286" s="15">
        <v>42549</v>
      </c>
      <c r="D1286" s="16">
        <v>0.37638888888888888</v>
      </c>
      <c r="E1286" s="14">
        <v>150</v>
      </c>
      <c r="F1286" s="14">
        <v>5</v>
      </c>
      <c r="G1286" s="17">
        <v>0.36136943788802572</v>
      </c>
      <c r="H1286" s="1" t="s">
        <v>0</v>
      </c>
      <c r="I1286" s="14"/>
    </row>
    <row r="1287" spans="1:9" x14ac:dyDescent="0.25">
      <c r="A1287" s="14">
        <v>2016</v>
      </c>
      <c r="B1287" s="14">
        <v>180</v>
      </c>
      <c r="C1287" s="15">
        <v>42549</v>
      </c>
      <c r="D1287" s="16">
        <v>0.38194444444444442</v>
      </c>
      <c r="E1287" s="14">
        <v>150</v>
      </c>
      <c r="F1287" s="14">
        <v>6</v>
      </c>
      <c r="G1287" s="17">
        <v>0.34846447103670436</v>
      </c>
      <c r="H1287" s="1" t="s">
        <v>0</v>
      </c>
      <c r="I1287" s="14"/>
    </row>
    <row r="1288" spans="1:9" x14ac:dyDescent="0.25">
      <c r="A1288" s="14">
        <v>2016</v>
      </c>
      <c r="B1288" s="14">
        <v>180</v>
      </c>
      <c r="C1288" s="15">
        <v>42549</v>
      </c>
      <c r="D1288" s="16">
        <v>0.38194444444444442</v>
      </c>
      <c r="E1288" s="14">
        <v>150</v>
      </c>
      <c r="F1288" s="14">
        <v>7</v>
      </c>
      <c r="G1288" s="17">
        <v>0.32890264345664705</v>
      </c>
      <c r="H1288" s="1" t="s">
        <v>143</v>
      </c>
      <c r="I1288" s="14"/>
    </row>
    <row r="1289" spans="1:9" x14ac:dyDescent="0.25">
      <c r="A1289" s="14">
        <v>2016</v>
      </c>
      <c r="B1289" s="14">
        <v>180</v>
      </c>
      <c r="C1289" s="15">
        <v>42549</v>
      </c>
      <c r="D1289" s="16">
        <v>0.39374999999999999</v>
      </c>
      <c r="E1289" s="14">
        <v>150</v>
      </c>
      <c r="F1289" s="14">
        <v>8</v>
      </c>
      <c r="G1289" s="17">
        <v>0.35039145703712793</v>
      </c>
      <c r="H1289" s="1" t="s">
        <v>143</v>
      </c>
      <c r="I1289" s="14"/>
    </row>
    <row r="1290" spans="1:9" x14ac:dyDescent="0.25">
      <c r="A1290" s="14">
        <v>2016</v>
      </c>
      <c r="B1290" s="14">
        <v>180</v>
      </c>
      <c r="C1290" s="15">
        <v>42549</v>
      </c>
      <c r="D1290" s="16">
        <v>0.39583333333333331</v>
      </c>
      <c r="E1290" s="14">
        <v>150</v>
      </c>
      <c r="F1290" s="14">
        <v>9</v>
      </c>
      <c r="G1290" s="17">
        <v>0.33411913081132899</v>
      </c>
      <c r="H1290" s="1" t="s">
        <v>143</v>
      </c>
      <c r="I1290" s="14"/>
    </row>
    <row r="1291" spans="1:9" x14ac:dyDescent="0.25">
      <c r="A1291" s="14">
        <v>2016</v>
      </c>
      <c r="B1291" s="14">
        <v>180</v>
      </c>
      <c r="C1291" s="15">
        <v>42549</v>
      </c>
      <c r="D1291" s="16">
        <v>0.40763888888888888</v>
      </c>
      <c r="E1291" s="14">
        <v>150</v>
      </c>
      <c r="F1291" s="14">
        <v>10</v>
      </c>
      <c r="G1291" s="17">
        <v>0.34790000039011565</v>
      </c>
      <c r="H1291" s="1" t="s">
        <v>143</v>
      </c>
      <c r="I1291" s="14"/>
    </row>
    <row r="1292" spans="1:9" x14ac:dyDescent="0.25">
      <c r="A1292" s="14">
        <v>2016</v>
      </c>
      <c r="B1292" s="14">
        <v>180</v>
      </c>
      <c r="C1292" s="15">
        <v>42549</v>
      </c>
      <c r="D1292" s="16">
        <v>0.52083333333333337</v>
      </c>
      <c r="E1292" s="14">
        <v>150</v>
      </c>
      <c r="F1292" s="14">
        <v>11</v>
      </c>
      <c r="G1292" s="17">
        <v>0.34180761030796841</v>
      </c>
      <c r="H1292" s="1" t="s">
        <v>144</v>
      </c>
      <c r="I1292" s="14"/>
    </row>
    <row r="1293" spans="1:9" x14ac:dyDescent="0.25">
      <c r="A1293" s="14">
        <v>2016</v>
      </c>
      <c r="B1293" s="14">
        <v>180</v>
      </c>
      <c r="C1293" s="15">
        <v>42549</v>
      </c>
      <c r="D1293" s="16">
        <v>0.52847222222222223</v>
      </c>
      <c r="E1293" s="14">
        <v>150</v>
      </c>
      <c r="F1293" s="14">
        <v>12</v>
      </c>
      <c r="G1293" s="17">
        <v>0.33705827107460129</v>
      </c>
      <c r="H1293" s="1" t="s">
        <v>144</v>
      </c>
      <c r="I1293" s="14"/>
    </row>
    <row r="1294" spans="1:9" x14ac:dyDescent="0.25">
      <c r="A1294" s="14">
        <v>2016</v>
      </c>
      <c r="B1294" s="14">
        <v>180</v>
      </c>
      <c r="C1294" s="15">
        <v>42549</v>
      </c>
      <c r="D1294" s="16">
        <v>0.5444444444444444</v>
      </c>
      <c r="E1294" s="14">
        <v>150</v>
      </c>
      <c r="F1294" s="14">
        <v>13</v>
      </c>
      <c r="G1294" s="17">
        <v>0.30797830052275493</v>
      </c>
      <c r="H1294" s="1" t="s">
        <v>144</v>
      </c>
      <c r="I1294" s="14"/>
    </row>
    <row r="1295" spans="1:9" x14ac:dyDescent="0.25">
      <c r="A1295" s="14">
        <v>2016</v>
      </c>
      <c r="B1295" s="14">
        <v>180</v>
      </c>
      <c r="C1295" s="15">
        <v>42549</v>
      </c>
      <c r="D1295" s="16">
        <v>0.5180555555555556</v>
      </c>
      <c r="E1295" s="14">
        <v>150</v>
      </c>
      <c r="F1295" s="14">
        <v>14</v>
      </c>
      <c r="G1295" s="17">
        <v>0.30836759062385055</v>
      </c>
      <c r="H1295" s="1" t="s">
        <v>144</v>
      </c>
      <c r="I1295" s="14"/>
    </row>
    <row r="1296" spans="1:9" x14ac:dyDescent="0.25">
      <c r="A1296" s="14">
        <v>2016</v>
      </c>
      <c r="B1296" s="14">
        <v>180</v>
      </c>
      <c r="C1296" s="15">
        <v>42549</v>
      </c>
      <c r="D1296" s="16">
        <v>0.51180555555555551</v>
      </c>
      <c r="E1296" s="14">
        <v>150</v>
      </c>
      <c r="F1296" s="14">
        <v>15</v>
      </c>
      <c r="G1296" s="17">
        <v>0.34102903010577712</v>
      </c>
      <c r="H1296" s="1" t="s">
        <v>1</v>
      </c>
      <c r="I1296" s="14"/>
    </row>
    <row r="1297" spans="1:9" x14ac:dyDescent="0.25">
      <c r="A1297" s="14">
        <v>2016</v>
      </c>
      <c r="B1297" s="14">
        <v>180</v>
      </c>
      <c r="C1297" s="15">
        <v>42549</v>
      </c>
      <c r="D1297" s="16">
        <v>0.50694444444444442</v>
      </c>
      <c r="E1297" s="14">
        <v>150</v>
      </c>
      <c r="F1297" s="14">
        <v>16</v>
      </c>
      <c r="G1297" s="17">
        <v>0.32769584414325048</v>
      </c>
      <c r="H1297" s="1" t="s">
        <v>1</v>
      </c>
      <c r="I1297" s="14"/>
    </row>
    <row r="1298" spans="1:9" x14ac:dyDescent="0.25">
      <c r="A1298" s="14">
        <v>2016</v>
      </c>
      <c r="B1298" s="14">
        <v>180</v>
      </c>
      <c r="C1298" s="15">
        <v>42549</v>
      </c>
      <c r="D1298" s="16">
        <v>0.4381944444444445</v>
      </c>
      <c r="E1298" s="14">
        <v>150</v>
      </c>
      <c r="F1298" s="14">
        <v>17</v>
      </c>
      <c r="G1298" s="17">
        <v>0.32594403868832</v>
      </c>
      <c r="H1298" s="1" t="s">
        <v>144</v>
      </c>
      <c r="I1298" s="14"/>
    </row>
    <row r="1299" spans="1:9" x14ac:dyDescent="0.25">
      <c r="A1299" s="14">
        <v>2016</v>
      </c>
      <c r="B1299" s="14">
        <v>180</v>
      </c>
      <c r="C1299" s="15">
        <v>42549</v>
      </c>
      <c r="D1299" s="16">
        <v>0.5</v>
      </c>
      <c r="E1299" s="14">
        <v>150</v>
      </c>
      <c r="F1299" s="14">
        <v>18</v>
      </c>
      <c r="G1299" s="17">
        <v>0.33184178371991935</v>
      </c>
      <c r="H1299" s="1" t="s">
        <v>144</v>
      </c>
      <c r="I1299" s="14"/>
    </row>
    <row r="1300" spans="1:9" x14ac:dyDescent="0.25">
      <c r="A1300" s="14">
        <v>2016</v>
      </c>
      <c r="B1300" s="14">
        <v>180</v>
      </c>
      <c r="C1300" s="15">
        <v>42549</v>
      </c>
      <c r="D1300" s="16">
        <v>0.49305555555555558</v>
      </c>
      <c r="E1300" s="14">
        <v>150</v>
      </c>
      <c r="F1300" s="14">
        <v>19</v>
      </c>
      <c r="G1300" s="17">
        <v>0.33569575572076643</v>
      </c>
      <c r="H1300" s="1" t="s">
        <v>144</v>
      </c>
      <c r="I1300" s="14"/>
    </row>
    <row r="1301" spans="1:9" x14ac:dyDescent="0.25">
      <c r="A1301" s="14">
        <v>2016</v>
      </c>
      <c r="B1301" s="14">
        <v>180</v>
      </c>
      <c r="C1301" s="15">
        <v>42549</v>
      </c>
      <c r="D1301" s="16">
        <v>0.43124999999999997</v>
      </c>
      <c r="E1301" s="14">
        <v>150</v>
      </c>
      <c r="F1301" s="14">
        <v>20</v>
      </c>
      <c r="G1301" s="17">
        <v>0.34971019936021053</v>
      </c>
      <c r="H1301" s="1" t="s">
        <v>144</v>
      </c>
      <c r="I1301" s="14"/>
    </row>
    <row r="1302" spans="1:9" x14ac:dyDescent="0.25">
      <c r="A1302" s="14">
        <v>2016</v>
      </c>
      <c r="B1302" s="14">
        <v>180</v>
      </c>
      <c r="C1302" s="15">
        <v>42549</v>
      </c>
      <c r="D1302" s="16">
        <v>0.35625000000000001</v>
      </c>
      <c r="E1302" s="14">
        <v>130</v>
      </c>
      <c r="F1302" s="14">
        <v>1</v>
      </c>
      <c r="G1302" s="17">
        <v>0.31358407797853255</v>
      </c>
      <c r="H1302" s="1" t="s">
        <v>143</v>
      </c>
      <c r="I1302" s="14"/>
    </row>
    <row r="1303" spans="1:9" x14ac:dyDescent="0.25">
      <c r="A1303" s="14">
        <v>2016</v>
      </c>
      <c r="B1303" s="14">
        <v>180</v>
      </c>
      <c r="C1303" s="15">
        <v>42549</v>
      </c>
      <c r="D1303" s="16">
        <v>0.34930555555555554</v>
      </c>
      <c r="E1303" s="14">
        <v>130</v>
      </c>
      <c r="F1303" s="14">
        <v>2</v>
      </c>
      <c r="G1303" s="17">
        <v>0.31422640664534041</v>
      </c>
      <c r="H1303" s="1" t="s">
        <v>143</v>
      </c>
      <c r="I1303" s="14"/>
    </row>
    <row r="1304" spans="1:9" x14ac:dyDescent="0.25">
      <c r="A1304" s="14">
        <v>2016</v>
      </c>
      <c r="B1304" s="14">
        <v>180</v>
      </c>
      <c r="C1304" s="15">
        <v>42549</v>
      </c>
      <c r="D1304" s="16">
        <v>0.37013888888888885</v>
      </c>
      <c r="E1304" s="14">
        <v>130</v>
      </c>
      <c r="F1304" s="14">
        <v>3</v>
      </c>
      <c r="G1304" s="17">
        <v>0.30830919710868626</v>
      </c>
      <c r="H1304" s="1" t="s">
        <v>143</v>
      </c>
      <c r="I1304" s="14"/>
    </row>
    <row r="1305" spans="1:9" x14ac:dyDescent="0.25">
      <c r="A1305" s="14">
        <v>2016</v>
      </c>
      <c r="B1305" s="14">
        <v>180</v>
      </c>
      <c r="C1305" s="15">
        <v>42549</v>
      </c>
      <c r="D1305" s="16">
        <v>0.36319444444444443</v>
      </c>
      <c r="E1305" s="14">
        <v>130</v>
      </c>
      <c r="F1305" s="14">
        <v>4</v>
      </c>
      <c r="G1305" s="17">
        <v>0.31025564761416458</v>
      </c>
      <c r="H1305" s="1" t="s">
        <v>143</v>
      </c>
      <c r="I1305" s="14"/>
    </row>
    <row r="1306" spans="1:9" x14ac:dyDescent="0.25">
      <c r="A1306" s="14">
        <v>2016</v>
      </c>
      <c r="B1306" s="14">
        <v>180</v>
      </c>
      <c r="C1306" s="15">
        <v>42549</v>
      </c>
      <c r="D1306" s="16">
        <v>0.37638888888888888</v>
      </c>
      <c r="E1306" s="14">
        <v>130</v>
      </c>
      <c r="F1306" s="14">
        <v>5</v>
      </c>
      <c r="G1306" s="17">
        <v>0.31683465032268138</v>
      </c>
      <c r="H1306" s="1" t="s">
        <v>0</v>
      </c>
      <c r="I1306" s="14"/>
    </row>
    <row r="1307" spans="1:9" x14ac:dyDescent="0.25">
      <c r="A1307" s="14">
        <v>2016</v>
      </c>
      <c r="B1307" s="14">
        <v>180</v>
      </c>
      <c r="C1307" s="15">
        <v>42549</v>
      </c>
      <c r="D1307" s="16">
        <v>0.38194444444444442</v>
      </c>
      <c r="E1307" s="14">
        <v>130</v>
      </c>
      <c r="F1307" s="14">
        <v>6</v>
      </c>
      <c r="G1307" s="17">
        <v>0.30928242236142539</v>
      </c>
      <c r="H1307" s="1" t="s">
        <v>0</v>
      </c>
      <c r="I1307" s="14"/>
    </row>
    <row r="1308" spans="1:9" x14ac:dyDescent="0.25">
      <c r="A1308" s="14">
        <v>2016</v>
      </c>
      <c r="B1308" s="14">
        <v>180</v>
      </c>
      <c r="C1308" s="15">
        <v>42549</v>
      </c>
      <c r="D1308" s="16">
        <v>0.38194444444444442</v>
      </c>
      <c r="E1308" s="14">
        <v>130</v>
      </c>
      <c r="F1308" s="14">
        <v>7</v>
      </c>
      <c r="G1308" s="17">
        <v>0.3179635916158588</v>
      </c>
      <c r="H1308" s="1" t="s">
        <v>143</v>
      </c>
      <c r="I1308" s="14"/>
    </row>
    <row r="1309" spans="1:9" x14ac:dyDescent="0.25">
      <c r="A1309" s="14">
        <v>2016</v>
      </c>
      <c r="B1309" s="14">
        <v>180</v>
      </c>
      <c r="C1309" s="15">
        <v>42549</v>
      </c>
      <c r="D1309" s="16">
        <v>0.39374999999999999</v>
      </c>
      <c r="E1309" s="14">
        <v>130</v>
      </c>
      <c r="F1309" s="14">
        <v>8</v>
      </c>
      <c r="G1309" s="17">
        <v>0.3339828792759455</v>
      </c>
      <c r="H1309" s="1" t="s">
        <v>143</v>
      </c>
      <c r="I1309" s="14"/>
    </row>
    <row r="1310" spans="1:9" x14ac:dyDescent="0.25">
      <c r="A1310" s="14">
        <v>2016</v>
      </c>
      <c r="B1310" s="14">
        <v>180</v>
      </c>
      <c r="C1310" s="15">
        <v>42549</v>
      </c>
      <c r="D1310" s="16">
        <v>0.39583333333333331</v>
      </c>
      <c r="E1310" s="14">
        <v>130</v>
      </c>
      <c r="F1310" s="14">
        <v>9</v>
      </c>
      <c r="G1310" s="17">
        <v>0.30945760290691848</v>
      </c>
      <c r="H1310" s="1" t="s">
        <v>143</v>
      </c>
      <c r="I1310" s="14"/>
    </row>
    <row r="1311" spans="1:9" x14ac:dyDescent="0.25">
      <c r="A1311" s="14">
        <v>2016</v>
      </c>
      <c r="B1311" s="14">
        <v>180</v>
      </c>
      <c r="C1311" s="15">
        <v>42549</v>
      </c>
      <c r="D1311" s="16">
        <v>0.40763888888888888</v>
      </c>
      <c r="E1311" s="14">
        <v>130</v>
      </c>
      <c r="F1311" s="14">
        <v>10</v>
      </c>
      <c r="G1311" s="17">
        <v>0.31860592028266665</v>
      </c>
      <c r="H1311" s="1" t="s">
        <v>143</v>
      </c>
      <c r="I1311" s="14"/>
    </row>
    <row r="1312" spans="1:9" x14ac:dyDescent="0.25">
      <c r="A1312" s="14">
        <v>2016</v>
      </c>
      <c r="B1312" s="14">
        <v>180</v>
      </c>
      <c r="C1312" s="15">
        <v>42549</v>
      </c>
      <c r="D1312" s="16">
        <v>0.52083333333333337</v>
      </c>
      <c r="E1312" s="14">
        <v>130</v>
      </c>
      <c r="F1312" s="14">
        <v>11</v>
      </c>
      <c r="G1312" s="17">
        <v>0.3091656353310967</v>
      </c>
      <c r="H1312" s="1" t="s">
        <v>144</v>
      </c>
      <c r="I1312" s="14"/>
    </row>
    <row r="1313" spans="1:9" x14ac:dyDescent="0.25">
      <c r="A1313" s="14">
        <v>2016</v>
      </c>
      <c r="B1313" s="14">
        <v>180</v>
      </c>
      <c r="C1313" s="15">
        <v>42549</v>
      </c>
      <c r="D1313" s="16">
        <v>0.52847222222222223</v>
      </c>
      <c r="E1313" s="14">
        <v>130</v>
      </c>
      <c r="F1313" s="14">
        <v>12</v>
      </c>
      <c r="G1313" s="17">
        <v>0.2990440927026094</v>
      </c>
      <c r="H1313" s="1" t="s">
        <v>144</v>
      </c>
      <c r="I1313" s="14"/>
    </row>
    <row r="1314" spans="1:9" x14ac:dyDescent="0.25">
      <c r="A1314" s="14">
        <v>2016</v>
      </c>
      <c r="B1314" s="14">
        <v>180</v>
      </c>
      <c r="C1314" s="15">
        <v>42549</v>
      </c>
      <c r="D1314" s="16">
        <v>0.5444444444444444</v>
      </c>
      <c r="E1314" s="14">
        <v>130</v>
      </c>
      <c r="F1314" s="14">
        <v>13</v>
      </c>
      <c r="G1314" s="17">
        <v>0.31449890971610733</v>
      </c>
      <c r="H1314" s="1" t="s">
        <v>144</v>
      </c>
      <c r="I1314" s="14"/>
    </row>
    <row r="1315" spans="1:9" x14ac:dyDescent="0.25">
      <c r="A1315" s="14">
        <v>2016</v>
      </c>
      <c r="B1315" s="14">
        <v>180</v>
      </c>
      <c r="C1315" s="15">
        <v>42549</v>
      </c>
      <c r="D1315" s="16">
        <v>0.5180555555555556</v>
      </c>
      <c r="E1315" s="14">
        <v>130</v>
      </c>
      <c r="F1315" s="14">
        <v>14</v>
      </c>
      <c r="G1315" s="17">
        <v>0.31268871074601251</v>
      </c>
      <c r="H1315" s="1" t="s">
        <v>144</v>
      </c>
      <c r="I1315" s="14"/>
    </row>
    <row r="1316" spans="1:9" x14ac:dyDescent="0.25">
      <c r="A1316" s="14">
        <v>2016</v>
      </c>
      <c r="B1316" s="14">
        <v>180</v>
      </c>
      <c r="C1316" s="15">
        <v>42549</v>
      </c>
      <c r="D1316" s="16">
        <v>0.51180555555555551</v>
      </c>
      <c r="E1316" s="14">
        <v>130</v>
      </c>
      <c r="F1316" s="14">
        <v>15</v>
      </c>
      <c r="G1316" s="17">
        <v>0.30595399199705747</v>
      </c>
      <c r="H1316" s="1" t="s">
        <v>1</v>
      </c>
      <c r="I1316" s="14"/>
    </row>
    <row r="1317" spans="1:9" x14ac:dyDescent="0.25">
      <c r="A1317" s="14">
        <v>2016</v>
      </c>
      <c r="B1317" s="14">
        <v>180</v>
      </c>
      <c r="C1317" s="15">
        <v>42549</v>
      </c>
      <c r="D1317" s="16">
        <v>0.50694444444444442</v>
      </c>
      <c r="E1317" s="14">
        <v>130</v>
      </c>
      <c r="F1317" s="14">
        <v>16</v>
      </c>
      <c r="G1317" s="17">
        <v>0.30149662033951202</v>
      </c>
      <c r="H1317" s="1" t="s">
        <v>1</v>
      </c>
      <c r="I1317" s="14"/>
    </row>
    <row r="1318" spans="1:9" x14ac:dyDescent="0.25">
      <c r="A1318" s="14">
        <v>2016</v>
      </c>
      <c r="B1318" s="14">
        <v>180</v>
      </c>
      <c r="C1318" s="15">
        <v>42549</v>
      </c>
      <c r="D1318" s="16">
        <v>0.4381944444444445</v>
      </c>
      <c r="E1318" s="14">
        <v>130</v>
      </c>
      <c r="F1318" s="14">
        <v>17</v>
      </c>
      <c r="G1318" s="17">
        <v>0.31159869846294463</v>
      </c>
      <c r="H1318" s="1" t="s">
        <v>144</v>
      </c>
      <c r="I1318" s="14"/>
    </row>
    <row r="1319" spans="1:9" x14ac:dyDescent="0.25">
      <c r="A1319" s="14">
        <v>2016</v>
      </c>
      <c r="B1319" s="14">
        <v>180</v>
      </c>
      <c r="C1319" s="15">
        <v>42549</v>
      </c>
      <c r="D1319" s="16">
        <v>0.5</v>
      </c>
      <c r="E1319" s="14">
        <v>130</v>
      </c>
      <c r="F1319" s="14">
        <v>18</v>
      </c>
      <c r="G1319" s="17">
        <v>0.31148191143261594</v>
      </c>
      <c r="H1319" s="1" t="s">
        <v>144</v>
      </c>
      <c r="I1319" s="14"/>
    </row>
    <row r="1320" spans="1:9" x14ac:dyDescent="0.25">
      <c r="A1320" s="14">
        <v>2016</v>
      </c>
      <c r="B1320" s="14">
        <v>180</v>
      </c>
      <c r="C1320" s="15">
        <v>42549</v>
      </c>
      <c r="D1320" s="16">
        <v>0.49305555555555558</v>
      </c>
      <c r="E1320" s="14">
        <v>130</v>
      </c>
      <c r="F1320" s="14">
        <v>19</v>
      </c>
      <c r="G1320" s="17">
        <v>0.30679096571441311</v>
      </c>
      <c r="H1320" s="1" t="s">
        <v>144</v>
      </c>
      <c r="I1320" s="14"/>
    </row>
    <row r="1321" spans="1:9" x14ac:dyDescent="0.25">
      <c r="A1321" s="14">
        <v>2016</v>
      </c>
      <c r="B1321" s="14">
        <v>180</v>
      </c>
      <c r="C1321" s="15">
        <v>42549</v>
      </c>
      <c r="D1321" s="16">
        <v>0.43124999999999997</v>
      </c>
      <c r="E1321" s="14">
        <v>130</v>
      </c>
      <c r="F1321" s="14">
        <v>20</v>
      </c>
      <c r="G1321" s="17">
        <v>0.30428004456234609</v>
      </c>
      <c r="H1321" s="1" t="s">
        <v>144</v>
      </c>
      <c r="I1321" s="14"/>
    </row>
    <row r="1322" spans="1:9" x14ac:dyDescent="0.25">
      <c r="A1322" s="14">
        <v>2016</v>
      </c>
      <c r="B1322" s="14">
        <v>180</v>
      </c>
      <c r="C1322" s="15">
        <v>42549</v>
      </c>
      <c r="D1322" s="16">
        <v>0.35625000000000001</v>
      </c>
      <c r="E1322" s="14">
        <v>110</v>
      </c>
      <c r="F1322" s="14">
        <v>1</v>
      </c>
      <c r="G1322" s="17">
        <v>0.34389522027040587</v>
      </c>
      <c r="H1322" s="1" t="s">
        <v>143</v>
      </c>
      <c r="I1322" s="14"/>
    </row>
    <row r="1323" spans="1:9" x14ac:dyDescent="0.25">
      <c r="A1323" s="14">
        <v>2016</v>
      </c>
      <c r="B1323" s="14">
        <v>180</v>
      </c>
      <c r="C1323" s="15">
        <v>42549</v>
      </c>
      <c r="D1323" s="16">
        <v>0.34930555555555554</v>
      </c>
      <c r="E1323" s="14">
        <v>110</v>
      </c>
      <c r="F1323" s="14">
        <v>2</v>
      </c>
      <c r="G1323" s="17">
        <v>0.34055206811418126</v>
      </c>
      <c r="H1323" s="1" t="s">
        <v>143</v>
      </c>
      <c r="I1323" s="14"/>
    </row>
    <row r="1324" spans="1:9" x14ac:dyDescent="0.25">
      <c r="A1324" s="14">
        <v>2016</v>
      </c>
      <c r="B1324" s="14">
        <v>180</v>
      </c>
      <c r="C1324" s="15">
        <v>42549</v>
      </c>
      <c r="D1324" s="16">
        <v>0.37013888888888885</v>
      </c>
      <c r="E1324" s="14">
        <v>110</v>
      </c>
      <c r="F1324" s="14">
        <v>3</v>
      </c>
      <c r="G1324" s="17">
        <v>0.32997305238695007</v>
      </c>
      <c r="H1324" s="1" t="s">
        <v>143</v>
      </c>
      <c r="I1324" s="14"/>
    </row>
    <row r="1325" spans="1:9" x14ac:dyDescent="0.25">
      <c r="A1325" s="14">
        <v>2016</v>
      </c>
      <c r="B1325" s="14">
        <v>180</v>
      </c>
      <c r="C1325" s="15">
        <v>42549</v>
      </c>
      <c r="D1325" s="16">
        <v>0.36319444444444443</v>
      </c>
      <c r="E1325" s="14">
        <v>110</v>
      </c>
      <c r="F1325" s="14">
        <v>4</v>
      </c>
      <c r="G1325" s="17">
        <v>0.34064366132394086</v>
      </c>
      <c r="H1325" s="1" t="s">
        <v>143</v>
      </c>
      <c r="I1325" s="14"/>
    </row>
    <row r="1326" spans="1:9" x14ac:dyDescent="0.25">
      <c r="A1326" s="14">
        <v>2016</v>
      </c>
      <c r="B1326" s="14">
        <v>180</v>
      </c>
      <c r="C1326" s="15">
        <v>42549</v>
      </c>
      <c r="D1326" s="16">
        <v>0.37638888888888888</v>
      </c>
      <c r="E1326" s="14">
        <v>110</v>
      </c>
      <c r="F1326" s="14">
        <v>5</v>
      </c>
      <c r="G1326" s="17">
        <v>0.34004830546050357</v>
      </c>
      <c r="H1326" s="1" t="s">
        <v>0</v>
      </c>
      <c r="I1326" s="14"/>
    </row>
    <row r="1327" spans="1:9" x14ac:dyDescent="0.25">
      <c r="A1327" s="14">
        <v>2016</v>
      </c>
      <c r="B1327" s="14">
        <v>180</v>
      </c>
      <c r="C1327" s="15">
        <v>42549</v>
      </c>
      <c r="D1327" s="16">
        <v>0.38194444444444442</v>
      </c>
      <c r="E1327" s="14">
        <v>110</v>
      </c>
      <c r="F1327" s="14">
        <v>6</v>
      </c>
      <c r="G1327" s="17">
        <v>0.32601164606484839</v>
      </c>
      <c r="H1327" s="1" t="s">
        <v>0</v>
      </c>
      <c r="I1327" s="14"/>
    </row>
    <row r="1328" spans="1:9" x14ac:dyDescent="0.25">
      <c r="A1328" s="14">
        <v>2016</v>
      </c>
      <c r="B1328" s="14">
        <v>180</v>
      </c>
      <c r="C1328" s="15">
        <v>42549</v>
      </c>
      <c r="D1328" s="16">
        <v>0.38194444444444442</v>
      </c>
      <c r="E1328" s="14">
        <v>110</v>
      </c>
      <c r="F1328" s="14">
        <v>7</v>
      </c>
      <c r="G1328" s="17">
        <v>0.34357464403624732</v>
      </c>
      <c r="H1328" s="1" t="s">
        <v>143</v>
      </c>
      <c r="I1328" s="14"/>
    </row>
    <row r="1329" spans="1:9" x14ac:dyDescent="0.25">
      <c r="A1329" s="14">
        <v>2016</v>
      </c>
      <c r="B1329" s="14">
        <v>180</v>
      </c>
      <c r="C1329" s="15">
        <v>42549</v>
      </c>
      <c r="D1329" s="16">
        <v>0.39374999999999999</v>
      </c>
      <c r="E1329" s="14">
        <v>110</v>
      </c>
      <c r="F1329" s="14">
        <v>8</v>
      </c>
      <c r="G1329" s="17">
        <v>0.34291059326549039</v>
      </c>
      <c r="H1329" s="1" t="s">
        <v>143</v>
      </c>
      <c r="I1329" s="14"/>
    </row>
    <row r="1330" spans="1:9" x14ac:dyDescent="0.25">
      <c r="A1330" s="14">
        <v>2016</v>
      </c>
      <c r="B1330" s="14">
        <v>180</v>
      </c>
      <c r="C1330" s="15">
        <v>42549</v>
      </c>
      <c r="D1330" s="16">
        <v>0.39583333333333331</v>
      </c>
      <c r="E1330" s="14">
        <v>110</v>
      </c>
      <c r="F1330" s="14">
        <v>9</v>
      </c>
      <c r="G1330" s="17">
        <v>0.33752949219211525</v>
      </c>
      <c r="H1330" s="1" t="s">
        <v>143</v>
      </c>
      <c r="I1330" s="14"/>
    </row>
    <row r="1331" spans="1:9" x14ac:dyDescent="0.25">
      <c r="A1331" s="14">
        <v>2016</v>
      </c>
      <c r="B1331" s="14">
        <v>180</v>
      </c>
      <c r="C1331" s="15">
        <v>42549</v>
      </c>
      <c r="D1331" s="16">
        <v>0.40763888888888888</v>
      </c>
      <c r="E1331" s="14">
        <v>110</v>
      </c>
      <c r="F1331" s="14">
        <v>10</v>
      </c>
      <c r="G1331" s="17">
        <v>0.34043757660198182</v>
      </c>
      <c r="H1331" s="1" t="s">
        <v>143</v>
      </c>
      <c r="I1331" s="14"/>
    </row>
    <row r="1332" spans="1:9" x14ac:dyDescent="0.25">
      <c r="A1332" s="14">
        <v>2016</v>
      </c>
      <c r="B1332" s="14">
        <v>180</v>
      </c>
      <c r="C1332" s="15">
        <v>42549</v>
      </c>
      <c r="D1332" s="16">
        <v>0.52083333333333337</v>
      </c>
      <c r="E1332" s="14">
        <v>110</v>
      </c>
      <c r="F1332" s="14">
        <v>11</v>
      </c>
      <c r="G1332" s="17">
        <v>0.327385544211242</v>
      </c>
      <c r="H1332" s="1" t="s">
        <v>144</v>
      </c>
      <c r="I1332" s="14"/>
    </row>
    <row r="1333" spans="1:9" x14ac:dyDescent="0.25">
      <c r="A1333" s="14">
        <v>2016</v>
      </c>
      <c r="B1333" s="14">
        <v>180</v>
      </c>
      <c r="C1333" s="15">
        <v>42549</v>
      </c>
      <c r="D1333" s="16">
        <v>0.52847222222222223</v>
      </c>
      <c r="E1333" s="14">
        <v>110</v>
      </c>
      <c r="F1333" s="14">
        <v>12</v>
      </c>
      <c r="G1333" s="17">
        <v>0.33649906858231998</v>
      </c>
      <c r="H1333" s="1" t="s">
        <v>144</v>
      </c>
      <c r="I1333" s="14"/>
    </row>
    <row r="1334" spans="1:9" x14ac:dyDescent="0.25">
      <c r="A1334" s="14">
        <v>2016</v>
      </c>
      <c r="B1334" s="14">
        <v>180</v>
      </c>
      <c r="C1334" s="15">
        <v>42549</v>
      </c>
      <c r="D1334" s="16">
        <v>0.5444444444444444</v>
      </c>
      <c r="E1334" s="14">
        <v>110</v>
      </c>
      <c r="F1334" s="14">
        <v>13</v>
      </c>
      <c r="G1334" s="17">
        <v>0.33473589929444808</v>
      </c>
      <c r="H1334" s="1" t="s">
        <v>144</v>
      </c>
      <c r="I1334" s="14"/>
    </row>
    <row r="1335" spans="1:9" x14ac:dyDescent="0.25">
      <c r="A1335" s="14">
        <v>2016</v>
      </c>
      <c r="B1335" s="14">
        <v>180</v>
      </c>
      <c r="C1335" s="15">
        <v>42549</v>
      </c>
      <c r="D1335" s="16">
        <v>0.5180555555555556</v>
      </c>
      <c r="E1335" s="14">
        <v>110</v>
      </c>
      <c r="F1335" s="14">
        <v>14</v>
      </c>
      <c r="G1335" s="17">
        <v>0.32864495084543621</v>
      </c>
      <c r="H1335" s="1" t="s">
        <v>144</v>
      </c>
      <c r="I1335" s="14"/>
    </row>
    <row r="1336" spans="1:9" x14ac:dyDescent="0.25">
      <c r="A1336" s="14">
        <v>2016</v>
      </c>
      <c r="B1336" s="14">
        <v>180</v>
      </c>
      <c r="C1336" s="15">
        <v>42549</v>
      </c>
      <c r="D1336" s="16">
        <v>0.51180555555555551</v>
      </c>
      <c r="E1336" s="14">
        <v>110</v>
      </c>
      <c r="F1336" s="14">
        <v>15</v>
      </c>
      <c r="G1336" s="17">
        <v>0.32788930686491968</v>
      </c>
      <c r="H1336" s="1" t="s">
        <v>1</v>
      </c>
      <c r="I1336" s="14"/>
    </row>
    <row r="1337" spans="1:9" x14ac:dyDescent="0.25">
      <c r="A1337" s="14">
        <v>2016</v>
      </c>
      <c r="B1337" s="14">
        <v>180</v>
      </c>
      <c r="C1337" s="15">
        <v>42549</v>
      </c>
      <c r="D1337" s="16">
        <v>0.50694444444444442</v>
      </c>
      <c r="E1337" s="14">
        <v>110</v>
      </c>
      <c r="F1337" s="14">
        <v>16</v>
      </c>
      <c r="G1337" s="17">
        <v>0.32626352739168718</v>
      </c>
      <c r="H1337" s="1" t="s">
        <v>1</v>
      </c>
      <c r="I1337" s="14"/>
    </row>
    <row r="1338" spans="1:9" x14ac:dyDescent="0.25">
      <c r="A1338" s="14">
        <v>2016</v>
      </c>
      <c r="B1338" s="14">
        <v>180</v>
      </c>
      <c r="C1338" s="15">
        <v>42549</v>
      </c>
      <c r="D1338" s="16">
        <v>0.4381944444444445</v>
      </c>
      <c r="E1338" s="14">
        <v>110</v>
      </c>
      <c r="F1338" s="14">
        <v>17</v>
      </c>
      <c r="G1338" s="17">
        <v>0.33869730561654982</v>
      </c>
      <c r="H1338" s="1" t="s">
        <v>144</v>
      </c>
      <c r="I1338" s="14"/>
    </row>
    <row r="1339" spans="1:9" x14ac:dyDescent="0.25">
      <c r="A1339" s="14">
        <v>2016</v>
      </c>
      <c r="B1339" s="14">
        <v>180</v>
      </c>
      <c r="C1339" s="15">
        <v>42549</v>
      </c>
      <c r="D1339" s="16">
        <v>0.5</v>
      </c>
      <c r="E1339" s="14">
        <v>110</v>
      </c>
      <c r="F1339" s="14">
        <v>18</v>
      </c>
      <c r="G1339" s="17">
        <v>0.33977352583122489</v>
      </c>
      <c r="H1339" s="1" t="s">
        <v>144</v>
      </c>
      <c r="I1339" s="14"/>
    </row>
    <row r="1340" spans="1:9" x14ac:dyDescent="0.25">
      <c r="A1340" s="14">
        <v>2016</v>
      </c>
      <c r="B1340" s="14">
        <v>180</v>
      </c>
      <c r="C1340" s="15">
        <v>42549</v>
      </c>
      <c r="D1340" s="16">
        <v>0.49305555555555558</v>
      </c>
      <c r="E1340" s="14">
        <v>110</v>
      </c>
      <c r="F1340" s="14">
        <v>19</v>
      </c>
      <c r="G1340" s="17">
        <v>0.33949874620194609</v>
      </c>
      <c r="H1340" s="1" t="s">
        <v>144</v>
      </c>
      <c r="I1340" s="14"/>
    </row>
    <row r="1341" spans="1:9" x14ac:dyDescent="0.25">
      <c r="A1341" s="14">
        <v>2016</v>
      </c>
      <c r="B1341" s="14">
        <v>180</v>
      </c>
      <c r="C1341" s="15">
        <v>42549</v>
      </c>
      <c r="D1341" s="16">
        <v>0.43124999999999997</v>
      </c>
      <c r="E1341" s="14">
        <v>110</v>
      </c>
      <c r="F1341" s="14">
        <v>20</v>
      </c>
      <c r="G1341" s="17">
        <v>0.33214839111874006</v>
      </c>
      <c r="H1341" s="1" t="s">
        <v>144</v>
      </c>
      <c r="I1341" s="14"/>
    </row>
    <row r="1342" spans="1:9" x14ac:dyDescent="0.25">
      <c r="A1342" s="14">
        <v>2016</v>
      </c>
      <c r="B1342" s="14">
        <v>180</v>
      </c>
      <c r="C1342" s="15">
        <v>42549</v>
      </c>
      <c r="D1342" s="16">
        <v>0.35625000000000001</v>
      </c>
      <c r="E1342" s="14">
        <v>90</v>
      </c>
      <c r="F1342" s="14">
        <v>1</v>
      </c>
      <c r="G1342" s="17">
        <v>0.34080394944102016</v>
      </c>
      <c r="H1342" s="1" t="s">
        <v>143</v>
      </c>
      <c r="I1342" s="14"/>
    </row>
    <row r="1343" spans="1:9" x14ac:dyDescent="0.25">
      <c r="A1343" s="14">
        <v>2016</v>
      </c>
      <c r="B1343" s="14">
        <v>180</v>
      </c>
      <c r="C1343" s="15">
        <v>42549</v>
      </c>
      <c r="D1343" s="16">
        <v>0.34930555555555554</v>
      </c>
      <c r="E1343" s="14">
        <v>90</v>
      </c>
      <c r="F1343" s="14">
        <v>2</v>
      </c>
      <c r="G1343" s="17">
        <v>0.34435318631920375</v>
      </c>
      <c r="H1343" s="1" t="s">
        <v>143</v>
      </c>
      <c r="I1343" s="14"/>
    </row>
    <row r="1344" spans="1:9" x14ac:dyDescent="0.25">
      <c r="A1344" s="14">
        <v>2016</v>
      </c>
      <c r="B1344" s="14">
        <v>180</v>
      </c>
      <c r="C1344" s="15">
        <v>42549</v>
      </c>
      <c r="D1344" s="16">
        <v>0.37013888888888885</v>
      </c>
      <c r="E1344" s="14">
        <v>90</v>
      </c>
      <c r="F1344" s="14">
        <v>3</v>
      </c>
      <c r="G1344" s="17">
        <v>0.33210259451386026</v>
      </c>
      <c r="H1344" s="1" t="s">
        <v>143</v>
      </c>
      <c r="I1344" s="14"/>
    </row>
    <row r="1345" spans="1:9" x14ac:dyDescent="0.25">
      <c r="A1345" s="14">
        <v>2016</v>
      </c>
      <c r="B1345" s="14">
        <v>180</v>
      </c>
      <c r="C1345" s="15">
        <v>42549</v>
      </c>
      <c r="D1345" s="16">
        <v>0.36319444444444443</v>
      </c>
      <c r="E1345" s="14">
        <v>90</v>
      </c>
      <c r="F1345" s="14">
        <v>4</v>
      </c>
      <c r="G1345" s="17">
        <v>0.33311011982121563</v>
      </c>
      <c r="H1345" s="1" t="s">
        <v>143</v>
      </c>
      <c r="I1345" s="14"/>
    </row>
    <row r="1346" spans="1:9" x14ac:dyDescent="0.25">
      <c r="A1346" s="14">
        <v>2016</v>
      </c>
      <c r="B1346" s="14">
        <v>180</v>
      </c>
      <c r="C1346" s="15">
        <v>42549</v>
      </c>
      <c r="D1346" s="16">
        <v>0.37638888888888888</v>
      </c>
      <c r="E1346" s="14">
        <v>90</v>
      </c>
      <c r="F1346" s="14">
        <v>5</v>
      </c>
      <c r="G1346" s="17">
        <v>0.3359953059286423</v>
      </c>
      <c r="H1346" s="1" t="s">
        <v>0</v>
      </c>
      <c r="I1346" s="14"/>
    </row>
    <row r="1347" spans="1:9" x14ac:dyDescent="0.25">
      <c r="A1347" s="14">
        <v>2016</v>
      </c>
      <c r="B1347" s="14">
        <v>180</v>
      </c>
      <c r="C1347" s="15">
        <v>42549</v>
      </c>
      <c r="D1347" s="16">
        <v>0.38194444444444442</v>
      </c>
      <c r="E1347" s="14">
        <v>90</v>
      </c>
      <c r="F1347" s="14">
        <v>6</v>
      </c>
      <c r="G1347" s="17">
        <v>0.32596584945996859</v>
      </c>
      <c r="H1347" s="1" t="s">
        <v>0</v>
      </c>
      <c r="I1347" s="14"/>
    </row>
    <row r="1348" spans="1:9" x14ac:dyDescent="0.25">
      <c r="A1348" s="14">
        <v>2016</v>
      </c>
      <c r="B1348" s="14">
        <v>180</v>
      </c>
      <c r="C1348" s="15">
        <v>42549</v>
      </c>
      <c r="D1348" s="16">
        <v>0.38194444444444442</v>
      </c>
      <c r="E1348" s="14">
        <v>90</v>
      </c>
      <c r="F1348" s="14">
        <v>7</v>
      </c>
      <c r="G1348" s="17">
        <v>0.34199466116789462</v>
      </c>
      <c r="H1348" s="1" t="s">
        <v>143</v>
      </c>
      <c r="I1348" s="14"/>
    </row>
    <row r="1349" spans="1:9" x14ac:dyDescent="0.25">
      <c r="A1349" s="14">
        <v>2016</v>
      </c>
      <c r="B1349" s="14">
        <v>180</v>
      </c>
      <c r="C1349" s="15">
        <v>42549</v>
      </c>
      <c r="D1349" s="16">
        <v>0.39374999999999999</v>
      </c>
      <c r="E1349" s="14">
        <v>90</v>
      </c>
      <c r="F1349" s="14">
        <v>8</v>
      </c>
      <c r="G1349" s="17">
        <v>0.33805615314823284</v>
      </c>
      <c r="H1349" s="1" t="s">
        <v>143</v>
      </c>
      <c r="I1349" s="14"/>
    </row>
    <row r="1350" spans="1:9" x14ac:dyDescent="0.25">
      <c r="A1350" s="14">
        <v>2016</v>
      </c>
      <c r="B1350" s="14">
        <v>180</v>
      </c>
      <c r="C1350" s="15">
        <v>42549</v>
      </c>
      <c r="D1350" s="16">
        <v>0.39583333333333331</v>
      </c>
      <c r="E1350" s="14">
        <v>90</v>
      </c>
      <c r="F1350" s="14">
        <v>9</v>
      </c>
      <c r="G1350" s="17">
        <v>0.33537705176276517</v>
      </c>
      <c r="H1350" s="1" t="s">
        <v>143</v>
      </c>
      <c r="I1350" s="14"/>
    </row>
    <row r="1351" spans="1:9" x14ac:dyDescent="0.25">
      <c r="A1351" s="14">
        <v>2016</v>
      </c>
      <c r="B1351" s="14">
        <v>180</v>
      </c>
      <c r="C1351" s="15">
        <v>42549</v>
      </c>
      <c r="D1351" s="16">
        <v>0.40763888888888888</v>
      </c>
      <c r="E1351" s="14">
        <v>90</v>
      </c>
      <c r="F1351" s="14">
        <v>10</v>
      </c>
      <c r="G1351" s="17">
        <v>0.34389522027040587</v>
      </c>
      <c r="H1351" s="1" t="s">
        <v>143</v>
      </c>
      <c r="I1351" s="14"/>
    </row>
    <row r="1352" spans="1:9" x14ac:dyDescent="0.25">
      <c r="A1352" s="14">
        <v>2016</v>
      </c>
      <c r="B1352" s="14">
        <v>180</v>
      </c>
      <c r="C1352" s="15">
        <v>42549</v>
      </c>
      <c r="D1352" s="16">
        <v>0.52083333333333337</v>
      </c>
      <c r="E1352" s="14">
        <v>90</v>
      </c>
      <c r="F1352" s="14">
        <v>11</v>
      </c>
      <c r="G1352" s="17">
        <v>0.3359266110213226</v>
      </c>
      <c r="H1352" s="1" t="s">
        <v>144</v>
      </c>
      <c r="I1352" s="14"/>
    </row>
    <row r="1353" spans="1:9" x14ac:dyDescent="0.25">
      <c r="A1353" s="14">
        <v>2016</v>
      </c>
      <c r="B1353" s="14">
        <v>180</v>
      </c>
      <c r="C1353" s="15">
        <v>42549</v>
      </c>
      <c r="D1353" s="16">
        <v>0.52847222222222223</v>
      </c>
      <c r="E1353" s="14">
        <v>90</v>
      </c>
      <c r="F1353" s="14">
        <v>12</v>
      </c>
      <c r="G1353" s="17">
        <v>0.34013989867026317</v>
      </c>
      <c r="H1353" s="1" t="s">
        <v>144</v>
      </c>
      <c r="I1353" s="14"/>
    </row>
    <row r="1354" spans="1:9" x14ac:dyDescent="0.25">
      <c r="A1354" s="14">
        <v>2016</v>
      </c>
      <c r="B1354" s="14">
        <v>180</v>
      </c>
      <c r="C1354" s="15">
        <v>42549</v>
      </c>
      <c r="D1354" s="16">
        <v>0.5444444444444444</v>
      </c>
      <c r="E1354" s="14">
        <v>90</v>
      </c>
      <c r="F1354" s="14">
        <v>13</v>
      </c>
      <c r="G1354" s="17">
        <v>0.33086608618210595</v>
      </c>
      <c r="H1354" s="1" t="s">
        <v>144</v>
      </c>
      <c r="I1354" s="14"/>
    </row>
    <row r="1355" spans="1:9" x14ac:dyDescent="0.25">
      <c r="A1355" s="14">
        <v>2016</v>
      </c>
      <c r="B1355" s="14">
        <v>180</v>
      </c>
      <c r="C1355" s="15">
        <v>42549</v>
      </c>
      <c r="D1355" s="16">
        <v>0.5180555555555556</v>
      </c>
      <c r="E1355" s="14">
        <v>90</v>
      </c>
      <c r="F1355" s="14">
        <v>14</v>
      </c>
      <c r="G1355" s="17">
        <v>0.3306828997625868</v>
      </c>
      <c r="H1355" s="1" t="s">
        <v>144</v>
      </c>
      <c r="I1355" s="14"/>
    </row>
    <row r="1356" spans="1:9" x14ac:dyDescent="0.25">
      <c r="A1356" s="14">
        <v>2016</v>
      </c>
      <c r="B1356" s="14">
        <v>180</v>
      </c>
      <c r="C1356" s="15">
        <v>42549</v>
      </c>
      <c r="D1356" s="16">
        <v>0.51180555555555551</v>
      </c>
      <c r="E1356" s="14">
        <v>90</v>
      </c>
      <c r="F1356" s="14">
        <v>15</v>
      </c>
      <c r="G1356" s="17">
        <v>0.32120300255247053</v>
      </c>
      <c r="H1356" s="1" t="s">
        <v>1</v>
      </c>
      <c r="I1356" s="14"/>
    </row>
    <row r="1357" spans="1:9" x14ac:dyDescent="0.25">
      <c r="A1357" s="14">
        <v>2016</v>
      </c>
      <c r="B1357" s="14">
        <v>180</v>
      </c>
      <c r="C1357" s="15">
        <v>42549</v>
      </c>
      <c r="D1357" s="16">
        <v>0.50694444444444442</v>
      </c>
      <c r="E1357" s="14">
        <v>90</v>
      </c>
      <c r="F1357" s="14">
        <v>16</v>
      </c>
      <c r="G1357" s="17">
        <v>0.32120300255247053</v>
      </c>
      <c r="H1357" s="1" t="s">
        <v>1</v>
      </c>
      <c r="I1357" s="14"/>
    </row>
    <row r="1358" spans="1:9" x14ac:dyDescent="0.25">
      <c r="A1358" s="14">
        <v>2016</v>
      </c>
      <c r="B1358" s="14">
        <v>180</v>
      </c>
      <c r="C1358" s="15">
        <v>42549</v>
      </c>
      <c r="D1358" s="16">
        <v>0.4381944444444445</v>
      </c>
      <c r="E1358" s="14">
        <v>90</v>
      </c>
      <c r="F1358" s="14">
        <v>17</v>
      </c>
      <c r="G1358" s="17">
        <v>0.3393613563873068</v>
      </c>
      <c r="H1358" s="1" t="s">
        <v>144</v>
      </c>
      <c r="I1358" s="14"/>
    </row>
    <row r="1359" spans="1:9" x14ac:dyDescent="0.25">
      <c r="A1359" s="14">
        <v>2016</v>
      </c>
      <c r="B1359" s="14">
        <v>180</v>
      </c>
      <c r="C1359" s="15">
        <v>42549</v>
      </c>
      <c r="D1359" s="16">
        <v>0.5</v>
      </c>
      <c r="E1359" s="14">
        <v>90</v>
      </c>
      <c r="F1359" s="14">
        <v>18</v>
      </c>
      <c r="G1359" s="17">
        <v>0.33381996719685231</v>
      </c>
      <c r="H1359" s="1" t="s">
        <v>144</v>
      </c>
      <c r="I1359" s="14"/>
    </row>
    <row r="1360" spans="1:9" x14ac:dyDescent="0.25">
      <c r="A1360" s="14">
        <v>2016</v>
      </c>
      <c r="B1360" s="14">
        <v>180</v>
      </c>
      <c r="C1360" s="15">
        <v>42549</v>
      </c>
      <c r="D1360" s="16">
        <v>0.49305555555555558</v>
      </c>
      <c r="E1360" s="14">
        <v>90</v>
      </c>
      <c r="F1360" s="14">
        <v>19</v>
      </c>
      <c r="G1360" s="17">
        <v>0.33262925546997785</v>
      </c>
      <c r="H1360" s="1" t="s">
        <v>144</v>
      </c>
      <c r="I1360" s="14"/>
    </row>
    <row r="1361" spans="1:9" x14ac:dyDescent="0.25">
      <c r="A1361" s="14">
        <v>2016</v>
      </c>
      <c r="B1361" s="14">
        <v>180</v>
      </c>
      <c r="C1361" s="15">
        <v>42549</v>
      </c>
      <c r="D1361" s="16">
        <v>0.43124999999999997</v>
      </c>
      <c r="E1361" s="14">
        <v>90</v>
      </c>
      <c r="F1361" s="14">
        <v>20</v>
      </c>
      <c r="G1361" s="17">
        <v>0.33292693340169649</v>
      </c>
      <c r="H1361" s="1" t="s">
        <v>144</v>
      </c>
      <c r="I1361" s="14"/>
    </row>
    <row r="1362" spans="1:9" x14ac:dyDescent="0.25">
      <c r="A1362" s="14">
        <v>2016</v>
      </c>
      <c r="B1362" s="14">
        <v>180</v>
      </c>
      <c r="C1362" s="15">
        <v>42549</v>
      </c>
      <c r="D1362" s="16">
        <v>0.35625000000000001</v>
      </c>
      <c r="E1362" s="14">
        <v>70</v>
      </c>
      <c r="F1362" s="14">
        <v>1</v>
      </c>
      <c r="G1362" s="17">
        <v>0.33975062752878499</v>
      </c>
      <c r="H1362" s="1" t="s">
        <v>143</v>
      </c>
      <c r="I1362" s="14"/>
    </row>
    <row r="1363" spans="1:9" x14ac:dyDescent="0.25">
      <c r="A1363" s="14">
        <v>2016</v>
      </c>
      <c r="B1363" s="14">
        <v>180</v>
      </c>
      <c r="C1363" s="15">
        <v>42549</v>
      </c>
      <c r="D1363" s="16">
        <v>0.34930555555555554</v>
      </c>
      <c r="E1363" s="14">
        <v>70</v>
      </c>
      <c r="F1363" s="14">
        <v>2</v>
      </c>
      <c r="G1363" s="17">
        <v>0.34794821980226714</v>
      </c>
      <c r="H1363" s="1" t="s">
        <v>143</v>
      </c>
      <c r="I1363" s="14"/>
    </row>
    <row r="1364" spans="1:9" x14ac:dyDescent="0.25">
      <c r="A1364" s="14">
        <v>2016</v>
      </c>
      <c r="B1364" s="14">
        <v>180</v>
      </c>
      <c r="C1364" s="15">
        <v>42549</v>
      </c>
      <c r="D1364" s="16">
        <v>0.37013888888888885</v>
      </c>
      <c r="E1364" s="14">
        <v>70</v>
      </c>
      <c r="F1364" s="14">
        <v>3</v>
      </c>
      <c r="G1364" s="17">
        <v>0.33670515330427903</v>
      </c>
      <c r="H1364" s="1" t="s">
        <v>143</v>
      </c>
      <c r="I1364" s="14"/>
    </row>
    <row r="1365" spans="1:9" x14ac:dyDescent="0.25">
      <c r="A1365" s="14">
        <v>2016</v>
      </c>
      <c r="B1365" s="14">
        <v>180</v>
      </c>
      <c r="C1365" s="15">
        <v>42549</v>
      </c>
      <c r="D1365" s="16">
        <v>0.36319444444444443</v>
      </c>
      <c r="E1365" s="14">
        <v>70</v>
      </c>
      <c r="F1365" s="14">
        <v>4</v>
      </c>
      <c r="G1365" s="17">
        <v>0.3290113236844745</v>
      </c>
      <c r="H1365" s="1" t="s">
        <v>143</v>
      </c>
      <c r="I1365" s="14"/>
    </row>
    <row r="1366" spans="1:9" x14ac:dyDescent="0.25">
      <c r="A1366" s="14">
        <v>2016</v>
      </c>
      <c r="B1366" s="14">
        <v>180</v>
      </c>
      <c r="C1366" s="15">
        <v>42549</v>
      </c>
      <c r="D1366" s="16">
        <v>0.37638888888888888</v>
      </c>
      <c r="E1366" s="14">
        <v>70</v>
      </c>
      <c r="F1366" s="14">
        <v>5</v>
      </c>
      <c r="G1366" s="17">
        <v>0.32788930686491968</v>
      </c>
      <c r="H1366" s="1" t="s">
        <v>0</v>
      </c>
      <c r="I1366" s="14"/>
    </row>
    <row r="1367" spans="1:9" x14ac:dyDescent="0.25">
      <c r="A1367" s="14">
        <v>2016</v>
      </c>
      <c r="B1367" s="14">
        <v>180</v>
      </c>
      <c r="C1367" s="15">
        <v>42549</v>
      </c>
      <c r="D1367" s="16">
        <v>0.38194444444444442</v>
      </c>
      <c r="E1367" s="14">
        <v>70</v>
      </c>
      <c r="F1367" s="14">
        <v>6</v>
      </c>
      <c r="G1367" s="17">
        <v>0.32498122245505312</v>
      </c>
      <c r="H1367" s="1" t="s">
        <v>0</v>
      </c>
      <c r="I1367" s="14"/>
    </row>
    <row r="1368" spans="1:9" x14ac:dyDescent="0.25">
      <c r="A1368" s="14">
        <v>2016</v>
      </c>
      <c r="B1368" s="14">
        <v>180</v>
      </c>
      <c r="C1368" s="15">
        <v>42549</v>
      </c>
      <c r="D1368" s="16">
        <v>0.38194444444444442</v>
      </c>
      <c r="E1368" s="14">
        <v>70</v>
      </c>
      <c r="F1368" s="14">
        <v>7</v>
      </c>
      <c r="G1368" s="17">
        <v>0.34561259295339791</v>
      </c>
      <c r="H1368" s="1" t="s">
        <v>143</v>
      </c>
      <c r="I1368" s="14"/>
    </row>
    <row r="1369" spans="1:9" x14ac:dyDescent="0.25">
      <c r="A1369" s="14">
        <v>2016</v>
      </c>
      <c r="B1369" s="14">
        <v>180</v>
      </c>
      <c r="C1369" s="15">
        <v>42549</v>
      </c>
      <c r="D1369" s="16">
        <v>0.39374999999999999</v>
      </c>
      <c r="E1369" s="14">
        <v>70</v>
      </c>
      <c r="F1369" s="14">
        <v>8</v>
      </c>
      <c r="G1369" s="17">
        <v>0.33459850947980874</v>
      </c>
      <c r="H1369" s="1" t="s">
        <v>143</v>
      </c>
      <c r="I1369" s="14"/>
    </row>
    <row r="1370" spans="1:9" x14ac:dyDescent="0.25">
      <c r="A1370" s="14">
        <v>2016</v>
      </c>
      <c r="B1370" s="14">
        <v>180</v>
      </c>
      <c r="C1370" s="15">
        <v>42549</v>
      </c>
      <c r="D1370" s="16">
        <v>0.39583333333333331</v>
      </c>
      <c r="E1370" s="14">
        <v>70</v>
      </c>
      <c r="F1370" s="14">
        <v>9</v>
      </c>
      <c r="G1370" s="17">
        <v>0.33878889882630941</v>
      </c>
      <c r="H1370" s="1" t="s">
        <v>143</v>
      </c>
      <c r="I1370" s="14"/>
    </row>
    <row r="1371" spans="1:9" x14ac:dyDescent="0.25">
      <c r="A1371" s="14">
        <v>2016</v>
      </c>
      <c r="B1371" s="14">
        <v>180</v>
      </c>
      <c r="C1371" s="15">
        <v>42549</v>
      </c>
      <c r="D1371" s="16">
        <v>0.40763888888888888</v>
      </c>
      <c r="E1371" s="14">
        <v>70</v>
      </c>
      <c r="F1371" s="14">
        <v>10</v>
      </c>
      <c r="G1371" s="17">
        <v>0.3493450162511007</v>
      </c>
      <c r="H1371" s="1" t="s">
        <v>143</v>
      </c>
      <c r="I1371" s="14"/>
    </row>
    <row r="1372" spans="1:9" x14ac:dyDescent="0.25">
      <c r="A1372" s="14">
        <v>2016</v>
      </c>
      <c r="B1372" s="14">
        <v>180</v>
      </c>
      <c r="C1372" s="15">
        <v>42549</v>
      </c>
      <c r="D1372" s="16">
        <v>0.52083333333333337</v>
      </c>
      <c r="E1372" s="14">
        <v>70</v>
      </c>
      <c r="F1372" s="14">
        <v>11</v>
      </c>
      <c r="G1372" s="17">
        <v>0.34032308508978232</v>
      </c>
      <c r="H1372" s="1" t="s">
        <v>144</v>
      </c>
      <c r="I1372" s="14"/>
    </row>
    <row r="1373" spans="1:9" x14ac:dyDescent="0.25">
      <c r="A1373" s="14">
        <v>2016</v>
      </c>
      <c r="B1373" s="14">
        <v>180</v>
      </c>
      <c r="C1373" s="15">
        <v>42549</v>
      </c>
      <c r="D1373" s="16">
        <v>0.52847222222222223</v>
      </c>
      <c r="E1373" s="14">
        <v>70</v>
      </c>
      <c r="F1373" s="14">
        <v>12</v>
      </c>
      <c r="G1373" s="17">
        <v>0.33638457707012048</v>
      </c>
      <c r="H1373" s="1" t="s">
        <v>144</v>
      </c>
      <c r="I1373" s="14"/>
    </row>
    <row r="1374" spans="1:9" x14ac:dyDescent="0.25">
      <c r="A1374" s="14">
        <v>2016</v>
      </c>
      <c r="B1374" s="14">
        <v>180</v>
      </c>
      <c r="C1374" s="15">
        <v>42549</v>
      </c>
      <c r="D1374" s="16">
        <v>0.5444444444444444</v>
      </c>
      <c r="E1374" s="14">
        <v>70</v>
      </c>
      <c r="F1374" s="14">
        <v>13</v>
      </c>
      <c r="G1374" s="17">
        <v>0.32891973047471496</v>
      </c>
      <c r="H1374" s="1" t="s">
        <v>144</v>
      </c>
      <c r="I1374" s="14"/>
    </row>
    <row r="1375" spans="1:9" x14ac:dyDescent="0.25">
      <c r="A1375" s="14">
        <v>2016</v>
      </c>
      <c r="B1375" s="14">
        <v>180</v>
      </c>
      <c r="C1375" s="15">
        <v>42549</v>
      </c>
      <c r="D1375" s="16">
        <v>0.5180555555555556</v>
      </c>
      <c r="E1375" s="14">
        <v>70</v>
      </c>
      <c r="F1375" s="14">
        <v>14</v>
      </c>
      <c r="G1375" s="17">
        <v>0.34025439018246267</v>
      </c>
      <c r="H1375" s="1" t="s">
        <v>144</v>
      </c>
      <c r="I1375" s="14"/>
    </row>
    <row r="1376" spans="1:9" x14ac:dyDescent="0.25">
      <c r="A1376" s="14">
        <v>2016</v>
      </c>
      <c r="B1376" s="14">
        <v>180</v>
      </c>
      <c r="C1376" s="15">
        <v>42549</v>
      </c>
      <c r="D1376" s="16">
        <v>0.51180555555555551</v>
      </c>
      <c r="E1376" s="14">
        <v>70</v>
      </c>
      <c r="F1376" s="14">
        <v>15</v>
      </c>
      <c r="G1376" s="17">
        <v>0.31584479978153529</v>
      </c>
      <c r="H1376" s="1" t="s">
        <v>1</v>
      </c>
      <c r="I1376" s="14"/>
    </row>
    <row r="1377" spans="1:9" x14ac:dyDescent="0.25">
      <c r="A1377" s="14">
        <v>2016</v>
      </c>
      <c r="B1377" s="14">
        <v>180</v>
      </c>
      <c r="C1377" s="15">
        <v>42549</v>
      </c>
      <c r="D1377" s="16">
        <v>0.50694444444444442</v>
      </c>
      <c r="E1377" s="14">
        <v>70</v>
      </c>
      <c r="F1377" s="14">
        <v>16</v>
      </c>
      <c r="G1377" s="17">
        <v>0.31559291845469645</v>
      </c>
      <c r="H1377" s="1" t="s">
        <v>1</v>
      </c>
      <c r="I1377" s="14"/>
    </row>
    <row r="1378" spans="1:9" x14ac:dyDescent="0.25">
      <c r="A1378" s="14">
        <v>2016</v>
      </c>
      <c r="B1378" s="14">
        <v>180</v>
      </c>
      <c r="C1378" s="15">
        <v>42549</v>
      </c>
      <c r="D1378" s="16">
        <v>0.4381944444444445</v>
      </c>
      <c r="E1378" s="14">
        <v>70</v>
      </c>
      <c r="F1378" s="14">
        <v>17</v>
      </c>
      <c r="G1378" s="17">
        <v>0.34169698323617603</v>
      </c>
      <c r="H1378" s="1" t="s">
        <v>144</v>
      </c>
      <c r="I1378" s="14"/>
    </row>
    <row r="1379" spans="1:9" x14ac:dyDescent="0.25">
      <c r="A1379" s="14">
        <v>2016</v>
      </c>
      <c r="B1379" s="14">
        <v>180</v>
      </c>
      <c r="C1379" s="15">
        <v>42549</v>
      </c>
      <c r="D1379" s="16">
        <v>0.5</v>
      </c>
      <c r="E1379" s="14">
        <v>70</v>
      </c>
      <c r="F1379" s="14">
        <v>18</v>
      </c>
      <c r="G1379" s="17">
        <v>0.33482749250420768</v>
      </c>
      <c r="H1379" s="1" t="s">
        <v>144</v>
      </c>
      <c r="I1379" s="14"/>
    </row>
    <row r="1380" spans="1:9" x14ac:dyDescent="0.25">
      <c r="A1380" s="14">
        <v>2016</v>
      </c>
      <c r="B1380" s="14">
        <v>180</v>
      </c>
      <c r="C1380" s="15">
        <v>42549</v>
      </c>
      <c r="D1380" s="16">
        <v>0.49305555555555558</v>
      </c>
      <c r="E1380" s="14">
        <v>70</v>
      </c>
      <c r="F1380" s="14">
        <v>19</v>
      </c>
      <c r="G1380" s="17">
        <v>0.33311011982121563</v>
      </c>
      <c r="H1380" s="1" t="s">
        <v>144</v>
      </c>
      <c r="I1380" s="14"/>
    </row>
    <row r="1381" spans="1:9" x14ac:dyDescent="0.25">
      <c r="A1381" s="14">
        <v>2016</v>
      </c>
      <c r="B1381" s="14">
        <v>180</v>
      </c>
      <c r="C1381" s="15">
        <v>42549</v>
      </c>
      <c r="D1381" s="16">
        <v>0.43124999999999997</v>
      </c>
      <c r="E1381" s="14">
        <v>70</v>
      </c>
      <c r="F1381" s="14">
        <v>20</v>
      </c>
      <c r="G1381" s="17">
        <v>0.33349939096269382</v>
      </c>
      <c r="H1381" s="1" t="s">
        <v>144</v>
      </c>
      <c r="I1381" s="14"/>
    </row>
    <row r="1382" spans="1:9" x14ac:dyDescent="0.25">
      <c r="A1382" s="14">
        <v>2016</v>
      </c>
      <c r="B1382" s="14">
        <v>180</v>
      </c>
      <c r="C1382" s="15">
        <v>42549</v>
      </c>
      <c r="D1382" s="16">
        <v>0.35625000000000001</v>
      </c>
      <c r="E1382" s="14">
        <v>50</v>
      </c>
      <c r="F1382" s="14">
        <v>1</v>
      </c>
      <c r="G1382" s="17">
        <v>0.32243951088422484</v>
      </c>
      <c r="H1382" s="1" t="s">
        <v>143</v>
      </c>
      <c r="I1382" s="14"/>
    </row>
    <row r="1383" spans="1:9" x14ac:dyDescent="0.25">
      <c r="A1383" s="14">
        <v>2016</v>
      </c>
      <c r="B1383" s="14">
        <v>180</v>
      </c>
      <c r="C1383" s="15">
        <v>42549</v>
      </c>
      <c r="D1383" s="16">
        <v>0.34930555555555554</v>
      </c>
      <c r="E1383" s="14">
        <v>50</v>
      </c>
      <c r="F1383" s="14">
        <v>2</v>
      </c>
      <c r="G1383" s="17">
        <v>0.34155959342153663</v>
      </c>
      <c r="H1383" s="1" t="s">
        <v>143</v>
      </c>
      <c r="I1383" s="14"/>
    </row>
    <row r="1384" spans="1:9" x14ac:dyDescent="0.25">
      <c r="A1384" s="14">
        <v>2016</v>
      </c>
      <c r="B1384" s="14">
        <v>180</v>
      </c>
      <c r="C1384" s="15">
        <v>42549</v>
      </c>
      <c r="D1384" s="16">
        <v>0.37013888888888885</v>
      </c>
      <c r="E1384" s="14">
        <v>50</v>
      </c>
      <c r="F1384" s="14">
        <v>3</v>
      </c>
      <c r="G1384" s="17">
        <v>0.33837672938239127</v>
      </c>
      <c r="H1384" s="1" t="s">
        <v>143</v>
      </c>
      <c r="I1384" s="14"/>
    </row>
    <row r="1385" spans="1:9" x14ac:dyDescent="0.25">
      <c r="A1385" s="14">
        <v>2016</v>
      </c>
      <c r="B1385" s="14">
        <v>180</v>
      </c>
      <c r="C1385" s="15">
        <v>42549</v>
      </c>
      <c r="D1385" s="16">
        <v>0.36319444444444443</v>
      </c>
      <c r="E1385" s="14">
        <v>50</v>
      </c>
      <c r="F1385" s="14">
        <v>4</v>
      </c>
      <c r="G1385" s="17">
        <v>0.31749347755720769</v>
      </c>
      <c r="H1385" s="1" t="s">
        <v>143</v>
      </c>
      <c r="I1385" s="14"/>
    </row>
    <row r="1386" spans="1:9" x14ac:dyDescent="0.25">
      <c r="A1386" s="14">
        <v>2016</v>
      </c>
      <c r="B1386" s="14">
        <v>180</v>
      </c>
      <c r="C1386" s="15">
        <v>42549</v>
      </c>
      <c r="D1386" s="16">
        <v>0.37638888888888888</v>
      </c>
      <c r="E1386" s="14">
        <v>50</v>
      </c>
      <c r="F1386" s="14">
        <v>5</v>
      </c>
      <c r="G1386" s="17">
        <v>0.30670837710801746</v>
      </c>
      <c r="H1386" s="1" t="s">
        <v>0</v>
      </c>
      <c r="I1386" s="14"/>
    </row>
    <row r="1387" spans="1:9" x14ac:dyDescent="0.25">
      <c r="A1387" s="14">
        <v>2016</v>
      </c>
      <c r="B1387" s="14">
        <v>180</v>
      </c>
      <c r="C1387" s="15">
        <v>42549</v>
      </c>
      <c r="D1387" s="16">
        <v>0.38194444444444442</v>
      </c>
      <c r="E1387" s="14">
        <v>50</v>
      </c>
      <c r="F1387" s="14">
        <v>6</v>
      </c>
      <c r="G1387" s="17">
        <v>0.3204702568743939</v>
      </c>
      <c r="H1387" s="1" t="s">
        <v>0</v>
      </c>
      <c r="I1387" s="14"/>
    </row>
    <row r="1388" spans="1:9" x14ac:dyDescent="0.25">
      <c r="A1388" s="14">
        <v>2016</v>
      </c>
      <c r="B1388" s="14">
        <v>180</v>
      </c>
      <c r="C1388" s="15">
        <v>42549</v>
      </c>
      <c r="D1388" s="16">
        <v>0.38194444444444442</v>
      </c>
      <c r="E1388" s="14">
        <v>50</v>
      </c>
      <c r="F1388" s="14">
        <v>7</v>
      </c>
      <c r="G1388" s="17">
        <v>0.33867440731410992</v>
      </c>
      <c r="H1388" s="1" t="s">
        <v>143</v>
      </c>
      <c r="I1388" s="14"/>
    </row>
    <row r="1389" spans="1:9" x14ac:dyDescent="0.25">
      <c r="A1389" s="14">
        <v>2016</v>
      </c>
      <c r="B1389" s="14">
        <v>180</v>
      </c>
      <c r="C1389" s="15">
        <v>42549</v>
      </c>
      <c r="D1389" s="16">
        <v>0.39374999999999999</v>
      </c>
      <c r="E1389" s="14">
        <v>50</v>
      </c>
      <c r="F1389" s="14">
        <v>8</v>
      </c>
      <c r="G1389" s="17">
        <v>0.33485039080664758</v>
      </c>
      <c r="H1389" s="1" t="s">
        <v>143</v>
      </c>
      <c r="I1389" s="14"/>
    </row>
    <row r="1390" spans="1:9" x14ac:dyDescent="0.25">
      <c r="A1390" s="14">
        <v>2016</v>
      </c>
      <c r="B1390" s="14">
        <v>180</v>
      </c>
      <c r="C1390" s="15">
        <v>42549</v>
      </c>
      <c r="D1390" s="16">
        <v>0.39583333333333331</v>
      </c>
      <c r="E1390" s="14">
        <v>50</v>
      </c>
      <c r="F1390" s="14">
        <v>9</v>
      </c>
      <c r="G1390" s="17">
        <v>0.33134695053334373</v>
      </c>
      <c r="H1390" s="1" t="s">
        <v>143</v>
      </c>
      <c r="I1390" s="14"/>
    </row>
    <row r="1391" spans="1:9" x14ac:dyDescent="0.25">
      <c r="A1391" s="14">
        <v>2016</v>
      </c>
      <c r="B1391" s="14">
        <v>180</v>
      </c>
      <c r="C1391" s="15">
        <v>42549</v>
      </c>
      <c r="D1391" s="16">
        <v>0.40763888888888888</v>
      </c>
      <c r="E1391" s="14">
        <v>50</v>
      </c>
      <c r="F1391" s="14">
        <v>10</v>
      </c>
      <c r="G1391" s="17">
        <v>0.34728416903151021</v>
      </c>
      <c r="H1391" s="1" t="s">
        <v>143</v>
      </c>
      <c r="I1391" s="14"/>
    </row>
    <row r="1392" spans="1:9" x14ac:dyDescent="0.25">
      <c r="A1392" s="14">
        <v>2016</v>
      </c>
      <c r="B1392" s="14">
        <v>180</v>
      </c>
      <c r="C1392" s="15">
        <v>42549</v>
      </c>
      <c r="D1392" s="16">
        <v>0.52083333333333337</v>
      </c>
      <c r="E1392" s="14">
        <v>50</v>
      </c>
      <c r="F1392" s="14">
        <v>11</v>
      </c>
      <c r="G1392" s="17">
        <v>0.32312645995742167</v>
      </c>
      <c r="H1392" s="1" t="s">
        <v>144</v>
      </c>
      <c r="I1392" s="14"/>
    </row>
    <row r="1393" spans="1:9" x14ac:dyDescent="0.25">
      <c r="A1393" s="14">
        <v>2016</v>
      </c>
      <c r="B1393" s="14">
        <v>180</v>
      </c>
      <c r="C1393" s="15">
        <v>42549</v>
      </c>
      <c r="D1393" s="16">
        <v>0.52847222222222223</v>
      </c>
      <c r="E1393" s="14">
        <v>50</v>
      </c>
      <c r="F1393" s="14">
        <v>12</v>
      </c>
      <c r="G1393" s="17">
        <v>0.31073847833743884</v>
      </c>
      <c r="H1393" s="1" t="s">
        <v>144</v>
      </c>
      <c r="I1393" s="14"/>
    </row>
    <row r="1394" spans="1:9" x14ac:dyDescent="0.25">
      <c r="A1394" s="14">
        <v>2016</v>
      </c>
      <c r="B1394" s="14">
        <v>180</v>
      </c>
      <c r="C1394" s="15">
        <v>42549</v>
      </c>
      <c r="D1394" s="16">
        <v>0.5444444444444444</v>
      </c>
      <c r="E1394" s="14">
        <v>50</v>
      </c>
      <c r="F1394" s="14">
        <v>13</v>
      </c>
      <c r="G1394" s="17">
        <v>0.28193241386805179</v>
      </c>
      <c r="H1394" s="1" t="s">
        <v>144</v>
      </c>
      <c r="I1394" s="14"/>
    </row>
    <row r="1395" spans="1:9" x14ac:dyDescent="0.25">
      <c r="A1395" s="14">
        <v>2016</v>
      </c>
      <c r="B1395" s="14">
        <v>180</v>
      </c>
      <c r="C1395" s="15">
        <v>42549</v>
      </c>
      <c r="D1395" s="16">
        <v>0.5180555555555556</v>
      </c>
      <c r="E1395" s="14">
        <v>50</v>
      </c>
      <c r="F1395" s="14">
        <v>14</v>
      </c>
      <c r="G1395" s="17">
        <v>0.27050616095054447</v>
      </c>
      <c r="H1395" s="1" t="s">
        <v>144</v>
      </c>
      <c r="I1395" s="14"/>
    </row>
    <row r="1396" spans="1:9" x14ac:dyDescent="0.25">
      <c r="A1396" s="14">
        <v>2016</v>
      </c>
      <c r="B1396" s="14">
        <v>180</v>
      </c>
      <c r="C1396" s="15">
        <v>42549</v>
      </c>
      <c r="D1396" s="16">
        <v>0.51180555555555551</v>
      </c>
      <c r="E1396" s="14">
        <v>50</v>
      </c>
      <c r="F1396" s="14">
        <v>15</v>
      </c>
      <c r="G1396" s="17">
        <v>0.2898323282098153</v>
      </c>
      <c r="H1396" s="1" t="s">
        <v>1</v>
      </c>
      <c r="I1396" s="14"/>
    </row>
    <row r="1397" spans="1:9" x14ac:dyDescent="0.25">
      <c r="A1397" s="14">
        <v>2016</v>
      </c>
      <c r="B1397" s="14">
        <v>180</v>
      </c>
      <c r="C1397" s="15">
        <v>42549</v>
      </c>
      <c r="D1397" s="16">
        <v>0.50694444444444442</v>
      </c>
      <c r="E1397" s="14">
        <v>50</v>
      </c>
      <c r="F1397" s="14">
        <v>16</v>
      </c>
      <c r="G1397" s="17">
        <v>0.29702239517594214</v>
      </c>
      <c r="H1397" s="1" t="s">
        <v>1</v>
      </c>
      <c r="I1397" s="14"/>
    </row>
    <row r="1398" spans="1:9" x14ac:dyDescent="0.25">
      <c r="A1398" s="14">
        <v>2016</v>
      </c>
      <c r="B1398" s="14">
        <v>180</v>
      </c>
      <c r="C1398" s="15">
        <v>42549</v>
      </c>
      <c r="D1398" s="16">
        <v>0.4381944444444445</v>
      </c>
      <c r="E1398" s="14">
        <v>50</v>
      </c>
      <c r="F1398" s="14">
        <v>17</v>
      </c>
      <c r="G1398" s="17">
        <v>0.337575288796995</v>
      </c>
      <c r="H1398" s="1" t="s">
        <v>144</v>
      </c>
      <c r="I1398" s="14"/>
    </row>
    <row r="1399" spans="1:9" x14ac:dyDescent="0.25">
      <c r="A1399" s="14">
        <v>2016</v>
      </c>
      <c r="B1399" s="14">
        <v>180</v>
      </c>
      <c r="C1399" s="15">
        <v>42549</v>
      </c>
      <c r="D1399" s="16">
        <v>0.5</v>
      </c>
      <c r="E1399" s="14">
        <v>50</v>
      </c>
      <c r="F1399" s="14">
        <v>18</v>
      </c>
      <c r="G1399" s="17">
        <v>0.32814118819175853</v>
      </c>
      <c r="H1399" s="1" t="s">
        <v>144</v>
      </c>
      <c r="I1399" s="14"/>
    </row>
    <row r="1400" spans="1:9" x14ac:dyDescent="0.25">
      <c r="A1400" s="14">
        <v>2016</v>
      </c>
      <c r="B1400" s="14">
        <v>180</v>
      </c>
      <c r="C1400" s="15">
        <v>42549</v>
      </c>
      <c r="D1400" s="16">
        <v>0.49305555555555558</v>
      </c>
      <c r="E1400" s="14">
        <v>50</v>
      </c>
      <c r="F1400" s="14">
        <v>19</v>
      </c>
      <c r="G1400" s="17">
        <v>0.31321149500094747</v>
      </c>
      <c r="H1400" s="1" t="s">
        <v>144</v>
      </c>
      <c r="I1400" s="14"/>
    </row>
    <row r="1401" spans="1:9" x14ac:dyDescent="0.25">
      <c r="A1401" s="14">
        <v>2016</v>
      </c>
      <c r="B1401" s="14">
        <v>180</v>
      </c>
      <c r="C1401" s="15">
        <v>42549</v>
      </c>
      <c r="D1401" s="16">
        <v>0.43124999999999997</v>
      </c>
      <c r="E1401" s="14">
        <v>50</v>
      </c>
      <c r="F1401" s="14">
        <v>20</v>
      </c>
      <c r="G1401" s="17">
        <v>0.33290403509925653</v>
      </c>
      <c r="H1401" s="1" t="s">
        <v>144</v>
      </c>
      <c r="I1401" s="14"/>
    </row>
    <row r="1402" spans="1:9" x14ac:dyDescent="0.25">
      <c r="A1402" s="14">
        <v>2016</v>
      </c>
      <c r="B1402" s="14">
        <v>180</v>
      </c>
      <c r="C1402" s="15">
        <v>42549</v>
      </c>
      <c r="D1402" s="16">
        <v>0.35625000000000001</v>
      </c>
      <c r="E1402" s="14">
        <v>30</v>
      </c>
      <c r="F1402" s="14">
        <v>1</v>
      </c>
      <c r="G1402" s="17">
        <v>0.23760130034441634</v>
      </c>
      <c r="H1402" s="1" t="s">
        <v>143</v>
      </c>
      <c r="I1402" s="14"/>
    </row>
    <row r="1403" spans="1:9" x14ac:dyDescent="0.25">
      <c r="A1403" s="14">
        <v>2016</v>
      </c>
      <c r="B1403" s="14">
        <v>180</v>
      </c>
      <c r="C1403" s="15">
        <v>42549</v>
      </c>
      <c r="D1403" s="16">
        <v>0.34930555555555554</v>
      </c>
      <c r="E1403" s="14">
        <v>30</v>
      </c>
      <c r="F1403" s="14">
        <v>2</v>
      </c>
      <c r="G1403" s="17">
        <v>0.26663634783820234</v>
      </c>
      <c r="H1403" s="1" t="s">
        <v>143</v>
      </c>
      <c r="I1403" s="14"/>
    </row>
    <row r="1404" spans="1:9" x14ac:dyDescent="0.25">
      <c r="A1404" s="14">
        <v>2016</v>
      </c>
      <c r="B1404" s="14">
        <v>180</v>
      </c>
      <c r="C1404" s="15">
        <v>42549</v>
      </c>
      <c r="D1404" s="16">
        <v>0.37013888888888885</v>
      </c>
      <c r="E1404" s="14">
        <v>30</v>
      </c>
      <c r="F1404" s="14">
        <v>3</v>
      </c>
      <c r="G1404" s="17">
        <v>0.25188984106691042</v>
      </c>
      <c r="H1404" s="1" t="s">
        <v>143</v>
      </c>
      <c r="I1404" s="14"/>
    </row>
    <row r="1405" spans="1:9" x14ac:dyDescent="0.25">
      <c r="A1405" s="14">
        <v>2016</v>
      </c>
      <c r="B1405" s="14">
        <v>180</v>
      </c>
      <c r="C1405" s="15">
        <v>42549</v>
      </c>
      <c r="D1405" s="16">
        <v>0.36319444444444443</v>
      </c>
      <c r="E1405" s="14">
        <v>30</v>
      </c>
      <c r="F1405" s="14">
        <v>4</v>
      </c>
      <c r="G1405" s="17">
        <v>0.24866118042288532</v>
      </c>
      <c r="H1405" s="1" t="s">
        <v>143</v>
      </c>
      <c r="I1405" s="14"/>
    </row>
    <row r="1406" spans="1:9" x14ac:dyDescent="0.25">
      <c r="A1406" s="14">
        <v>2016</v>
      </c>
      <c r="B1406" s="14">
        <v>180</v>
      </c>
      <c r="C1406" s="15">
        <v>42549</v>
      </c>
      <c r="D1406" s="16">
        <v>0.37638888888888888</v>
      </c>
      <c r="E1406" s="14">
        <v>30</v>
      </c>
      <c r="F1406" s="14">
        <v>5</v>
      </c>
      <c r="G1406" s="17">
        <v>0.27510871974096329</v>
      </c>
      <c r="H1406" s="1" t="s">
        <v>0</v>
      </c>
      <c r="I1406" s="14"/>
    </row>
    <row r="1407" spans="1:9" x14ac:dyDescent="0.25">
      <c r="A1407" s="14">
        <v>2016</v>
      </c>
      <c r="B1407" s="14">
        <v>180</v>
      </c>
      <c r="C1407" s="15">
        <v>42549</v>
      </c>
      <c r="D1407" s="16">
        <v>0.38194444444444442</v>
      </c>
      <c r="E1407" s="14">
        <v>30</v>
      </c>
      <c r="F1407" s="14">
        <v>6</v>
      </c>
      <c r="G1407" s="17">
        <v>0.27373482159456958</v>
      </c>
      <c r="H1407" s="1" t="s">
        <v>0</v>
      </c>
      <c r="I1407" s="14"/>
    </row>
    <row r="1408" spans="1:9" x14ac:dyDescent="0.25">
      <c r="A1408" s="14">
        <v>2016</v>
      </c>
      <c r="B1408" s="14">
        <v>180</v>
      </c>
      <c r="C1408" s="15">
        <v>42549</v>
      </c>
      <c r="D1408" s="16">
        <v>0.38194444444444442</v>
      </c>
      <c r="E1408" s="14">
        <v>30</v>
      </c>
      <c r="F1408" s="14">
        <v>7</v>
      </c>
      <c r="G1408" s="17">
        <v>0.25752282346712441</v>
      </c>
      <c r="H1408" s="1" t="s">
        <v>143</v>
      </c>
      <c r="I1408" s="14"/>
    </row>
    <row r="1409" spans="1:9" x14ac:dyDescent="0.25">
      <c r="A1409" s="14">
        <v>2016</v>
      </c>
      <c r="B1409" s="14">
        <v>180</v>
      </c>
      <c r="C1409" s="15">
        <v>42549</v>
      </c>
      <c r="D1409" s="16">
        <v>0.39374999999999999</v>
      </c>
      <c r="E1409" s="14">
        <v>30</v>
      </c>
      <c r="F1409" s="14">
        <v>8</v>
      </c>
      <c r="G1409" s="17">
        <v>0.25395068828650091</v>
      </c>
      <c r="H1409" s="1" t="s">
        <v>143</v>
      </c>
      <c r="I1409" s="14"/>
    </row>
    <row r="1410" spans="1:9" x14ac:dyDescent="0.25">
      <c r="A1410" s="14">
        <v>2016</v>
      </c>
      <c r="B1410" s="14">
        <v>180</v>
      </c>
      <c r="C1410" s="15">
        <v>42549</v>
      </c>
      <c r="D1410" s="16">
        <v>0.39583333333333331</v>
      </c>
      <c r="E1410" s="14">
        <v>30</v>
      </c>
      <c r="F1410" s="14">
        <v>9</v>
      </c>
      <c r="G1410" s="17">
        <v>0.25713355232564622</v>
      </c>
      <c r="H1410" s="1" t="s">
        <v>143</v>
      </c>
      <c r="I1410" s="14"/>
    </row>
    <row r="1411" spans="1:9" x14ac:dyDescent="0.25">
      <c r="A1411" s="14">
        <v>2016</v>
      </c>
      <c r="B1411" s="14">
        <v>180</v>
      </c>
      <c r="C1411" s="15">
        <v>42549</v>
      </c>
      <c r="D1411" s="16">
        <v>0.40763888888888888</v>
      </c>
      <c r="E1411" s="14">
        <v>30</v>
      </c>
      <c r="F1411" s="14">
        <v>10</v>
      </c>
      <c r="G1411" s="17">
        <v>0.28472600676571885</v>
      </c>
      <c r="H1411" s="1" t="s">
        <v>143</v>
      </c>
      <c r="I1411" s="14"/>
    </row>
    <row r="1412" spans="1:9" x14ac:dyDescent="0.25">
      <c r="A1412" s="14">
        <v>2016</v>
      </c>
      <c r="B1412" s="14">
        <v>180</v>
      </c>
      <c r="C1412" s="15">
        <v>42549</v>
      </c>
      <c r="D1412" s="16">
        <v>0.52083333333333337</v>
      </c>
      <c r="E1412" s="14">
        <v>30</v>
      </c>
      <c r="F1412" s="14">
        <v>11</v>
      </c>
      <c r="G1412" s="17">
        <v>0.22493853909515477</v>
      </c>
      <c r="H1412" s="1" t="s">
        <v>144</v>
      </c>
      <c r="I1412" s="14"/>
    </row>
    <row r="1413" spans="1:9" x14ac:dyDescent="0.25">
      <c r="A1413" s="14">
        <v>2016</v>
      </c>
      <c r="B1413" s="14">
        <v>180</v>
      </c>
      <c r="C1413" s="15">
        <v>42549</v>
      </c>
      <c r="D1413" s="16">
        <v>0.52847222222222223</v>
      </c>
      <c r="E1413" s="14">
        <v>30</v>
      </c>
      <c r="F1413" s="14">
        <v>12</v>
      </c>
      <c r="G1413" s="17">
        <v>0.18104249331787731</v>
      </c>
      <c r="H1413" s="1" t="s">
        <v>144</v>
      </c>
      <c r="I1413" s="14"/>
    </row>
    <row r="1414" spans="1:9" x14ac:dyDescent="0.25">
      <c r="A1414" s="14">
        <v>2016</v>
      </c>
      <c r="B1414" s="14">
        <v>180</v>
      </c>
      <c r="C1414" s="15">
        <v>42549</v>
      </c>
      <c r="D1414" s="16">
        <v>0.5444444444444444</v>
      </c>
      <c r="E1414" s="14">
        <v>30</v>
      </c>
      <c r="F1414" s="14">
        <v>13</v>
      </c>
      <c r="G1414" s="17">
        <v>0.16702873222466202</v>
      </c>
      <c r="H1414" s="1" t="s">
        <v>144</v>
      </c>
      <c r="I1414" s="14"/>
    </row>
    <row r="1415" spans="1:9" x14ac:dyDescent="0.25">
      <c r="A1415" s="14">
        <v>2016</v>
      </c>
      <c r="B1415" s="14">
        <v>180</v>
      </c>
      <c r="C1415" s="15">
        <v>42549</v>
      </c>
      <c r="D1415" s="16">
        <v>0.5180555555555556</v>
      </c>
      <c r="E1415" s="14">
        <v>30</v>
      </c>
      <c r="F1415" s="14">
        <v>14</v>
      </c>
      <c r="G1415" s="17">
        <v>0.1662272916392657</v>
      </c>
      <c r="H1415" s="1" t="s">
        <v>144</v>
      </c>
      <c r="I1415" s="14"/>
    </row>
    <row r="1416" spans="1:9" x14ac:dyDescent="0.25">
      <c r="A1416" s="14">
        <v>2016</v>
      </c>
      <c r="B1416" s="14">
        <v>180</v>
      </c>
      <c r="C1416" s="15">
        <v>42549</v>
      </c>
      <c r="D1416" s="16">
        <v>0.51180555555555551</v>
      </c>
      <c r="E1416" s="14">
        <v>30</v>
      </c>
      <c r="F1416" s="14">
        <v>15</v>
      </c>
      <c r="G1416" s="17">
        <v>0.2696589237602684</v>
      </c>
      <c r="H1416" s="1" t="s">
        <v>1</v>
      </c>
      <c r="I1416" s="14"/>
    </row>
    <row r="1417" spans="1:9" x14ac:dyDescent="0.25">
      <c r="A1417" s="14">
        <v>2016</v>
      </c>
      <c r="B1417" s="14">
        <v>180</v>
      </c>
      <c r="C1417" s="15">
        <v>42549</v>
      </c>
      <c r="D1417" s="16">
        <v>0.50694444444444442</v>
      </c>
      <c r="E1417" s="14">
        <v>30</v>
      </c>
      <c r="F1417" s="14">
        <v>16</v>
      </c>
      <c r="G1417" s="17">
        <v>0.26839951712607424</v>
      </c>
      <c r="H1417" s="1" t="s">
        <v>1</v>
      </c>
      <c r="I1417" s="14"/>
    </row>
    <row r="1418" spans="1:9" x14ac:dyDescent="0.25">
      <c r="A1418" s="14">
        <v>2016</v>
      </c>
      <c r="B1418" s="14">
        <v>180</v>
      </c>
      <c r="C1418" s="15">
        <v>42549</v>
      </c>
      <c r="D1418" s="16">
        <v>0.4381944444444445</v>
      </c>
      <c r="E1418" s="14">
        <v>30</v>
      </c>
      <c r="F1418" s="14">
        <v>17</v>
      </c>
      <c r="G1418" s="17">
        <v>0.26468999213081135</v>
      </c>
      <c r="H1418" s="1" t="s">
        <v>144</v>
      </c>
      <c r="I1418" s="14"/>
    </row>
    <row r="1419" spans="1:9" x14ac:dyDescent="0.25">
      <c r="A1419" s="14">
        <v>2016</v>
      </c>
      <c r="B1419" s="14">
        <v>180</v>
      </c>
      <c r="C1419" s="15">
        <v>42549</v>
      </c>
      <c r="D1419" s="16">
        <v>0.5</v>
      </c>
      <c r="E1419" s="14">
        <v>30</v>
      </c>
      <c r="F1419" s="14">
        <v>18</v>
      </c>
      <c r="G1419" s="17">
        <v>0.24856958721312572</v>
      </c>
      <c r="H1419" s="1" t="s">
        <v>144</v>
      </c>
      <c r="I1419" s="14"/>
    </row>
    <row r="1420" spans="1:9" x14ac:dyDescent="0.25">
      <c r="A1420" s="14">
        <v>2016</v>
      </c>
      <c r="B1420" s="14">
        <v>180</v>
      </c>
      <c r="C1420" s="15">
        <v>42549</v>
      </c>
      <c r="D1420" s="16">
        <v>0.49305555555555558</v>
      </c>
      <c r="E1420" s="14">
        <v>30</v>
      </c>
      <c r="F1420" s="14">
        <v>19</v>
      </c>
      <c r="G1420" s="17">
        <v>0.24286790990559204</v>
      </c>
      <c r="H1420" s="1" t="s">
        <v>144</v>
      </c>
      <c r="I1420" s="14"/>
    </row>
    <row r="1421" spans="1:9" x14ac:dyDescent="0.25">
      <c r="A1421" s="14">
        <v>2016</v>
      </c>
      <c r="B1421" s="14">
        <v>180</v>
      </c>
      <c r="C1421" s="15">
        <v>42549</v>
      </c>
      <c r="D1421" s="16">
        <v>0.43124999999999997</v>
      </c>
      <c r="E1421" s="14">
        <v>30</v>
      </c>
      <c r="F1421" s="14">
        <v>20</v>
      </c>
      <c r="G1421" s="17">
        <v>0.24433340126174524</v>
      </c>
      <c r="H1421" s="1" t="s">
        <v>144</v>
      </c>
      <c r="I1421" s="14"/>
    </row>
    <row r="1422" spans="1:9" x14ac:dyDescent="0.25">
      <c r="A1422" s="14">
        <v>2016</v>
      </c>
      <c r="B1422" s="14">
        <v>180</v>
      </c>
      <c r="C1422" s="15">
        <v>42549</v>
      </c>
      <c r="D1422" s="16">
        <v>0.35625000000000001</v>
      </c>
      <c r="E1422" s="14">
        <v>10</v>
      </c>
      <c r="F1422" s="14">
        <v>1</v>
      </c>
      <c r="G1422" s="17">
        <v>0.17604660282889534</v>
      </c>
      <c r="H1422" s="1" t="s">
        <v>143</v>
      </c>
      <c r="I1422" s="14"/>
    </row>
    <row r="1423" spans="1:9" x14ac:dyDescent="0.25">
      <c r="A1423" s="14">
        <v>2016</v>
      </c>
      <c r="B1423" s="14">
        <v>180</v>
      </c>
      <c r="C1423" s="15">
        <v>42549</v>
      </c>
      <c r="D1423" s="16">
        <v>0.34930555555555554</v>
      </c>
      <c r="E1423" s="14">
        <v>10</v>
      </c>
      <c r="F1423" s="14">
        <v>2</v>
      </c>
      <c r="G1423" s="17">
        <v>0.17127043052041419</v>
      </c>
      <c r="H1423" s="1" t="s">
        <v>143</v>
      </c>
      <c r="I1423" s="14"/>
    </row>
    <row r="1424" spans="1:9" x14ac:dyDescent="0.25">
      <c r="A1424" s="14">
        <v>2016</v>
      </c>
      <c r="B1424" s="14">
        <v>180</v>
      </c>
      <c r="C1424" s="15">
        <v>42549</v>
      </c>
      <c r="D1424" s="16">
        <v>0.37013888888888885</v>
      </c>
      <c r="E1424" s="14">
        <v>10</v>
      </c>
      <c r="F1424" s="14">
        <v>3</v>
      </c>
      <c r="G1424" s="17">
        <v>0.16856585102043092</v>
      </c>
      <c r="H1424" s="1" t="s">
        <v>143</v>
      </c>
      <c r="I1424" s="14"/>
    </row>
    <row r="1425" spans="1:9" x14ac:dyDescent="0.25">
      <c r="A1425" s="14">
        <v>2016</v>
      </c>
      <c r="B1425" s="14">
        <v>180</v>
      </c>
      <c r="C1425" s="15">
        <v>42549</v>
      </c>
      <c r="D1425" s="16">
        <v>0.36319444444444443</v>
      </c>
      <c r="E1425" s="14">
        <v>10</v>
      </c>
      <c r="F1425" s="14">
        <v>4</v>
      </c>
      <c r="G1425" s="17">
        <v>0.16279224513748791</v>
      </c>
      <c r="H1425" s="1" t="s">
        <v>143</v>
      </c>
      <c r="I1425" s="14"/>
    </row>
    <row r="1426" spans="1:9" x14ac:dyDescent="0.25">
      <c r="A1426" s="14">
        <v>2016</v>
      </c>
      <c r="B1426" s="14">
        <v>180</v>
      </c>
      <c r="C1426" s="15">
        <v>42549</v>
      </c>
      <c r="D1426" s="16">
        <v>0.37638888888888888</v>
      </c>
      <c r="E1426" s="14">
        <v>10</v>
      </c>
      <c r="F1426" s="14">
        <v>5</v>
      </c>
      <c r="G1426" s="17">
        <v>0.18421788557352564</v>
      </c>
      <c r="H1426" s="1" t="s">
        <v>0</v>
      </c>
      <c r="I1426" s="14"/>
    </row>
    <row r="1427" spans="1:9" x14ac:dyDescent="0.25">
      <c r="A1427" s="14">
        <v>2016</v>
      </c>
      <c r="B1427" s="14">
        <v>180</v>
      </c>
      <c r="C1427" s="15">
        <v>42549</v>
      </c>
      <c r="D1427" s="16">
        <v>0.38194444444444442</v>
      </c>
      <c r="E1427" s="14">
        <v>10</v>
      </c>
      <c r="F1427" s="14">
        <v>6</v>
      </c>
      <c r="G1427" s="17">
        <v>0.17969107165866005</v>
      </c>
      <c r="H1427" s="1" t="s">
        <v>0</v>
      </c>
      <c r="I1427" s="14"/>
    </row>
    <row r="1428" spans="1:9" x14ac:dyDescent="0.25">
      <c r="A1428" s="14">
        <v>2016</v>
      </c>
      <c r="B1428" s="14">
        <v>180</v>
      </c>
      <c r="C1428" s="15">
        <v>42549</v>
      </c>
      <c r="D1428" s="16">
        <v>0.38194444444444442</v>
      </c>
      <c r="E1428" s="14">
        <v>10</v>
      </c>
      <c r="F1428" s="14">
        <v>7</v>
      </c>
      <c r="G1428" s="17">
        <v>0.17809901422249963</v>
      </c>
      <c r="H1428" s="1" t="s">
        <v>143</v>
      </c>
      <c r="I1428" s="14"/>
    </row>
    <row r="1429" spans="1:9" x14ac:dyDescent="0.25">
      <c r="A1429" s="14">
        <v>2016</v>
      </c>
      <c r="B1429" s="14">
        <v>180</v>
      </c>
      <c r="C1429" s="15">
        <v>42549</v>
      </c>
      <c r="D1429" s="16">
        <v>0.39374999999999999</v>
      </c>
      <c r="E1429" s="14">
        <v>10</v>
      </c>
      <c r="F1429" s="14">
        <v>8</v>
      </c>
      <c r="G1429" s="17">
        <v>0.1291288619993981</v>
      </c>
      <c r="H1429" s="1" t="s">
        <v>143</v>
      </c>
      <c r="I1429" s="14"/>
    </row>
    <row r="1430" spans="1:9" x14ac:dyDescent="0.25">
      <c r="A1430" s="14">
        <v>2016</v>
      </c>
      <c r="B1430" s="14">
        <v>180</v>
      </c>
      <c r="C1430" s="15">
        <v>42549</v>
      </c>
      <c r="D1430" s="16">
        <v>0.39583333333333331</v>
      </c>
      <c r="E1430" s="14">
        <v>10</v>
      </c>
      <c r="F1430" s="14">
        <v>9</v>
      </c>
      <c r="G1430" s="17">
        <v>0.16373213446726931</v>
      </c>
      <c r="H1430" s="1" t="s">
        <v>143</v>
      </c>
      <c r="I1430" s="14"/>
    </row>
    <row r="1431" spans="1:9" x14ac:dyDescent="0.25">
      <c r="A1431" s="14">
        <v>2016</v>
      </c>
      <c r="B1431" s="14">
        <v>180</v>
      </c>
      <c r="C1431" s="15">
        <v>42549</v>
      </c>
      <c r="D1431" s="16">
        <v>0.40763888888888888</v>
      </c>
      <c r="E1431" s="14">
        <v>10</v>
      </c>
      <c r="F1431" s="14">
        <v>10</v>
      </c>
      <c r="G1431" s="17">
        <v>0.17750439036080118</v>
      </c>
      <c r="H1431" s="1" t="s">
        <v>143</v>
      </c>
      <c r="I1431" s="14"/>
    </row>
    <row r="1432" spans="1:9" x14ac:dyDescent="0.25">
      <c r="A1432" s="14">
        <v>2016</v>
      </c>
      <c r="B1432" s="14">
        <v>180</v>
      </c>
      <c r="C1432" s="15">
        <v>42549</v>
      </c>
      <c r="D1432" s="16">
        <v>0.52083333333333337</v>
      </c>
      <c r="E1432" s="14">
        <v>10</v>
      </c>
      <c r="F1432" s="14">
        <v>11</v>
      </c>
      <c r="G1432" s="17">
        <v>0.14997905998863093</v>
      </c>
      <c r="H1432" s="1" t="s">
        <v>144</v>
      </c>
      <c r="I1432" s="14"/>
    </row>
    <row r="1433" spans="1:9" x14ac:dyDescent="0.25">
      <c r="A1433" s="14">
        <v>2016</v>
      </c>
      <c r="B1433" s="14">
        <v>180</v>
      </c>
      <c r="C1433" s="15">
        <v>42549</v>
      </c>
      <c r="D1433" s="16">
        <v>0.52847222222222223</v>
      </c>
      <c r="E1433" s="14">
        <v>10</v>
      </c>
      <c r="F1433" s="14">
        <v>12</v>
      </c>
      <c r="G1433" s="17">
        <v>0.12747926031855725</v>
      </c>
      <c r="H1433" s="1" t="s">
        <v>144</v>
      </c>
      <c r="I1433" s="14"/>
    </row>
    <row r="1434" spans="1:9" x14ac:dyDescent="0.25">
      <c r="A1434" s="14">
        <v>2016</v>
      </c>
      <c r="B1434" s="14">
        <v>180</v>
      </c>
      <c r="C1434" s="15">
        <v>42549</v>
      </c>
      <c r="D1434" s="16">
        <v>0.5444444444444444</v>
      </c>
      <c r="E1434" s="14">
        <v>10</v>
      </c>
      <c r="F1434" s="14">
        <v>13</v>
      </c>
      <c r="G1434" s="17">
        <v>0.17570133736081234</v>
      </c>
      <c r="H1434" s="1" t="s">
        <v>144</v>
      </c>
      <c r="I1434" s="14"/>
    </row>
    <row r="1435" spans="1:9" x14ac:dyDescent="0.25">
      <c r="A1435" s="14">
        <v>2016</v>
      </c>
      <c r="B1435" s="14">
        <v>180</v>
      </c>
      <c r="C1435" s="15">
        <v>42549</v>
      </c>
      <c r="D1435" s="16">
        <v>0.5180555555555556</v>
      </c>
      <c r="E1435" s="14">
        <v>10</v>
      </c>
      <c r="F1435" s="14">
        <v>14</v>
      </c>
      <c r="G1435" s="17">
        <v>0.16693543075448353</v>
      </c>
      <c r="H1435" s="1" t="s">
        <v>144</v>
      </c>
      <c r="I1435" s="14"/>
    </row>
    <row r="1436" spans="1:9" x14ac:dyDescent="0.25">
      <c r="A1436" s="14">
        <v>2016</v>
      </c>
      <c r="B1436" s="14">
        <v>180</v>
      </c>
      <c r="C1436" s="15">
        <v>42549</v>
      </c>
      <c r="D1436" s="16">
        <v>0.51180555555555551</v>
      </c>
      <c r="E1436" s="14">
        <v>10</v>
      </c>
      <c r="F1436" s="14">
        <v>15</v>
      </c>
      <c r="G1436" s="17">
        <v>0.18692246507350896</v>
      </c>
      <c r="H1436" s="1" t="s">
        <v>1</v>
      </c>
      <c r="I1436" s="14"/>
    </row>
    <row r="1437" spans="1:9" x14ac:dyDescent="0.25">
      <c r="A1437" s="14">
        <v>2016</v>
      </c>
      <c r="B1437" s="14">
        <v>180</v>
      </c>
      <c r="C1437" s="15">
        <v>42549</v>
      </c>
      <c r="D1437" s="16">
        <v>0.50694444444444442</v>
      </c>
      <c r="E1437" s="14">
        <v>10</v>
      </c>
      <c r="F1437" s="14">
        <v>16</v>
      </c>
      <c r="G1437" s="17">
        <v>0.17806065139271265</v>
      </c>
      <c r="H1437" s="1" t="s">
        <v>1</v>
      </c>
      <c r="I1437" s="14"/>
    </row>
    <row r="1438" spans="1:9" x14ac:dyDescent="0.25">
      <c r="A1438" s="14">
        <v>2016</v>
      </c>
      <c r="B1438" s="14">
        <v>180</v>
      </c>
      <c r="C1438" s="15">
        <v>42549</v>
      </c>
      <c r="D1438" s="16">
        <v>0.4381944444444445</v>
      </c>
      <c r="E1438" s="14">
        <v>10</v>
      </c>
      <c r="F1438" s="14">
        <v>17</v>
      </c>
      <c r="G1438" s="17">
        <v>0.15747899321198883</v>
      </c>
      <c r="H1438" s="1" t="s">
        <v>144</v>
      </c>
      <c r="I1438" s="14"/>
    </row>
    <row r="1439" spans="1:9" x14ac:dyDescent="0.25">
      <c r="A1439" s="14">
        <v>2016</v>
      </c>
      <c r="B1439" s="14">
        <v>180</v>
      </c>
      <c r="C1439" s="15">
        <v>42549</v>
      </c>
      <c r="D1439" s="16">
        <v>0.5</v>
      </c>
      <c r="E1439" s="14">
        <v>10</v>
      </c>
      <c r="F1439" s="14">
        <v>18</v>
      </c>
      <c r="G1439" s="17">
        <v>0.16292651504174238</v>
      </c>
      <c r="H1439" s="1" t="s">
        <v>144</v>
      </c>
      <c r="I1439" s="14"/>
    </row>
    <row r="1440" spans="1:9" x14ac:dyDescent="0.25">
      <c r="A1440" s="14">
        <v>2016</v>
      </c>
      <c r="B1440" s="14">
        <v>180</v>
      </c>
      <c r="C1440" s="15">
        <v>42549</v>
      </c>
      <c r="D1440" s="16">
        <v>0.49305555555555558</v>
      </c>
      <c r="E1440" s="14">
        <v>10</v>
      </c>
      <c r="F1440" s="14">
        <v>19</v>
      </c>
      <c r="G1440" s="17">
        <v>0.15588693577582846</v>
      </c>
      <c r="H1440" s="1" t="s">
        <v>144</v>
      </c>
      <c r="I1440" s="14"/>
    </row>
    <row r="1441" spans="1:9" x14ac:dyDescent="0.25">
      <c r="A1441" s="14">
        <v>2016</v>
      </c>
      <c r="B1441" s="14">
        <v>180</v>
      </c>
      <c r="C1441" s="15">
        <v>42549</v>
      </c>
      <c r="D1441" s="16">
        <v>0.43124999999999997</v>
      </c>
      <c r="E1441" s="14">
        <v>10</v>
      </c>
      <c r="F1441" s="14">
        <v>20</v>
      </c>
      <c r="G1441" s="17">
        <v>0.1724404968289176</v>
      </c>
      <c r="H1441" s="1" t="s">
        <v>144</v>
      </c>
      <c r="I1441" s="14"/>
    </row>
    <row r="1442" spans="1:9" x14ac:dyDescent="0.25">
      <c r="A1442" s="14">
        <v>2016</v>
      </c>
      <c r="B1442" s="14">
        <v>193</v>
      </c>
      <c r="C1442" s="15">
        <v>42562</v>
      </c>
      <c r="D1442" s="16">
        <v>0.28125</v>
      </c>
      <c r="E1442" s="14">
        <v>230</v>
      </c>
      <c r="F1442" s="14">
        <v>1</v>
      </c>
      <c r="G1442" s="17">
        <v>0.30248931009730601</v>
      </c>
      <c r="H1442" s="1" t="s">
        <v>143</v>
      </c>
      <c r="I1442" s="14"/>
    </row>
    <row r="1443" spans="1:9" x14ac:dyDescent="0.25">
      <c r="A1443" s="14">
        <v>2016</v>
      </c>
      <c r="B1443" s="14">
        <v>193</v>
      </c>
      <c r="C1443" s="15">
        <v>42562</v>
      </c>
      <c r="D1443" s="16">
        <v>0.28958333333333336</v>
      </c>
      <c r="E1443" s="14">
        <v>230</v>
      </c>
      <c r="F1443" s="14">
        <v>2</v>
      </c>
      <c r="G1443" s="17">
        <v>0.30182751692544335</v>
      </c>
      <c r="H1443" s="1" t="s">
        <v>143</v>
      </c>
      <c r="I1443" s="14"/>
    </row>
    <row r="1444" spans="1:9" x14ac:dyDescent="0.25">
      <c r="A1444" s="14">
        <v>2016</v>
      </c>
      <c r="B1444" s="14">
        <v>193</v>
      </c>
      <c r="C1444" s="15">
        <v>42562</v>
      </c>
      <c r="D1444" s="16">
        <v>0.29236111111111113</v>
      </c>
      <c r="E1444" s="14">
        <v>230</v>
      </c>
      <c r="F1444" s="14">
        <v>3</v>
      </c>
      <c r="G1444" s="17">
        <v>0.28915612413477942</v>
      </c>
      <c r="H1444" s="1" t="s">
        <v>143</v>
      </c>
      <c r="I1444" s="14"/>
    </row>
    <row r="1445" spans="1:9" x14ac:dyDescent="0.25">
      <c r="A1445" s="14">
        <v>2016</v>
      </c>
      <c r="B1445" s="14">
        <v>193</v>
      </c>
      <c r="C1445" s="15">
        <v>42562</v>
      </c>
      <c r="D1445" s="16">
        <v>0.29930555555555555</v>
      </c>
      <c r="E1445" s="14">
        <v>230</v>
      </c>
      <c r="F1445" s="14">
        <v>4</v>
      </c>
      <c r="G1445" s="17">
        <v>0.28421213985086441</v>
      </c>
      <c r="H1445" s="1" t="s">
        <v>143</v>
      </c>
      <c r="I1445" s="14"/>
    </row>
    <row r="1446" spans="1:9" x14ac:dyDescent="0.25">
      <c r="A1446" s="14">
        <v>2016</v>
      </c>
      <c r="B1446" s="14">
        <v>193</v>
      </c>
      <c r="C1446" s="15">
        <v>42562</v>
      </c>
      <c r="D1446" s="16">
        <v>0.31458333333333333</v>
      </c>
      <c r="E1446" s="14">
        <v>230</v>
      </c>
      <c r="F1446" s="14">
        <v>5</v>
      </c>
      <c r="G1446" s="17" t="e">
        <v>#N/A</v>
      </c>
      <c r="H1446" s="1" t="s">
        <v>0</v>
      </c>
      <c r="I1446" s="14"/>
    </row>
    <row r="1447" spans="1:9" x14ac:dyDescent="0.25">
      <c r="A1447" s="14">
        <v>2016</v>
      </c>
      <c r="B1447" s="14">
        <v>193</v>
      </c>
      <c r="C1447" s="15">
        <v>42562</v>
      </c>
      <c r="D1447" s="16">
        <v>0.32013888888888892</v>
      </c>
      <c r="E1447" s="14">
        <v>230</v>
      </c>
      <c r="F1447" s="14">
        <v>6</v>
      </c>
      <c r="G1447" s="17" t="e">
        <v>#N/A</v>
      </c>
      <c r="H1447" s="1" t="s">
        <v>0</v>
      </c>
      <c r="I1447" s="14"/>
    </row>
    <row r="1448" spans="1:9" x14ac:dyDescent="0.25">
      <c r="A1448" s="14">
        <v>2016</v>
      </c>
      <c r="B1448" s="14">
        <v>193</v>
      </c>
      <c r="C1448" s="15">
        <v>42562</v>
      </c>
      <c r="D1448" s="16">
        <v>0.32708333333333334</v>
      </c>
      <c r="E1448" s="14">
        <v>230</v>
      </c>
      <c r="F1448" s="14">
        <v>7</v>
      </c>
      <c r="G1448" s="17">
        <v>0.28253819241615302</v>
      </c>
      <c r="H1448" s="1" t="s">
        <v>143</v>
      </c>
      <c r="I1448" s="14"/>
    </row>
    <row r="1449" spans="1:9" x14ac:dyDescent="0.25">
      <c r="A1449" s="14">
        <v>2016</v>
      </c>
      <c r="B1449" s="14">
        <v>193</v>
      </c>
      <c r="C1449" s="15">
        <v>42562</v>
      </c>
      <c r="D1449" s="16">
        <v>0.3347222222222222</v>
      </c>
      <c r="E1449" s="14">
        <v>230</v>
      </c>
      <c r="F1449" s="14">
        <v>8</v>
      </c>
      <c r="G1449" s="17">
        <v>0.30978849949284981</v>
      </c>
      <c r="H1449" s="1" t="s">
        <v>143</v>
      </c>
      <c r="I1449" s="14"/>
    </row>
    <row r="1450" spans="1:9" x14ac:dyDescent="0.25">
      <c r="A1450" s="14">
        <v>2016</v>
      </c>
      <c r="B1450" s="14">
        <v>193</v>
      </c>
      <c r="C1450" s="15">
        <v>42562</v>
      </c>
      <c r="D1450" s="16">
        <v>0.3444444444444445</v>
      </c>
      <c r="E1450" s="14">
        <v>230</v>
      </c>
      <c r="F1450" s="14">
        <v>9</v>
      </c>
      <c r="G1450" s="17">
        <v>0.3077447264620975</v>
      </c>
      <c r="H1450" s="1" t="s">
        <v>143</v>
      </c>
      <c r="I1450" s="14"/>
    </row>
    <row r="1451" spans="1:9" x14ac:dyDescent="0.25">
      <c r="A1451" s="14">
        <v>2016</v>
      </c>
      <c r="B1451" s="14">
        <v>193</v>
      </c>
      <c r="C1451" s="15">
        <v>42562</v>
      </c>
      <c r="D1451" s="16">
        <v>0.35486111111111113</v>
      </c>
      <c r="E1451" s="14">
        <v>230</v>
      </c>
      <c r="F1451" s="14">
        <v>10</v>
      </c>
      <c r="G1451" s="17">
        <v>0.27181325013096741</v>
      </c>
      <c r="H1451" s="1" t="s">
        <v>143</v>
      </c>
      <c r="I1451" s="14"/>
    </row>
    <row r="1452" spans="1:9" x14ac:dyDescent="0.25">
      <c r="A1452" s="14">
        <v>2016</v>
      </c>
      <c r="B1452" s="14">
        <v>193</v>
      </c>
      <c r="C1452" s="15">
        <v>42562</v>
      </c>
      <c r="D1452" s="16">
        <v>0.43958333333333338</v>
      </c>
      <c r="E1452" s="14">
        <v>230</v>
      </c>
      <c r="F1452" s="14">
        <v>11</v>
      </c>
      <c r="G1452" s="17">
        <v>0.29725335823756927</v>
      </c>
      <c r="H1452" s="1" t="s">
        <v>144</v>
      </c>
      <c r="I1452" s="14"/>
    </row>
    <row r="1453" spans="1:9" x14ac:dyDescent="0.25">
      <c r="A1453" s="14">
        <v>2016</v>
      </c>
      <c r="B1453" s="14">
        <v>193</v>
      </c>
      <c r="C1453" s="15">
        <v>42562</v>
      </c>
      <c r="D1453" s="16">
        <v>0.4465277777777778</v>
      </c>
      <c r="E1453" s="14">
        <v>230</v>
      </c>
      <c r="F1453" s="14">
        <v>12</v>
      </c>
      <c r="G1453" s="17">
        <v>0.30435790258256523</v>
      </c>
      <c r="H1453" s="1" t="s">
        <v>144</v>
      </c>
      <c r="I1453" s="14"/>
    </row>
    <row r="1454" spans="1:9" x14ac:dyDescent="0.25">
      <c r="A1454" s="14">
        <v>2016</v>
      </c>
      <c r="B1454" s="14">
        <v>193</v>
      </c>
      <c r="C1454" s="15">
        <v>42562</v>
      </c>
      <c r="D1454" s="16">
        <v>0.45347222222222222</v>
      </c>
      <c r="E1454" s="14">
        <v>230</v>
      </c>
      <c r="F1454" s="14">
        <v>13</v>
      </c>
      <c r="G1454" s="17">
        <v>0.28975952379147768</v>
      </c>
      <c r="H1454" s="1" t="s">
        <v>144</v>
      </c>
      <c r="I1454" s="14"/>
    </row>
    <row r="1455" spans="1:9" x14ac:dyDescent="0.25">
      <c r="A1455" s="14">
        <v>2016</v>
      </c>
      <c r="B1455" s="14">
        <v>193</v>
      </c>
      <c r="C1455" s="15">
        <v>42562</v>
      </c>
      <c r="D1455" s="16">
        <v>0.43263888888888885</v>
      </c>
      <c r="E1455" s="14">
        <v>230</v>
      </c>
      <c r="F1455" s="14">
        <v>14</v>
      </c>
      <c r="G1455" s="17">
        <v>0.29349670876199607</v>
      </c>
      <c r="H1455" s="1" t="s">
        <v>144</v>
      </c>
      <c r="I1455" s="14"/>
    </row>
    <row r="1456" spans="1:9" x14ac:dyDescent="0.25">
      <c r="A1456" s="14">
        <v>2016</v>
      </c>
      <c r="B1456" s="14">
        <v>193</v>
      </c>
      <c r="C1456" s="15">
        <v>42562</v>
      </c>
      <c r="D1456" s="16">
        <v>0.4201388888888889</v>
      </c>
      <c r="E1456" s="14">
        <v>230</v>
      </c>
      <c r="F1456" s="14">
        <v>15</v>
      </c>
      <c r="G1456" s="17" t="e">
        <v>#N/A</v>
      </c>
      <c r="H1456" s="1" t="s">
        <v>1</v>
      </c>
      <c r="I1456" s="14"/>
    </row>
    <row r="1457" spans="1:9" x14ac:dyDescent="0.25">
      <c r="A1457" s="14">
        <v>2016</v>
      </c>
      <c r="B1457" s="14">
        <v>193</v>
      </c>
      <c r="C1457" s="15">
        <v>42562</v>
      </c>
      <c r="D1457" s="16">
        <v>0.42499999999999999</v>
      </c>
      <c r="E1457" s="14">
        <v>230</v>
      </c>
      <c r="F1457" s="14">
        <v>16</v>
      </c>
      <c r="G1457" s="17" t="e">
        <v>#N/A</v>
      </c>
      <c r="H1457" s="1" t="s">
        <v>1</v>
      </c>
      <c r="I1457" s="14"/>
    </row>
    <row r="1458" spans="1:9" x14ac:dyDescent="0.25">
      <c r="A1458" s="14">
        <v>2016</v>
      </c>
      <c r="B1458" s="14">
        <v>193</v>
      </c>
      <c r="C1458" s="15">
        <v>42562</v>
      </c>
      <c r="D1458" s="16">
        <v>0.41111111111111115</v>
      </c>
      <c r="E1458" s="14">
        <v>230</v>
      </c>
      <c r="F1458" s="14">
        <v>17</v>
      </c>
      <c r="G1458" s="17">
        <v>0.30065964662215638</v>
      </c>
      <c r="H1458" s="1" t="s">
        <v>144</v>
      </c>
      <c r="I1458" s="14"/>
    </row>
    <row r="1459" spans="1:9" x14ac:dyDescent="0.25">
      <c r="A1459" s="14">
        <v>2016</v>
      </c>
      <c r="B1459" s="14">
        <v>193</v>
      </c>
      <c r="C1459" s="15">
        <v>42562</v>
      </c>
      <c r="D1459" s="16">
        <v>0.40416666666666662</v>
      </c>
      <c r="E1459" s="14">
        <v>230</v>
      </c>
      <c r="F1459" s="14">
        <v>18</v>
      </c>
      <c r="G1459" s="17">
        <v>0.30297592272367563</v>
      </c>
      <c r="H1459" s="1" t="s">
        <v>144</v>
      </c>
      <c r="I1459" s="14"/>
    </row>
    <row r="1460" spans="1:9" x14ac:dyDescent="0.25">
      <c r="A1460" s="14">
        <v>2016</v>
      </c>
      <c r="B1460" s="14">
        <v>193</v>
      </c>
      <c r="C1460" s="15">
        <v>42562</v>
      </c>
      <c r="D1460" s="16">
        <v>0.39652777777777781</v>
      </c>
      <c r="E1460" s="14">
        <v>230</v>
      </c>
      <c r="F1460" s="14">
        <v>19</v>
      </c>
      <c r="G1460" s="17">
        <v>0.29069382003410732</v>
      </c>
      <c r="H1460" s="1" t="s">
        <v>144</v>
      </c>
      <c r="I1460" s="14"/>
    </row>
    <row r="1461" spans="1:9" x14ac:dyDescent="0.25">
      <c r="A1461" s="14">
        <v>2016</v>
      </c>
      <c r="B1461" s="14">
        <v>193</v>
      </c>
      <c r="C1461" s="15">
        <v>42562</v>
      </c>
      <c r="D1461" s="16">
        <v>0.39027777777777778</v>
      </c>
      <c r="E1461" s="14">
        <v>230</v>
      </c>
      <c r="F1461" s="14">
        <v>20</v>
      </c>
      <c r="G1461" s="17">
        <v>0.30577881145156444</v>
      </c>
      <c r="H1461" s="1" t="s">
        <v>144</v>
      </c>
      <c r="I1461" s="14"/>
    </row>
    <row r="1462" spans="1:9" x14ac:dyDescent="0.25">
      <c r="A1462" s="14">
        <v>2016</v>
      </c>
      <c r="B1462" s="14">
        <v>193</v>
      </c>
      <c r="C1462" s="15">
        <v>42562</v>
      </c>
      <c r="D1462" s="16">
        <v>0.28125</v>
      </c>
      <c r="E1462" s="14">
        <v>210</v>
      </c>
      <c r="F1462" s="14">
        <v>1</v>
      </c>
      <c r="G1462" s="17">
        <v>0.30653792714870098</v>
      </c>
      <c r="H1462" s="1" t="s">
        <v>143</v>
      </c>
      <c r="I1462" s="14"/>
    </row>
    <row r="1463" spans="1:9" x14ac:dyDescent="0.25">
      <c r="A1463" s="14">
        <v>2016</v>
      </c>
      <c r="B1463" s="14">
        <v>193</v>
      </c>
      <c r="C1463" s="15">
        <v>42562</v>
      </c>
      <c r="D1463" s="16">
        <v>0.28958333333333336</v>
      </c>
      <c r="E1463" s="14">
        <v>210</v>
      </c>
      <c r="F1463" s="14">
        <v>2</v>
      </c>
      <c r="G1463" s="17">
        <v>0.30248931009730601</v>
      </c>
      <c r="H1463" s="1" t="s">
        <v>143</v>
      </c>
      <c r="I1463" s="14"/>
    </row>
    <row r="1464" spans="1:9" x14ac:dyDescent="0.25">
      <c r="A1464" s="14">
        <v>2016</v>
      </c>
      <c r="B1464" s="14">
        <v>193</v>
      </c>
      <c r="C1464" s="15">
        <v>42562</v>
      </c>
      <c r="D1464" s="16">
        <v>0.29236111111111113</v>
      </c>
      <c r="E1464" s="14">
        <v>210</v>
      </c>
      <c r="F1464" s="14">
        <v>3</v>
      </c>
      <c r="G1464" s="17">
        <v>0.28251872791109828</v>
      </c>
      <c r="H1464" s="1" t="s">
        <v>143</v>
      </c>
      <c r="I1464" s="14"/>
    </row>
    <row r="1465" spans="1:9" x14ac:dyDescent="0.25">
      <c r="A1465" s="14">
        <v>2016</v>
      </c>
      <c r="B1465" s="14">
        <v>193</v>
      </c>
      <c r="C1465" s="15">
        <v>42562</v>
      </c>
      <c r="D1465" s="16">
        <v>0.29930555555555555</v>
      </c>
      <c r="E1465" s="14">
        <v>210</v>
      </c>
      <c r="F1465" s="14">
        <v>4</v>
      </c>
      <c r="G1465" s="17">
        <v>0.29404171490352998</v>
      </c>
      <c r="H1465" s="1" t="s">
        <v>143</v>
      </c>
      <c r="I1465" s="14"/>
    </row>
    <row r="1466" spans="1:9" x14ac:dyDescent="0.25">
      <c r="A1466" s="14">
        <v>2016</v>
      </c>
      <c r="B1466" s="14">
        <v>193</v>
      </c>
      <c r="C1466" s="15">
        <v>42562</v>
      </c>
      <c r="D1466" s="16">
        <v>0.31458333333333333</v>
      </c>
      <c r="E1466" s="14">
        <v>210</v>
      </c>
      <c r="F1466" s="14">
        <v>5</v>
      </c>
      <c r="G1466" s="17" t="e">
        <v>#N/A</v>
      </c>
      <c r="H1466" s="1" t="s">
        <v>0</v>
      </c>
      <c r="I1466" s="14"/>
    </row>
    <row r="1467" spans="1:9" x14ac:dyDescent="0.25">
      <c r="A1467" s="14">
        <v>2016</v>
      </c>
      <c r="B1467" s="14">
        <v>193</v>
      </c>
      <c r="C1467" s="15">
        <v>42562</v>
      </c>
      <c r="D1467" s="16">
        <v>0.32013888888888892</v>
      </c>
      <c r="E1467" s="14">
        <v>210</v>
      </c>
      <c r="F1467" s="14">
        <v>6</v>
      </c>
      <c r="G1467" s="17" t="e">
        <v>#N/A</v>
      </c>
      <c r="H1467" s="1" t="s">
        <v>0</v>
      </c>
      <c r="I1467" s="14"/>
    </row>
    <row r="1468" spans="1:9" x14ac:dyDescent="0.25">
      <c r="A1468" s="14">
        <v>2016</v>
      </c>
      <c r="B1468" s="14">
        <v>193</v>
      </c>
      <c r="C1468" s="15">
        <v>42562</v>
      </c>
      <c r="D1468" s="16">
        <v>0.32708333333333334</v>
      </c>
      <c r="E1468" s="14">
        <v>210</v>
      </c>
      <c r="F1468" s="14">
        <v>7</v>
      </c>
      <c r="G1468" s="17">
        <v>0.28199318627461911</v>
      </c>
      <c r="H1468" s="1" t="s">
        <v>143</v>
      </c>
      <c r="I1468" s="14"/>
    </row>
    <row r="1469" spans="1:9" x14ac:dyDescent="0.25">
      <c r="A1469" s="14">
        <v>2016</v>
      </c>
      <c r="B1469" s="14">
        <v>193</v>
      </c>
      <c r="C1469" s="15">
        <v>42562</v>
      </c>
      <c r="D1469" s="16">
        <v>0.3347222222222222</v>
      </c>
      <c r="E1469" s="14">
        <v>210</v>
      </c>
      <c r="F1469" s="14">
        <v>8</v>
      </c>
      <c r="G1469" s="17">
        <v>0.30671310769419402</v>
      </c>
      <c r="H1469" s="1" t="s">
        <v>143</v>
      </c>
      <c r="I1469" s="14"/>
    </row>
    <row r="1470" spans="1:9" x14ac:dyDescent="0.25">
      <c r="A1470" s="14">
        <v>2016</v>
      </c>
      <c r="B1470" s="14">
        <v>193</v>
      </c>
      <c r="C1470" s="15">
        <v>42562</v>
      </c>
      <c r="D1470" s="16">
        <v>0.3444444444444445</v>
      </c>
      <c r="E1470" s="14">
        <v>210</v>
      </c>
      <c r="F1470" s="14">
        <v>9</v>
      </c>
      <c r="G1470" s="17">
        <v>0.3004455370665538</v>
      </c>
      <c r="H1470" s="1" t="s">
        <v>143</v>
      </c>
      <c r="I1470" s="14"/>
    </row>
    <row r="1471" spans="1:9" x14ac:dyDescent="0.25">
      <c r="A1471" s="14">
        <v>2016</v>
      </c>
      <c r="B1471" s="14">
        <v>193</v>
      </c>
      <c r="C1471" s="15">
        <v>42562</v>
      </c>
      <c r="D1471" s="16">
        <v>0.35486111111111113</v>
      </c>
      <c r="E1471" s="14">
        <v>210</v>
      </c>
      <c r="F1471" s="14">
        <v>10</v>
      </c>
      <c r="G1471" s="17">
        <v>0.27255290132304916</v>
      </c>
      <c r="H1471" s="1" t="s">
        <v>143</v>
      </c>
      <c r="I1471" s="14"/>
    </row>
    <row r="1472" spans="1:9" x14ac:dyDescent="0.25">
      <c r="A1472" s="14">
        <v>2016</v>
      </c>
      <c r="B1472" s="14">
        <v>193</v>
      </c>
      <c r="C1472" s="15">
        <v>42562</v>
      </c>
      <c r="D1472" s="16">
        <v>0.43958333333333338</v>
      </c>
      <c r="E1472" s="14">
        <v>210</v>
      </c>
      <c r="F1472" s="14">
        <v>11</v>
      </c>
      <c r="G1472" s="17">
        <v>0.30906831280582281</v>
      </c>
      <c r="H1472" s="1" t="s">
        <v>144</v>
      </c>
      <c r="I1472" s="14"/>
    </row>
    <row r="1473" spans="1:9" x14ac:dyDescent="0.25">
      <c r="A1473" s="14">
        <v>2016</v>
      </c>
      <c r="B1473" s="14">
        <v>193</v>
      </c>
      <c r="C1473" s="15">
        <v>42562</v>
      </c>
      <c r="D1473" s="16">
        <v>0.4465277777777778</v>
      </c>
      <c r="E1473" s="14">
        <v>210</v>
      </c>
      <c r="F1473" s="14">
        <v>12</v>
      </c>
      <c r="G1473" s="17">
        <v>0.31050868617987676</v>
      </c>
      <c r="H1473" s="1" t="s">
        <v>144</v>
      </c>
      <c r="I1473" s="14"/>
    </row>
    <row r="1474" spans="1:9" x14ac:dyDescent="0.25">
      <c r="A1474" s="14">
        <v>2016</v>
      </c>
      <c r="B1474" s="14">
        <v>193</v>
      </c>
      <c r="C1474" s="15">
        <v>42562</v>
      </c>
      <c r="D1474" s="16">
        <v>0.45347222222222222</v>
      </c>
      <c r="E1474" s="14">
        <v>210</v>
      </c>
      <c r="F1474" s="14">
        <v>13</v>
      </c>
      <c r="G1474" s="17">
        <v>0.30194430395577204</v>
      </c>
      <c r="H1474" s="1" t="s">
        <v>144</v>
      </c>
      <c r="I1474" s="14"/>
    </row>
    <row r="1475" spans="1:9" x14ac:dyDescent="0.25">
      <c r="A1475" s="14">
        <v>2016</v>
      </c>
      <c r="B1475" s="14">
        <v>193</v>
      </c>
      <c r="C1475" s="15">
        <v>42562</v>
      </c>
      <c r="D1475" s="16">
        <v>0.43263888888888885</v>
      </c>
      <c r="E1475" s="14">
        <v>210</v>
      </c>
      <c r="F1475" s="14">
        <v>14</v>
      </c>
      <c r="G1475" s="17">
        <v>0.27673776990982762</v>
      </c>
      <c r="H1475" s="1" t="s">
        <v>144</v>
      </c>
      <c r="I1475" s="14"/>
    </row>
    <row r="1476" spans="1:9" x14ac:dyDescent="0.25">
      <c r="A1476" s="14">
        <v>2016</v>
      </c>
      <c r="B1476" s="14">
        <v>193</v>
      </c>
      <c r="C1476" s="15">
        <v>42562</v>
      </c>
      <c r="D1476" s="16">
        <v>0.4201388888888889</v>
      </c>
      <c r="E1476" s="14">
        <v>210</v>
      </c>
      <c r="F1476" s="14">
        <v>15</v>
      </c>
      <c r="G1476" s="17" t="e">
        <v>#N/A</v>
      </c>
      <c r="H1476" s="1" t="s">
        <v>1</v>
      </c>
      <c r="I1476" s="14"/>
    </row>
    <row r="1477" spans="1:9" x14ac:dyDescent="0.25">
      <c r="A1477" s="14">
        <v>2016</v>
      </c>
      <c r="B1477" s="14">
        <v>193</v>
      </c>
      <c r="C1477" s="15">
        <v>42562</v>
      </c>
      <c r="D1477" s="16">
        <v>0.42499999999999999</v>
      </c>
      <c r="E1477" s="14">
        <v>210</v>
      </c>
      <c r="F1477" s="14">
        <v>16</v>
      </c>
      <c r="G1477" s="17" t="e">
        <v>#N/A</v>
      </c>
      <c r="H1477" s="1" t="s">
        <v>1</v>
      </c>
      <c r="I1477" s="14"/>
    </row>
    <row r="1478" spans="1:9" x14ac:dyDescent="0.25">
      <c r="A1478" s="14">
        <v>2016</v>
      </c>
      <c r="B1478" s="14">
        <v>193</v>
      </c>
      <c r="C1478" s="15">
        <v>42562</v>
      </c>
      <c r="D1478" s="16">
        <v>0.41111111111111115</v>
      </c>
      <c r="E1478" s="14">
        <v>210</v>
      </c>
      <c r="F1478" s="14">
        <v>17</v>
      </c>
      <c r="G1478" s="17">
        <v>0.30723864933067313</v>
      </c>
      <c r="H1478" s="1" t="s">
        <v>144</v>
      </c>
      <c r="I1478" s="14"/>
    </row>
    <row r="1479" spans="1:9" x14ac:dyDescent="0.25">
      <c r="A1479" s="14">
        <v>2016</v>
      </c>
      <c r="B1479" s="14">
        <v>193</v>
      </c>
      <c r="C1479" s="15">
        <v>42562</v>
      </c>
      <c r="D1479" s="16">
        <v>0.40416666666666662</v>
      </c>
      <c r="E1479" s="14">
        <v>210</v>
      </c>
      <c r="F1479" s="14">
        <v>18</v>
      </c>
      <c r="G1479" s="17">
        <v>0.30653792714870098</v>
      </c>
      <c r="H1479" s="1" t="s">
        <v>144</v>
      </c>
      <c r="I1479" s="14"/>
    </row>
    <row r="1480" spans="1:9" x14ac:dyDescent="0.25">
      <c r="A1480" s="14">
        <v>2016</v>
      </c>
      <c r="B1480" s="14">
        <v>193</v>
      </c>
      <c r="C1480" s="15">
        <v>42562</v>
      </c>
      <c r="D1480" s="16">
        <v>0.39652777777777781</v>
      </c>
      <c r="E1480" s="14">
        <v>210</v>
      </c>
      <c r="F1480" s="14">
        <v>19</v>
      </c>
      <c r="G1480" s="17">
        <v>0.29988106641996504</v>
      </c>
      <c r="H1480" s="1" t="s">
        <v>144</v>
      </c>
      <c r="I1480" s="14"/>
    </row>
    <row r="1481" spans="1:9" x14ac:dyDescent="0.25">
      <c r="A1481" s="14">
        <v>2016</v>
      </c>
      <c r="B1481" s="14">
        <v>193</v>
      </c>
      <c r="C1481" s="15">
        <v>42562</v>
      </c>
      <c r="D1481" s="16">
        <v>0.39027777777777778</v>
      </c>
      <c r="E1481" s="14">
        <v>210</v>
      </c>
      <c r="F1481" s="14">
        <v>20</v>
      </c>
      <c r="G1481" s="17">
        <v>0.30101000771314246</v>
      </c>
      <c r="H1481" s="1" t="s">
        <v>144</v>
      </c>
      <c r="I1481" s="14"/>
    </row>
    <row r="1482" spans="1:9" x14ac:dyDescent="0.25">
      <c r="A1482" s="14">
        <v>2016</v>
      </c>
      <c r="B1482" s="14">
        <v>193</v>
      </c>
      <c r="C1482" s="15">
        <v>42562</v>
      </c>
      <c r="D1482" s="16">
        <v>0.28125</v>
      </c>
      <c r="E1482" s="14">
        <v>190</v>
      </c>
      <c r="F1482" s="14">
        <v>1</v>
      </c>
      <c r="G1482" s="17">
        <v>0.29028506542795685</v>
      </c>
      <c r="H1482" s="1" t="s">
        <v>143</v>
      </c>
      <c r="I1482" s="14"/>
    </row>
    <row r="1483" spans="1:9" x14ac:dyDescent="0.25">
      <c r="A1483" s="14">
        <v>2016</v>
      </c>
      <c r="B1483" s="14">
        <v>193</v>
      </c>
      <c r="C1483" s="15">
        <v>42562</v>
      </c>
      <c r="D1483" s="16">
        <v>0.28958333333333336</v>
      </c>
      <c r="E1483" s="14">
        <v>190</v>
      </c>
      <c r="F1483" s="14">
        <v>2</v>
      </c>
      <c r="G1483" s="17">
        <v>0.29986160191491029</v>
      </c>
      <c r="H1483" s="1" t="s">
        <v>143</v>
      </c>
      <c r="I1483" s="14"/>
    </row>
    <row r="1484" spans="1:9" x14ac:dyDescent="0.25">
      <c r="A1484" s="14">
        <v>2016</v>
      </c>
      <c r="B1484" s="14">
        <v>193</v>
      </c>
      <c r="C1484" s="15">
        <v>42562</v>
      </c>
      <c r="D1484" s="16">
        <v>0.29236111111111113</v>
      </c>
      <c r="E1484" s="14">
        <v>190</v>
      </c>
      <c r="F1484" s="14">
        <v>3</v>
      </c>
      <c r="G1484" s="17">
        <v>0.30095161419797811</v>
      </c>
      <c r="H1484" s="1" t="s">
        <v>143</v>
      </c>
      <c r="I1484" s="14"/>
    </row>
    <row r="1485" spans="1:9" x14ac:dyDescent="0.25">
      <c r="A1485" s="14">
        <v>2016</v>
      </c>
      <c r="B1485" s="14">
        <v>193</v>
      </c>
      <c r="C1485" s="15">
        <v>42562</v>
      </c>
      <c r="D1485" s="16">
        <v>0.29930555555555555</v>
      </c>
      <c r="E1485" s="14">
        <v>190</v>
      </c>
      <c r="F1485" s="14">
        <v>4</v>
      </c>
      <c r="G1485" s="17">
        <v>0.30067911112721113</v>
      </c>
      <c r="H1485" s="1" t="s">
        <v>143</v>
      </c>
      <c r="I1485" s="14"/>
    </row>
    <row r="1486" spans="1:9" x14ac:dyDescent="0.25">
      <c r="A1486" s="14">
        <v>2016</v>
      </c>
      <c r="B1486" s="14">
        <v>193</v>
      </c>
      <c r="C1486" s="15">
        <v>42562</v>
      </c>
      <c r="D1486" s="16">
        <v>0.31458333333333333</v>
      </c>
      <c r="E1486" s="14">
        <v>190</v>
      </c>
      <c r="F1486" s="14">
        <v>5</v>
      </c>
      <c r="G1486" s="17">
        <v>0.35965656144320485</v>
      </c>
      <c r="H1486" s="1" t="s">
        <v>0</v>
      </c>
      <c r="I1486" s="14"/>
    </row>
    <row r="1487" spans="1:9" x14ac:dyDescent="0.25">
      <c r="A1487" s="14">
        <v>2016</v>
      </c>
      <c r="B1487" s="14">
        <v>193</v>
      </c>
      <c r="C1487" s="15">
        <v>42562</v>
      </c>
      <c r="D1487" s="16">
        <v>0.32013888888888892</v>
      </c>
      <c r="E1487" s="14">
        <v>190</v>
      </c>
      <c r="F1487" s="14">
        <v>6</v>
      </c>
      <c r="G1487" s="17">
        <v>0.37090704536486963</v>
      </c>
      <c r="H1487" s="1" t="s">
        <v>0</v>
      </c>
      <c r="I1487" s="14"/>
    </row>
    <row r="1488" spans="1:9" x14ac:dyDescent="0.25">
      <c r="A1488" s="14">
        <v>2016</v>
      </c>
      <c r="B1488" s="14">
        <v>193</v>
      </c>
      <c r="C1488" s="15">
        <v>42562</v>
      </c>
      <c r="D1488" s="16">
        <v>0.32708333333333334</v>
      </c>
      <c r="E1488" s="14">
        <v>190</v>
      </c>
      <c r="F1488" s="14">
        <v>7</v>
      </c>
      <c r="G1488" s="17">
        <v>0.29010988488246375</v>
      </c>
      <c r="H1488" s="1" t="s">
        <v>143</v>
      </c>
      <c r="I1488" s="14"/>
    </row>
    <row r="1489" spans="1:9" x14ac:dyDescent="0.25">
      <c r="A1489" s="14">
        <v>2016</v>
      </c>
      <c r="B1489" s="14">
        <v>193</v>
      </c>
      <c r="C1489" s="15">
        <v>42562</v>
      </c>
      <c r="D1489" s="16">
        <v>0.3347222222222222</v>
      </c>
      <c r="E1489" s="14">
        <v>190</v>
      </c>
      <c r="F1489" s="14">
        <v>8</v>
      </c>
      <c r="G1489" s="17">
        <v>0.30025089201600591</v>
      </c>
      <c r="H1489" s="1" t="s">
        <v>143</v>
      </c>
      <c r="I1489" s="14"/>
    </row>
    <row r="1490" spans="1:9" x14ac:dyDescent="0.25">
      <c r="A1490" s="14">
        <v>2016</v>
      </c>
      <c r="B1490" s="14">
        <v>193</v>
      </c>
      <c r="C1490" s="15">
        <v>42562</v>
      </c>
      <c r="D1490" s="16">
        <v>0.3444444444444445</v>
      </c>
      <c r="E1490" s="14">
        <v>190</v>
      </c>
      <c r="F1490" s="14">
        <v>9</v>
      </c>
      <c r="G1490" s="17">
        <v>0.29267919954969518</v>
      </c>
      <c r="H1490" s="1" t="s">
        <v>143</v>
      </c>
      <c r="I1490" s="14"/>
    </row>
    <row r="1491" spans="1:9" x14ac:dyDescent="0.25">
      <c r="A1491" s="14">
        <v>2016</v>
      </c>
      <c r="B1491" s="14">
        <v>193</v>
      </c>
      <c r="C1491" s="15">
        <v>42562</v>
      </c>
      <c r="D1491" s="16">
        <v>0.35486111111111113</v>
      </c>
      <c r="E1491" s="14">
        <v>190</v>
      </c>
      <c r="F1491" s="14">
        <v>10</v>
      </c>
      <c r="G1491" s="17">
        <v>0.2960465589241727</v>
      </c>
      <c r="H1491" s="1" t="s">
        <v>143</v>
      </c>
      <c r="I1491" s="14"/>
    </row>
    <row r="1492" spans="1:9" x14ac:dyDescent="0.25">
      <c r="A1492" s="14">
        <v>2016</v>
      </c>
      <c r="B1492" s="14">
        <v>193</v>
      </c>
      <c r="C1492" s="15">
        <v>42562</v>
      </c>
      <c r="D1492" s="16">
        <v>0.43958333333333338</v>
      </c>
      <c r="E1492" s="14">
        <v>190</v>
      </c>
      <c r="F1492" s="14">
        <v>11</v>
      </c>
      <c r="G1492" s="17">
        <v>0.31231888514997164</v>
      </c>
      <c r="H1492" s="1" t="s">
        <v>144</v>
      </c>
      <c r="I1492" s="14"/>
    </row>
    <row r="1493" spans="1:9" x14ac:dyDescent="0.25">
      <c r="A1493" s="14">
        <v>2016</v>
      </c>
      <c r="B1493" s="14">
        <v>193</v>
      </c>
      <c r="C1493" s="15">
        <v>42562</v>
      </c>
      <c r="D1493" s="16">
        <v>0.4465277777777778</v>
      </c>
      <c r="E1493" s="14">
        <v>190</v>
      </c>
      <c r="F1493" s="14">
        <v>12</v>
      </c>
      <c r="G1493" s="17">
        <v>0.31638696670642136</v>
      </c>
      <c r="H1493" s="1" t="s">
        <v>144</v>
      </c>
      <c r="I1493" s="14"/>
    </row>
    <row r="1494" spans="1:9" x14ac:dyDescent="0.25">
      <c r="A1494" s="14">
        <v>2016</v>
      </c>
      <c r="B1494" s="14">
        <v>193</v>
      </c>
      <c r="C1494" s="15">
        <v>42562</v>
      </c>
      <c r="D1494" s="16">
        <v>0.45347222222222222</v>
      </c>
      <c r="E1494" s="14">
        <v>190</v>
      </c>
      <c r="F1494" s="14">
        <v>13</v>
      </c>
      <c r="G1494" s="17">
        <v>0.29797354492459627</v>
      </c>
      <c r="H1494" s="1" t="s">
        <v>144</v>
      </c>
      <c r="I1494" s="14"/>
    </row>
    <row r="1495" spans="1:9" x14ac:dyDescent="0.25">
      <c r="A1495" s="14">
        <v>2016</v>
      </c>
      <c r="B1495" s="14">
        <v>193</v>
      </c>
      <c r="C1495" s="15">
        <v>42562</v>
      </c>
      <c r="D1495" s="16">
        <v>0.43263888888888885</v>
      </c>
      <c r="E1495" s="14">
        <v>190</v>
      </c>
      <c r="F1495" s="14">
        <v>14</v>
      </c>
      <c r="G1495" s="17">
        <v>0.30472772817860611</v>
      </c>
      <c r="H1495" s="1" t="s">
        <v>144</v>
      </c>
      <c r="I1495" s="14"/>
    </row>
    <row r="1496" spans="1:9" x14ac:dyDescent="0.25">
      <c r="A1496" s="14">
        <v>2016</v>
      </c>
      <c r="B1496" s="14">
        <v>193</v>
      </c>
      <c r="C1496" s="15">
        <v>42562</v>
      </c>
      <c r="D1496" s="16">
        <v>0.4201388888888889</v>
      </c>
      <c r="E1496" s="14">
        <v>190</v>
      </c>
      <c r="F1496" s="14">
        <v>15</v>
      </c>
      <c r="G1496" s="17">
        <v>0.35560794439180987</v>
      </c>
      <c r="H1496" s="1" t="s">
        <v>1</v>
      </c>
      <c r="I1496" s="14"/>
    </row>
    <row r="1497" spans="1:9" x14ac:dyDescent="0.25">
      <c r="A1497" s="14">
        <v>2016</v>
      </c>
      <c r="B1497" s="14">
        <v>193</v>
      </c>
      <c r="C1497" s="15">
        <v>42562</v>
      </c>
      <c r="D1497" s="16">
        <v>0.42499999999999999</v>
      </c>
      <c r="E1497" s="14">
        <v>190</v>
      </c>
      <c r="F1497" s="14">
        <v>16</v>
      </c>
      <c r="G1497" s="17">
        <v>0.34063974000468145</v>
      </c>
      <c r="H1497" s="1" t="s">
        <v>1</v>
      </c>
      <c r="I1497" s="14"/>
    </row>
    <row r="1498" spans="1:9" x14ac:dyDescent="0.25">
      <c r="A1498" s="14">
        <v>2016</v>
      </c>
      <c r="B1498" s="14">
        <v>193</v>
      </c>
      <c r="C1498" s="15">
        <v>42562</v>
      </c>
      <c r="D1498" s="16">
        <v>0.41111111111111115</v>
      </c>
      <c r="E1498" s="14">
        <v>190</v>
      </c>
      <c r="F1498" s="14">
        <v>17</v>
      </c>
      <c r="G1498" s="17">
        <v>0.32269346634417118</v>
      </c>
      <c r="H1498" s="1" t="s">
        <v>144</v>
      </c>
      <c r="I1498" s="14"/>
    </row>
    <row r="1499" spans="1:9" x14ac:dyDescent="0.25">
      <c r="A1499" s="14">
        <v>2016</v>
      </c>
      <c r="B1499" s="14">
        <v>193</v>
      </c>
      <c r="C1499" s="15">
        <v>42562</v>
      </c>
      <c r="D1499" s="16">
        <v>0.40416666666666662</v>
      </c>
      <c r="E1499" s="14">
        <v>190</v>
      </c>
      <c r="F1499" s="14">
        <v>18</v>
      </c>
      <c r="G1499" s="17">
        <v>0.31115101484668461</v>
      </c>
      <c r="H1499" s="1" t="s">
        <v>144</v>
      </c>
      <c r="I1499" s="14"/>
    </row>
    <row r="1500" spans="1:9" x14ac:dyDescent="0.25">
      <c r="A1500" s="14">
        <v>2016</v>
      </c>
      <c r="B1500" s="14">
        <v>193</v>
      </c>
      <c r="C1500" s="15">
        <v>42562</v>
      </c>
      <c r="D1500" s="16">
        <v>0.39652777777777781</v>
      </c>
      <c r="E1500" s="14">
        <v>190</v>
      </c>
      <c r="F1500" s="14">
        <v>19</v>
      </c>
      <c r="G1500" s="17">
        <v>0.30719972032056359</v>
      </c>
      <c r="H1500" s="1" t="s">
        <v>144</v>
      </c>
      <c r="I1500" s="14"/>
    </row>
    <row r="1501" spans="1:9" x14ac:dyDescent="0.25">
      <c r="A1501" s="14">
        <v>2016</v>
      </c>
      <c r="B1501" s="14">
        <v>193</v>
      </c>
      <c r="C1501" s="15">
        <v>42562</v>
      </c>
      <c r="D1501" s="16">
        <v>0.39027777777777778</v>
      </c>
      <c r="E1501" s="14">
        <v>190</v>
      </c>
      <c r="F1501" s="14">
        <v>20</v>
      </c>
      <c r="G1501" s="17">
        <v>0.30786151349242619</v>
      </c>
      <c r="H1501" s="1" t="s">
        <v>144</v>
      </c>
      <c r="I1501" s="14"/>
    </row>
    <row r="1502" spans="1:9" x14ac:dyDescent="0.25">
      <c r="A1502" s="14">
        <v>2016</v>
      </c>
      <c r="B1502" s="14">
        <v>193</v>
      </c>
      <c r="C1502" s="15">
        <v>42562</v>
      </c>
      <c r="D1502" s="16">
        <v>0.28125</v>
      </c>
      <c r="E1502" s="14">
        <v>170</v>
      </c>
      <c r="F1502" s="14">
        <v>1</v>
      </c>
      <c r="G1502" s="17">
        <v>0.28290801801219395</v>
      </c>
      <c r="H1502" s="1" t="s">
        <v>143</v>
      </c>
      <c r="I1502" s="14"/>
    </row>
    <row r="1503" spans="1:9" x14ac:dyDescent="0.25">
      <c r="A1503" s="14">
        <v>2016</v>
      </c>
      <c r="B1503" s="14">
        <v>193</v>
      </c>
      <c r="C1503" s="15">
        <v>42562</v>
      </c>
      <c r="D1503" s="16">
        <v>0.28958333333333336</v>
      </c>
      <c r="E1503" s="14">
        <v>170</v>
      </c>
      <c r="F1503" s="14">
        <v>2</v>
      </c>
      <c r="G1503" s="17">
        <v>0.27656258936433453</v>
      </c>
      <c r="H1503" s="1" t="s">
        <v>143</v>
      </c>
      <c r="I1503" s="14"/>
    </row>
    <row r="1504" spans="1:9" x14ac:dyDescent="0.25">
      <c r="A1504" s="14">
        <v>2016</v>
      </c>
      <c r="B1504" s="14">
        <v>193</v>
      </c>
      <c r="C1504" s="15">
        <v>42562</v>
      </c>
      <c r="D1504" s="16">
        <v>0.29236111111111113</v>
      </c>
      <c r="E1504" s="14">
        <v>170</v>
      </c>
      <c r="F1504" s="14">
        <v>3</v>
      </c>
      <c r="G1504" s="17">
        <v>0.29365242480243436</v>
      </c>
      <c r="H1504" s="1" t="s">
        <v>143</v>
      </c>
      <c r="I1504" s="14"/>
    </row>
    <row r="1505" spans="1:9" x14ac:dyDescent="0.25">
      <c r="A1505" s="14">
        <v>2016</v>
      </c>
      <c r="B1505" s="14">
        <v>193</v>
      </c>
      <c r="C1505" s="15">
        <v>42562</v>
      </c>
      <c r="D1505" s="16">
        <v>0.29930555555555555</v>
      </c>
      <c r="E1505" s="14">
        <v>170</v>
      </c>
      <c r="F1505" s="14">
        <v>4</v>
      </c>
      <c r="G1505" s="17">
        <v>0.30149662033951202</v>
      </c>
      <c r="H1505" s="1" t="s">
        <v>143</v>
      </c>
      <c r="I1505" s="14"/>
    </row>
    <row r="1506" spans="1:9" x14ac:dyDescent="0.25">
      <c r="A1506" s="14">
        <v>2016</v>
      </c>
      <c r="B1506" s="14">
        <v>193</v>
      </c>
      <c r="C1506" s="15">
        <v>42562</v>
      </c>
      <c r="D1506" s="16">
        <v>0.31458333333333333</v>
      </c>
      <c r="E1506" s="14">
        <v>170</v>
      </c>
      <c r="F1506" s="14">
        <v>5</v>
      </c>
      <c r="G1506" s="17">
        <v>0.33629915537746474</v>
      </c>
      <c r="H1506" s="1" t="s">
        <v>0</v>
      </c>
      <c r="I1506" s="14"/>
    </row>
    <row r="1507" spans="1:9" x14ac:dyDescent="0.25">
      <c r="A1507" s="14">
        <v>2016</v>
      </c>
      <c r="B1507" s="14">
        <v>193</v>
      </c>
      <c r="C1507" s="15">
        <v>42562</v>
      </c>
      <c r="D1507" s="16">
        <v>0.32013888888888892</v>
      </c>
      <c r="E1507" s="14">
        <v>170</v>
      </c>
      <c r="F1507" s="14">
        <v>6</v>
      </c>
      <c r="G1507" s="17">
        <v>0.35255201709820888</v>
      </c>
      <c r="H1507" s="1" t="s">
        <v>0</v>
      </c>
      <c r="I1507" s="14"/>
    </row>
    <row r="1508" spans="1:9" x14ac:dyDescent="0.25">
      <c r="A1508" s="14">
        <v>2016</v>
      </c>
      <c r="B1508" s="14">
        <v>193</v>
      </c>
      <c r="C1508" s="15">
        <v>42562</v>
      </c>
      <c r="D1508" s="16">
        <v>0.32708333333333334</v>
      </c>
      <c r="E1508" s="14">
        <v>170</v>
      </c>
      <c r="F1508" s="14">
        <v>7</v>
      </c>
      <c r="G1508" s="17">
        <v>0.30126304627885464</v>
      </c>
      <c r="H1508" s="1" t="s">
        <v>143</v>
      </c>
      <c r="I1508" s="14"/>
    </row>
    <row r="1509" spans="1:9" x14ac:dyDescent="0.25">
      <c r="A1509" s="14">
        <v>2016</v>
      </c>
      <c r="B1509" s="14">
        <v>193</v>
      </c>
      <c r="C1509" s="15">
        <v>42562</v>
      </c>
      <c r="D1509" s="16">
        <v>0.3347222222222222</v>
      </c>
      <c r="E1509" s="14">
        <v>170</v>
      </c>
      <c r="F1509" s="14">
        <v>8</v>
      </c>
      <c r="G1509" s="17">
        <v>0.31292228480666989</v>
      </c>
      <c r="H1509" s="1" t="s">
        <v>143</v>
      </c>
      <c r="I1509" s="14"/>
    </row>
    <row r="1510" spans="1:9" x14ac:dyDescent="0.25">
      <c r="A1510" s="14">
        <v>2016</v>
      </c>
      <c r="B1510" s="14">
        <v>193</v>
      </c>
      <c r="C1510" s="15">
        <v>42562</v>
      </c>
      <c r="D1510" s="16">
        <v>0.3444444444444445</v>
      </c>
      <c r="E1510" s="14">
        <v>170</v>
      </c>
      <c r="F1510" s="14">
        <v>9</v>
      </c>
      <c r="G1510" s="17">
        <v>0.3033262838146617</v>
      </c>
      <c r="H1510" s="1" t="s">
        <v>143</v>
      </c>
      <c r="I1510" s="14"/>
    </row>
    <row r="1511" spans="1:9" x14ac:dyDescent="0.25">
      <c r="A1511" s="14">
        <v>2016</v>
      </c>
      <c r="B1511" s="14">
        <v>193</v>
      </c>
      <c r="C1511" s="15">
        <v>42562</v>
      </c>
      <c r="D1511" s="16">
        <v>0.35486111111111113</v>
      </c>
      <c r="E1511" s="14">
        <v>170</v>
      </c>
      <c r="F1511" s="14">
        <v>10</v>
      </c>
      <c r="G1511" s="17">
        <v>0.31405122609984731</v>
      </c>
      <c r="H1511" s="1" t="s">
        <v>143</v>
      </c>
      <c r="I1511" s="14"/>
    </row>
    <row r="1512" spans="1:9" x14ac:dyDescent="0.25">
      <c r="A1512" s="14">
        <v>2016</v>
      </c>
      <c r="B1512" s="14">
        <v>193</v>
      </c>
      <c r="C1512" s="15">
        <v>42562</v>
      </c>
      <c r="D1512" s="16">
        <v>0.43958333333333338</v>
      </c>
      <c r="E1512" s="14">
        <v>170</v>
      </c>
      <c r="F1512" s="14">
        <v>11</v>
      </c>
      <c r="G1512" s="17">
        <v>0.32475670387997818</v>
      </c>
      <c r="H1512" s="1" t="s">
        <v>144</v>
      </c>
      <c r="I1512" s="14"/>
    </row>
    <row r="1513" spans="1:9" x14ac:dyDescent="0.25">
      <c r="A1513" s="14">
        <v>2016</v>
      </c>
      <c r="B1513" s="14">
        <v>193</v>
      </c>
      <c r="C1513" s="15">
        <v>42562</v>
      </c>
      <c r="D1513" s="16">
        <v>0.4465277777777778</v>
      </c>
      <c r="E1513" s="14">
        <v>170</v>
      </c>
      <c r="F1513" s="14">
        <v>12</v>
      </c>
      <c r="G1513" s="17">
        <v>0.33826507038799786</v>
      </c>
      <c r="H1513" s="1" t="s">
        <v>144</v>
      </c>
      <c r="I1513" s="14"/>
    </row>
    <row r="1514" spans="1:9" x14ac:dyDescent="0.25">
      <c r="A1514" s="14">
        <v>2016</v>
      </c>
      <c r="B1514" s="14">
        <v>193</v>
      </c>
      <c r="C1514" s="15">
        <v>42562</v>
      </c>
      <c r="D1514" s="16">
        <v>0.45347222222222222</v>
      </c>
      <c r="E1514" s="14">
        <v>170</v>
      </c>
      <c r="F1514" s="14">
        <v>13</v>
      </c>
      <c r="G1514" s="17">
        <v>0.30208055549115553</v>
      </c>
      <c r="H1514" s="1" t="s">
        <v>144</v>
      </c>
      <c r="I1514" s="14"/>
    </row>
    <row r="1515" spans="1:9" x14ac:dyDescent="0.25">
      <c r="A1515" s="14">
        <v>2016</v>
      </c>
      <c r="B1515" s="14">
        <v>193</v>
      </c>
      <c r="C1515" s="15">
        <v>42562</v>
      </c>
      <c r="D1515" s="16">
        <v>0.43263888888888885</v>
      </c>
      <c r="E1515" s="14">
        <v>170</v>
      </c>
      <c r="F1515" s="14">
        <v>14</v>
      </c>
      <c r="G1515" s="17">
        <v>0.3216229185661581</v>
      </c>
      <c r="H1515" s="1" t="s">
        <v>144</v>
      </c>
      <c r="I1515" s="14"/>
    </row>
    <row r="1516" spans="1:9" x14ac:dyDescent="0.25">
      <c r="A1516" s="14">
        <v>2016</v>
      </c>
      <c r="B1516" s="14">
        <v>193</v>
      </c>
      <c r="C1516" s="15">
        <v>42562</v>
      </c>
      <c r="D1516" s="16">
        <v>0.4201388888888889</v>
      </c>
      <c r="E1516" s="14">
        <v>170</v>
      </c>
      <c r="F1516" s="14">
        <v>15</v>
      </c>
      <c r="G1516" s="17">
        <v>0.33822614137788826</v>
      </c>
      <c r="H1516" s="1" t="s">
        <v>1</v>
      </c>
      <c r="I1516" s="14"/>
    </row>
    <row r="1517" spans="1:9" x14ac:dyDescent="0.25">
      <c r="A1517" s="14">
        <v>2016</v>
      </c>
      <c r="B1517" s="14">
        <v>193</v>
      </c>
      <c r="C1517" s="15">
        <v>42562</v>
      </c>
      <c r="D1517" s="16">
        <v>0.42499999999999999</v>
      </c>
      <c r="E1517" s="14">
        <v>170</v>
      </c>
      <c r="F1517" s="14">
        <v>16</v>
      </c>
      <c r="G1517" s="17">
        <v>0.33341840862935684</v>
      </c>
      <c r="H1517" s="1" t="s">
        <v>1</v>
      </c>
      <c r="I1517" s="14"/>
    </row>
    <row r="1518" spans="1:9" x14ac:dyDescent="0.25">
      <c r="A1518" s="14">
        <v>2016</v>
      </c>
      <c r="B1518" s="14">
        <v>193</v>
      </c>
      <c r="C1518" s="15">
        <v>42562</v>
      </c>
      <c r="D1518" s="16">
        <v>0.41111111111111115</v>
      </c>
      <c r="E1518" s="14">
        <v>170</v>
      </c>
      <c r="F1518" s="14">
        <v>17</v>
      </c>
      <c r="G1518" s="17">
        <v>0.32074701583869281</v>
      </c>
      <c r="H1518" s="1" t="s">
        <v>144</v>
      </c>
      <c r="I1518" s="14"/>
    </row>
    <row r="1519" spans="1:9" x14ac:dyDescent="0.25">
      <c r="A1519" s="14">
        <v>2016</v>
      </c>
      <c r="B1519" s="14">
        <v>193</v>
      </c>
      <c r="C1519" s="15">
        <v>42562</v>
      </c>
      <c r="D1519" s="16">
        <v>0.40416666666666662</v>
      </c>
      <c r="E1519" s="14">
        <v>170</v>
      </c>
      <c r="F1519" s="14">
        <v>18</v>
      </c>
      <c r="G1519" s="17">
        <v>0.32989533321444103</v>
      </c>
      <c r="H1519" s="1" t="s">
        <v>144</v>
      </c>
      <c r="I1519" s="14"/>
    </row>
    <row r="1520" spans="1:9" x14ac:dyDescent="0.25">
      <c r="A1520" s="14">
        <v>2016</v>
      </c>
      <c r="B1520" s="14">
        <v>193</v>
      </c>
      <c r="C1520" s="15">
        <v>42562</v>
      </c>
      <c r="D1520" s="16">
        <v>0.39652777777777781</v>
      </c>
      <c r="E1520" s="14">
        <v>170</v>
      </c>
      <c r="F1520" s="14">
        <v>19</v>
      </c>
      <c r="G1520" s="17">
        <v>0.3099247510282333</v>
      </c>
      <c r="H1520" s="1" t="s">
        <v>144</v>
      </c>
      <c r="I1520" s="14"/>
    </row>
    <row r="1521" spans="1:9" x14ac:dyDescent="0.25">
      <c r="A1521" s="14">
        <v>2016</v>
      </c>
      <c r="B1521" s="14">
        <v>193</v>
      </c>
      <c r="C1521" s="15">
        <v>42562</v>
      </c>
      <c r="D1521" s="16">
        <v>0.39027777777777778</v>
      </c>
      <c r="E1521" s="14">
        <v>170</v>
      </c>
      <c r="F1521" s="14">
        <v>20</v>
      </c>
      <c r="G1521" s="17">
        <v>0.32154506054593895</v>
      </c>
      <c r="H1521" s="1" t="s">
        <v>144</v>
      </c>
      <c r="I1521" s="14"/>
    </row>
    <row r="1522" spans="1:9" x14ac:dyDescent="0.25">
      <c r="A1522" s="14">
        <v>2016</v>
      </c>
      <c r="B1522" s="14">
        <v>193</v>
      </c>
      <c r="C1522" s="15">
        <v>42562</v>
      </c>
      <c r="D1522" s="16">
        <v>0.28125</v>
      </c>
      <c r="E1522" s="14">
        <v>150</v>
      </c>
      <c r="F1522" s="14">
        <v>1</v>
      </c>
      <c r="G1522" s="17">
        <v>0.34211904238884494</v>
      </c>
      <c r="H1522" s="1" t="s">
        <v>143</v>
      </c>
      <c r="I1522" s="14"/>
    </row>
    <row r="1523" spans="1:9" x14ac:dyDescent="0.25">
      <c r="A1523" s="14">
        <v>2016</v>
      </c>
      <c r="B1523" s="14">
        <v>193</v>
      </c>
      <c r="C1523" s="15">
        <v>42562</v>
      </c>
      <c r="D1523" s="16">
        <v>0.28958333333333336</v>
      </c>
      <c r="E1523" s="14">
        <v>150</v>
      </c>
      <c r="F1523" s="14">
        <v>2</v>
      </c>
      <c r="G1523" s="17">
        <v>0.33166660317442626</v>
      </c>
      <c r="H1523" s="1" t="s">
        <v>143</v>
      </c>
      <c r="I1523" s="14"/>
    </row>
    <row r="1524" spans="1:9" x14ac:dyDescent="0.25">
      <c r="A1524" s="14">
        <v>2016</v>
      </c>
      <c r="B1524" s="14">
        <v>193</v>
      </c>
      <c r="C1524" s="15">
        <v>42562</v>
      </c>
      <c r="D1524" s="16">
        <v>0.29236111111111113</v>
      </c>
      <c r="E1524" s="14">
        <v>150</v>
      </c>
      <c r="F1524" s="14">
        <v>3</v>
      </c>
      <c r="G1524" s="17">
        <v>0.32569100012260782</v>
      </c>
      <c r="H1524" s="1" t="s">
        <v>143</v>
      </c>
      <c r="I1524" s="14"/>
    </row>
    <row r="1525" spans="1:9" x14ac:dyDescent="0.25">
      <c r="A1525" s="14">
        <v>2016</v>
      </c>
      <c r="B1525" s="14">
        <v>193</v>
      </c>
      <c r="C1525" s="15">
        <v>42562</v>
      </c>
      <c r="D1525" s="16">
        <v>0.29930555555555555</v>
      </c>
      <c r="E1525" s="14">
        <v>150</v>
      </c>
      <c r="F1525" s="14">
        <v>4</v>
      </c>
      <c r="G1525" s="17">
        <v>0.30601238551222176</v>
      </c>
      <c r="H1525" s="1" t="s">
        <v>143</v>
      </c>
      <c r="I1525" s="14"/>
    </row>
    <row r="1526" spans="1:9" x14ac:dyDescent="0.25">
      <c r="A1526" s="14">
        <v>2016</v>
      </c>
      <c r="B1526" s="14">
        <v>193</v>
      </c>
      <c r="C1526" s="15">
        <v>42562</v>
      </c>
      <c r="D1526" s="16">
        <v>0.31458333333333333</v>
      </c>
      <c r="E1526" s="14">
        <v>150</v>
      </c>
      <c r="F1526" s="14">
        <v>5</v>
      </c>
      <c r="G1526" s="17">
        <v>0.36870755629367907</v>
      </c>
      <c r="H1526" s="1" t="s">
        <v>0</v>
      </c>
      <c r="I1526" s="14"/>
    </row>
    <row r="1527" spans="1:9" x14ac:dyDescent="0.25">
      <c r="A1527" s="14">
        <v>2016</v>
      </c>
      <c r="B1527" s="14">
        <v>193</v>
      </c>
      <c r="C1527" s="15">
        <v>42562</v>
      </c>
      <c r="D1527" s="16">
        <v>0.32013888888888892</v>
      </c>
      <c r="E1527" s="14">
        <v>150</v>
      </c>
      <c r="F1527" s="14">
        <v>6</v>
      </c>
      <c r="G1527" s="17">
        <v>0.34568104681387035</v>
      </c>
      <c r="H1527" s="1" t="s">
        <v>0</v>
      </c>
      <c r="I1527" s="14"/>
    </row>
    <row r="1528" spans="1:9" x14ac:dyDescent="0.25">
      <c r="A1528" s="14">
        <v>2016</v>
      </c>
      <c r="B1528" s="14">
        <v>193</v>
      </c>
      <c r="C1528" s="15">
        <v>42562</v>
      </c>
      <c r="D1528" s="16">
        <v>0.32708333333333334</v>
      </c>
      <c r="E1528" s="14">
        <v>150</v>
      </c>
      <c r="F1528" s="14">
        <v>7</v>
      </c>
      <c r="G1528" s="17">
        <v>0.33071284242674193</v>
      </c>
      <c r="H1528" s="1" t="s">
        <v>143</v>
      </c>
      <c r="I1528" s="14"/>
    </row>
    <row r="1529" spans="1:9" x14ac:dyDescent="0.25">
      <c r="A1529" s="14">
        <v>2016</v>
      </c>
      <c r="B1529" s="14">
        <v>193</v>
      </c>
      <c r="C1529" s="15">
        <v>42562</v>
      </c>
      <c r="D1529" s="16">
        <v>0.3347222222222222</v>
      </c>
      <c r="E1529" s="14">
        <v>150</v>
      </c>
      <c r="F1529" s="14">
        <v>8</v>
      </c>
      <c r="G1529" s="17">
        <v>0.33789524479195698</v>
      </c>
      <c r="H1529" s="1" t="s">
        <v>143</v>
      </c>
      <c r="I1529" s="14"/>
    </row>
    <row r="1530" spans="1:9" x14ac:dyDescent="0.25">
      <c r="A1530" s="14">
        <v>2016</v>
      </c>
      <c r="B1530" s="14">
        <v>193</v>
      </c>
      <c r="C1530" s="15">
        <v>42562</v>
      </c>
      <c r="D1530" s="16">
        <v>0.3444444444444445</v>
      </c>
      <c r="E1530" s="14">
        <v>150</v>
      </c>
      <c r="F1530" s="14">
        <v>9</v>
      </c>
      <c r="G1530" s="17">
        <v>0.3347030659629725</v>
      </c>
      <c r="H1530" s="1" t="s">
        <v>143</v>
      </c>
      <c r="I1530" s="14"/>
    </row>
    <row r="1531" spans="1:9" x14ac:dyDescent="0.25">
      <c r="A1531" s="14">
        <v>2016</v>
      </c>
      <c r="B1531" s="14">
        <v>193</v>
      </c>
      <c r="C1531" s="15">
        <v>42562</v>
      </c>
      <c r="D1531" s="16">
        <v>0.35486111111111113</v>
      </c>
      <c r="E1531" s="14">
        <v>150</v>
      </c>
      <c r="F1531" s="14">
        <v>10</v>
      </c>
      <c r="G1531" s="17">
        <v>0.34852286455186871</v>
      </c>
      <c r="H1531" s="1" t="s">
        <v>143</v>
      </c>
      <c r="I1531" s="14"/>
    </row>
    <row r="1532" spans="1:9" x14ac:dyDescent="0.25">
      <c r="A1532" s="14">
        <v>2016</v>
      </c>
      <c r="B1532" s="14">
        <v>193</v>
      </c>
      <c r="C1532" s="15">
        <v>42562</v>
      </c>
      <c r="D1532" s="16">
        <v>0.43958333333333338</v>
      </c>
      <c r="E1532" s="14">
        <v>150</v>
      </c>
      <c r="F1532" s="14">
        <v>11</v>
      </c>
      <c r="G1532" s="17">
        <v>0.33779792226668309</v>
      </c>
      <c r="H1532" s="1" t="s">
        <v>144</v>
      </c>
      <c r="I1532" s="14"/>
    </row>
    <row r="1533" spans="1:9" x14ac:dyDescent="0.25">
      <c r="A1533" s="14">
        <v>2016</v>
      </c>
      <c r="B1533" s="14">
        <v>193</v>
      </c>
      <c r="C1533" s="15">
        <v>42562</v>
      </c>
      <c r="D1533" s="16">
        <v>0.4465277777777778</v>
      </c>
      <c r="E1533" s="14">
        <v>150</v>
      </c>
      <c r="F1533" s="14">
        <v>12</v>
      </c>
      <c r="G1533" s="17">
        <v>0.33900472158007966</v>
      </c>
      <c r="H1533" s="1" t="s">
        <v>144</v>
      </c>
      <c r="I1533" s="14"/>
    </row>
    <row r="1534" spans="1:9" x14ac:dyDescent="0.25">
      <c r="A1534" s="14">
        <v>2016</v>
      </c>
      <c r="B1534" s="14">
        <v>193</v>
      </c>
      <c r="C1534" s="15">
        <v>42562</v>
      </c>
      <c r="D1534" s="16">
        <v>0.45347222222222222</v>
      </c>
      <c r="E1534" s="14">
        <v>150</v>
      </c>
      <c r="F1534" s="14">
        <v>13</v>
      </c>
      <c r="G1534" s="17">
        <v>0.30618756605771486</v>
      </c>
      <c r="H1534" s="1" t="s">
        <v>144</v>
      </c>
      <c r="I1534" s="14"/>
    </row>
    <row r="1535" spans="1:9" x14ac:dyDescent="0.25">
      <c r="A1535" s="14">
        <v>2016</v>
      </c>
      <c r="B1535" s="14">
        <v>193</v>
      </c>
      <c r="C1535" s="15">
        <v>42562</v>
      </c>
      <c r="D1535" s="16">
        <v>0.43263888888888885</v>
      </c>
      <c r="E1535" s="14">
        <v>150</v>
      </c>
      <c r="F1535" s="14">
        <v>14</v>
      </c>
      <c r="G1535" s="17">
        <v>0.30937974488669934</v>
      </c>
      <c r="H1535" s="1" t="s">
        <v>144</v>
      </c>
      <c r="I1535" s="14"/>
    </row>
    <row r="1536" spans="1:9" x14ac:dyDescent="0.25">
      <c r="A1536" s="14">
        <v>2016</v>
      </c>
      <c r="B1536" s="14">
        <v>193</v>
      </c>
      <c r="C1536" s="15">
        <v>42562</v>
      </c>
      <c r="D1536" s="16">
        <v>0.4201388888888889</v>
      </c>
      <c r="E1536" s="14">
        <v>150</v>
      </c>
      <c r="F1536" s="14">
        <v>15</v>
      </c>
      <c r="G1536" s="17">
        <v>0.34595354988463733</v>
      </c>
      <c r="H1536" s="1" t="s">
        <v>1</v>
      </c>
      <c r="I1536" s="14"/>
    </row>
    <row r="1537" spans="1:9" x14ac:dyDescent="0.25">
      <c r="A1537" s="14">
        <v>2016</v>
      </c>
      <c r="B1537" s="14">
        <v>193</v>
      </c>
      <c r="C1537" s="15">
        <v>42562</v>
      </c>
      <c r="D1537" s="16">
        <v>0.42499999999999999</v>
      </c>
      <c r="E1537" s="14">
        <v>150</v>
      </c>
      <c r="F1537" s="14">
        <v>16</v>
      </c>
      <c r="G1537" s="17">
        <v>0.33168606767948106</v>
      </c>
      <c r="H1537" s="1" t="s">
        <v>1</v>
      </c>
      <c r="I1537" s="14"/>
    </row>
    <row r="1538" spans="1:9" x14ac:dyDescent="0.25">
      <c r="A1538" s="14">
        <v>2016</v>
      </c>
      <c r="B1538" s="14">
        <v>193</v>
      </c>
      <c r="C1538" s="15">
        <v>42562</v>
      </c>
      <c r="D1538" s="16">
        <v>0.41111111111111115</v>
      </c>
      <c r="E1538" s="14">
        <v>150</v>
      </c>
      <c r="F1538" s="14">
        <v>17</v>
      </c>
      <c r="G1538" s="17">
        <v>0.32372508511207465</v>
      </c>
      <c r="H1538" s="1" t="s">
        <v>144</v>
      </c>
      <c r="I1538" s="14"/>
    </row>
    <row r="1539" spans="1:9" x14ac:dyDescent="0.25">
      <c r="A1539" s="14">
        <v>2016</v>
      </c>
      <c r="B1539" s="14">
        <v>193</v>
      </c>
      <c r="C1539" s="15">
        <v>42562</v>
      </c>
      <c r="D1539" s="16">
        <v>0.40416666666666662</v>
      </c>
      <c r="E1539" s="14">
        <v>150</v>
      </c>
      <c r="F1539" s="14">
        <v>18</v>
      </c>
      <c r="G1539" s="17">
        <v>0.33182231921486455</v>
      </c>
      <c r="H1539" s="1" t="s">
        <v>144</v>
      </c>
      <c r="I1539" s="14"/>
    </row>
    <row r="1540" spans="1:9" x14ac:dyDescent="0.25">
      <c r="A1540" s="14">
        <v>2016</v>
      </c>
      <c r="B1540" s="14">
        <v>193</v>
      </c>
      <c r="C1540" s="15">
        <v>42562</v>
      </c>
      <c r="D1540" s="16">
        <v>0.39652777777777781</v>
      </c>
      <c r="E1540" s="14">
        <v>150</v>
      </c>
      <c r="F1540" s="14">
        <v>19</v>
      </c>
      <c r="G1540" s="17">
        <v>0.33380769873045246</v>
      </c>
      <c r="H1540" s="1" t="s">
        <v>144</v>
      </c>
      <c r="I1540" s="14"/>
    </row>
    <row r="1541" spans="1:9" x14ac:dyDescent="0.25">
      <c r="A1541" s="14">
        <v>2016</v>
      </c>
      <c r="B1541" s="14">
        <v>193</v>
      </c>
      <c r="C1541" s="15">
        <v>42562</v>
      </c>
      <c r="D1541" s="16">
        <v>0.39027777777777778</v>
      </c>
      <c r="E1541" s="14">
        <v>150</v>
      </c>
      <c r="F1541" s="14">
        <v>20</v>
      </c>
      <c r="G1541" s="17">
        <v>0.34114581713610581</v>
      </c>
      <c r="H1541" s="1" t="s">
        <v>144</v>
      </c>
      <c r="I1541" s="14"/>
    </row>
    <row r="1542" spans="1:9" x14ac:dyDescent="0.25">
      <c r="A1542" s="14">
        <v>2016</v>
      </c>
      <c r="B1542" s="14">
        <v>193</v>
      </c>
      <c r="C1542" s="15">
        <v>42562</v>
      </c>
      <c r="D1542" s="16">
        <v>0.28125</v>
      </c>
      <c r="E1542" s="14">
        <v>130</v>
      </c>
      <c r="F1542" s="14">
        <v>1</v>
      </c>
      <c r="G1542" s="17">
        <v>0.31679572131257183</v>
      </c>
      <c r="H1542" s="1" t="s">
        <v>143</v>
      </c>
      <c r="I1542" s="14"/>
    </row>
    <row r="1543" spans="1:9" x14ac:dyDescent="0.25">
      <c r="A1543" s="14">
        <v>2016</v>
      </c>
      <c r="B1543" s="14">
        <v>193</v>
      </c>
      <c r="C1543" s="15">
        <v>42562</v>
      </c>
      <c r="D1543" s="16">
        <v>0.28958333333333336</v>
      </c>
      <c r="E1543" s="14">
        <v>130</v>
      </c>
      <c r="F1543" s="14">
        <v>2</v>
      </c>
      <c r="G1543" s="17">
        <v>0.31619232165587352</v>
      </c>
      <c r="H1543" s="1" t="s">
        <v>143</v>
      </c>
      <c r="I1543" s="14"/>
    </row>
    <row r="1544" spans="1:9" x14ac:dyDescent="0.25">
      <c r="A1544" s="14">
        <v>2016</v>
      </c>
      <c r="B1544" s="14">
        <v>193</v>
      </c>
      <c r="C1544" s="15">
        <v>42562</v>
      </c>
      <c r="D1544" s="16">
        <v>0.29236111111111113</v>
      </c>
      <c r="E1544" s="14">
        <v>130</v>
      </c>
      <c r="F1544" s="14">
        <v>3</v>
      </c>
      <c r="G1544" s="17">
        <v>0.30791990700759059</v>
      </c>
      <c r="H1544" s="1" t="s">
        <v>143</v>
      </c>
      <c r="I1544" s="14"/>
    </row>
    <row r="1545" spans="1:9" x14ac:dyDescent="0.25">
      <c r="A1545" s="14">
        <v>2016</v>
      </c>
      <c r="B1545" s="14">
        <v>193</v>
      </c>
      <c r="C1545" s="15">
        <v>42562</v>
      </c>
      <c r="D1545" s="16">
        <v>0.29930555555555555</v>
      </c>
      <c r="E1545" s="14">
        <v>130</v>
      </c>
      <c r="F1545" s="14">
        <v>4</v>
      </c>
      <c r="G1545" s="17">
        <v>0.31066440222031499</v>
      </c>
      <c r="H1545" s="1" t="s">
        <v>143</v>
      </c>
      <c r="I1545" s="14"/>
    </row>
    <row r="1546" spans="1:9" x14ac:dyDescent="0.25">
      <c r="A1546" s="14">
        <v>2016</v>
      </c>
      <c r="B1546" s="14">
        <v>193</v>
      </c>
      <c r="C1546" s="15">
        <v>42562</v>
      </c>
      <c r="D1546" s="16">
        <v>0.31458333333333333</v>
      </c>
      <c r="E1546" s="14">
        <v>130</v>
      </c>
      <c r="F1546" s="14">
        <v>5</v>
      </c>
      <c r="G1546" s="17">
        <v>0.3150633803626961</v>
      </c>
      <c r="H1546" s="1" t="s">
        <v>0</v>
      </c>
      <c r="I1546" s="14"/>
    </row>
    <row r="1547" spans="1:9" x14ac:dyDescent="0.25">
      <c r="A1547" s="14">
        <v>2016</v>
      </c>
      <c r="B1547" s="14">
        <v>193</v>
      </c>
      <c r="C1547" s="15">
        <v>42562</v>
      </c>
      <c r="D1547" s="16">
        <v>0.32013888888888892</v>
      </c>
      <c r="E1547" s="14">
        <v>130</v>
      </c>
      <c r="F1547" s="14">
        <v>6</v>
      </c>
      <c r="G1547" s="17">
        <v>0.30914617082604195</v>
      </c>
      <c r="H1547" s="1" t="s">
        <v>0</v>
      </c>
      <c r="I1547" s="14"/>
    </row>
    <row r="1548" spans="1:9" x14ac:dyDescent="0.25">
      <c r="A1548" s="14">
        <v>2016</v>
      </c>
      <c r="B1548" s="14">
        <v>193</v>
      </c>
      <c r="C1548" s="15">
        <v>42562</v>
      </c>
      <c r="D1548" s="16">
        <v>0.32708333333333334</v>
      </c>
      <c r="E1548" s="14">
        <v>130</v>
      </c>
      <c r="F1548" s="14">
        <v>7</v>
      </c>
      <c r="G1548" s="17">
        <v>0.3114235179174516</v>
      </c>
      <c r="H1548" s="1" t="s">
        <v>143</v>
      </c>
      <c r="I1548" s="14"/>
    </row>
    <row r="1549" spans="1:9" x14ac:dyDescent="0.25">
      <c r="A1549" s="14">
        <v>2016</v>
      </c>
      <c r="B1549" s="14">
        <v>193</v>
      </c>
      <c r="C1549" s="15">
        <v>42562</v>
      </c>
      <c r="D1549" s="16">
        <v>0.3347222222222222</v>
      </c>
      <c r="E1549" s="14">
        <v>130</v>
      </c>
      <c r="F1549" s="14">
        <v>8</v>
      </c>
      <c r="G1549" s="17">
        <v>0.34589515636947293</v>
      </c>
      <c r="H1549" s="1" t="s">
        <v>143</v>
      </c>
      <c r="I1549" s="14"/>
    </row>
    <row r="1550" spans="1:9" x14ac:dyDescent="0.25">
      <c r="A1550" s="14">
        <v>2016</v>
      </c>
      <c r="B1550" s="14">
        <v>193</v>
      </c>
      <c r="C1550" s="15">
        <v>42562</v>
      </c>
      <c r="D1550" s="16">
        <v>0.3444444444444445</v>
      </c>
      <c r="E1550" s="14">
        <v>130</v>
      </c>
      <c r="F1550" s="14">
        <v>9</v>
      </c>
      <c r="G1550" s="17">
        <v>0.30897099028054886</v>
      </c>
      <c r="H1550" s="1" t="s">
        <v>143</v>
      </c>
      <c r="I1550" s="14"/>
    </row>
    <row r="1551" spans="1:9" x14ac:dyDescent="0.25">
      <c r="A1551" s="14">
        <v>2016</v>
      </c>
      <c r="B1551" s="14">
        <v>193</v>
      </c>
      <c r="C1551" s="15">
        <v>42562</v>
      </c>
      <c r="D1551" s="16">
        <v>0.35486111111111113</v>
      </c>
      <c r="E1551" s="14">
        <v>130</v>
      </c>
      <c r="F1551" s="14">
        <v>10</v>
      </c>
      <c r="G1551" s="17">
        <v>0.32082487385891195</v>
      </c>
      <c r="H1551" s="1" t="s">
        <v>143</v>
      </c>
      <c r="I1551" s="14"/>
    </row>
    <row r="1552" spans="1:9" x14ac:dyDescent="0.25">
      <c r="A1552" s="14">
        <v>2016</v>
      </c>
      <c r="B1552" s="14">
        <v>193</v>
      </c>
      <c r="C1552" s="15">
        <v>42562</v>
      </c>
      <c r="D1552" s="16">
        <v>0.43958333333333338</v>
      </c>
      <c r="E1552" s="14">
        <v>130</v>
      </c>
      <c r="F1552" s="14">
        <v>11</v>
      </c>
      <c r="G1552" s="17">
        <v>0.30974957048274021</v>
      </c>
      <c r="H1552" s="1" t="s">
        <v>144</v>
      </c>
      <c r="I1552" s="14"/>
    </row>
    <row r="1553" spans="1:9" x14ac:dyDescent="0.25">
      <c r="A1553" s="14">
        <v>2016</v>
      </c>
      <c r="B1553" s="14">
        <v>193</v>
      </c>
      <c r="C1553" s="15">
        <v>42562</v>
      </c>
      <c r="D1553" s="16">
        <v>0.4465277777777778</v>
      </c>
      <c r="E1553" s="14">
        <v>130</v>
      </c>
      <c r="F1553" s="14">
        <v>12</v>
      </c>
      <c r="G1553" s="17">
        <v>0.30067911112721113</v>
      </c>
      <c r="H1553" s="1" t="s">
        <v>144</v>
      </c>
      <c r="I1553" s="14"/>
    </row>
    <row r="1554" spans="1:9" x14ac:dyDescent="0.25">
      <c r="A1554" s="14">
        <v>2016</v>
      </c>
      <c r="B1554" s="14">
        <v>193</v>
      </c>
      <c r="C1554" s="15">
        <v>42562</v>
      </c>
      <c r="D1554" s="16">
        <v>0.45347222222222222</v>
      </c>
      <c r="E1554" s="14">
        <v>130</v>
      </c>
      <c r="F1554" s="14">
        <v>13</v>
      </c>
      <c r="G1554" s="17">
        <v>0.31551106397895606</v>
      </c>
      <c r="H1554" s="1" t="s">
        <v>144</v>
      </c>
      <c r="I1554" s="14"/>
    </row>
    <row r="1555" spans="1:9" x14ac:dyDescent="0.25">
      <c r="A1555" s="14">
        <v>2016</v>
      </c>
      <c r="B1555" s="14">
        <v>193</v>
      </c>
      <c r="C1555" s="15">
        <v>42562</v>
      </c>
      <c r="D1555" s="16">
        <v>0.43263888888888885</v>
      </c>
      <c r="E1555" s="14">
        <v>130</v>
      </c>
      <c r="F1555" s="14">
        <v>14</v>
      </c>
      <c r="G1555" s="17">
        <v>0.31562785100928481</v>
      </c>
      <c r="H1555" s="1" t="s">
        <v>144</v>
      </c>
      <c r="I1555" s="14"/>
    </row>
    <row r="1556" spans="1:9" x14ac:dyDescent="0.25">
      <c r="A1556" s="14">
        <v>2016</v>
      </c>
      <c r="B1556" s="14">
        <v>193</v>
      </c>
      <c r="C1556" s="15">
        <v>42562</v>
      </c>
      <c r="D1556" s="16">
        <v>0.4201388888888889</v>
      </c>
      <c r="E1556" s="14">
        <v>130</v>
      </c>
      <c r="F1556" s="14">
        <v>15</v>
      </c>
      <c r="G1556" s="17">
        <v>0.30165233637995031</v>
      </c>
      <c r="H1556" s="1" t="s">
        <v>1</v>
      </c>
      <c r="I1556" s="14"/>
    </row>
    <row r="1557" spans="1:9" x14ac:dyDescent="0.25">
      <c r="A1557" s="14">
        <v>2016</v>
      </c>
      <c r="B1557" s="14">
        <v>193</v>
      </c>
      <c r="C1557" s="15">
        <v>42562</v>
      </c>
      <c r="D1557" s="16">
        <v>0.42499999999999999</v>
      </c>
      <c r="E1557" s="14">
        <v>130</v>
      </c>
      <c r="F1557" s="14">
        <v>16</v>
      </c>
      <c r="G1557" s="17">
        <v>0.29955016983403371</v>
      </c>
      <c r="H1557" s="1" t="s">
        <v>1</v>
      </c>
      <c r="I1557" s="14"/>
    </row>
    <row r="1558" spans="1:9" x14ac:dyDescent="0.25">
      <c r="A1558" s="14">
        <v>2016</v>
      </c>
      <c r="B1558" s="14">
        <v>193</v>
      </c>
      <c r="C1558" s="15">
        <v>42562</v>
      </c>
      <c r="D1558" s="16">
        <v>0.41111111111111115</v>
      </c>
      <c r="E1558" s="14">
        <v>130</v>
      </c>
      <c r="F1558" s="14">
        <v>17</v>
      </c>
      <c r="G1558" s="17">
        <v>0.31463516125149082</v>
      </c>
      <c r="H1558" s="1" t="s">
        <v>144</v>
      </c>
      <c r="I1558" s="14"/>
    </row>
    <row r="1559" spans="1:9" x14ac:dyDescent="0.25">
      <c r="A1559" s="14">
        <v>2016</v>
      </c>
      <c r="B1559" s="14">
        <v>193</v>
      </c>
      <c r="C1559" s="15">
        <v>42562</v>
      </c>
      <c r="D1559" s="16">
        <v>0.40416666666666662</v>
      </c>
      <c r="E1559" s="14">
        <v>130</v>
      </c>
      <c r="F1559" s="14">
        <v>18</v>
      </c>
      <c r="G1559" s="17">
        <v>0.30996368003834285</v>
      </c>
      <c r="H1559" s="1" t="s">
        <v>144</v>
      </c>
      <c r="I1559" s="14"/>
    </row>
    <row r="1560" spans="1:9" x14ac:dyDescent="0.25">
      <c r="A1560" s="14">
        <v>2016</v>
      </c>
      <c r="B1560" s="14">
        <v>193</v>
      </c>
      <c r="C1560" s="15">
        <v>42562</v>
      </c>
      <c r="D1560" s="16">
        <v>0.39652777777777781</v>
      </c>
      <c r="E1560" s="14">
        <v>130</v>
      </c>
      <c r="F1560" s="14">
        <v>19</v>
      </c>
      <c r="G1560" s="17">
        <v>0.30350146436015474</v>
      </c>
      <c r="H1560" s="1" t="s">
        <v>144</v>
      </c>
      <c r="I1560" s="14"/>
    </row>
    <row r="1561" spans="1:9" x14ac:dyDescent="0.25">
      <c r="A1561" s="14">
        <v>2016</v>
      </c>
      <c r="B1561" s="14">
        <v>193</v>
      </c>
      <c r="C1561" s="15">
        <v>42562</v>
      </c>
      <c r="D1561" s="16">
        <v>0.39027777777777778</v>
      </c>
      <c r="E1561" s="14">
        <v>130</v>
      </c>
      <c r="F1561" s="14">
        <v>20</v>
      </c>
      <c r="G1561" s="17">
        <v>0.3077447264620975</v>
      </c>
      <c r="H1561" s="1" t="s">
        <v>144</v>
      </c>
      <c r="I1561" s="14"/>
    </row>
    <row r="1562" spans="1:9" x14ac:dyDescent="0.25">
      <c r="A1562" s="14">
        <v>2016</v>
      </c>
      <c r="B1562" s="14">
        <v>193</v>
      </c>
      <c r="C1562" s="15">
        <v>42562</v>
      </c>
      <c r="D1562" s="16">
        <v>0.28125</v>
      </c>
      <c r="E1562" s="14">
        <v>110</v>
      </c>
      <c r="F1562" s="14">
        <v>1</v>
      </c>
      <c r="G1562" s="17">
        <v>0.34146800021177703</v>
      </c>
      <c r="H1562" s="1" t="s">
        <v>143</v>
      </c>
      <c r="I1562" s="14"/>
    </row>
    <row r="1563" spans="1:9" x14ac:dyDescent="0.25">
      <c r="A1563" s="14">
        <v>2016</v>
      </c>
      <c r="B1563" s="14">
        <v>193</v>
      </c>
      <c r="C1563" s="15">
        <v>42562</v>
      </c>
      <c r="D1563" s="16">
        <v>0.28958333333333336</v>
      </c>
      <c r="E1563" s="14">
        <v>110</v>
      </c>
      <c r="F1563" s="14">
        <v>2</v>
      </c>
      <c r="G1563" s="17">
        <v>0.33702572953843757</v>
      </c>
      <c r="H1563" s="1" t="s">
        <v>143</v>
      </c>
      <c r="I1563" s="14"/>
    </row>
    <row r="1564" spans="1:9" x14ac:dyDescent="0.25">
      <c r="A1564" s="14">
        <v>2016</v>
      </c>
      <c r="B1564" s="14">
        <v>193</v>
      </c>
      <c r="C1564" s="15">
        <v>42562</v>
      </c>
      <c r="D1564" s="16">
        <v>0.29236111111111113</v>
      </c>
      <c r="E1564" s="14">
        <v>110</v>
      </c>
      <c r="F1564" s="14">
        <v>3</v>
      </c>
      <c r="G1564" s="17">
        <v>0.33157593355774267</v>
      </c>
      <c r="H1564" s="1" t="s">
        <v>143</v>
      </c>
      <c r="I1564" s="14"/>
    </row>
    <row r="1565" spans="1:9" x14ac:dyDescent="0.25">
      <c r="A1565" s="14">
        <v>2016</v>
      </c>
      <c r="B1565" s="14">
        <v>193</v>
      </c>
      <c r="C1565" s="15">
        <v>42562</v>
      </c>
      <c r="D1565" s="16">
        <v>0.29930555555555555</v>
      </c>
      <c r="E1565" s="14">
        <v>110</v>
      </c>
      <c r="F1565" s="14">
        <v>4</v>
      </c>
      <c r="G1565" s="17">
        <v>0.34504013539240058</v>
      </c>
      <c r="H1565" s="1" t="s">
        <v>143</v>
      </c>
      <c r="I1565" s="14"/>
    </row>
    <row r="1566" spans="1:9" x14ac:dyDescent="0.25">
      <c r="A1566" s="14">
        <v>2016</v>
      </c>
      <c r="B1566" s="14">
        <v>193</v>
      </c>
      <c r="C1566" s="15">
        <v>42562</v>
      </c>
      <c r="D1566" s="16">
        <v>0.31458333333333333</v>
      </c>
      <c r="E1566" s="14">
        <v>110</v>
      </c>
      <c r="F1566" s="14">
        <v>5</v>
      </c>
      <c r="G1566" s="17">
        <v>0.3307744929723464</v>
      </c>
      <c r="H1566" s="1" t="s">
        <v>0</v>
      </c>
      <c r="I1566" s="14"/>
    </row>
    <row r="1567" spans="1:9" x14ac:dyDescent="0.25">
      <c r="A1567" s="14">
        <v>2016</v>
      </c>
      <c r="B1567" s="14">
        <v>193</v>
      </c>
      <c r="C1567" s="15">
        <v>42562</v>
      </c>
      <c r="D1567" s="16">
        <v>0.32013888888888892</v>
      </c>
      <c r="E1567" s="14">
        <v>110</v>
      </c>
      <c r="F1567" s="14">
        <v>6</v>
      </c>
      <c r="G1567" s="17">
        <v>0.32759162893320104</v>
      </c>
      <c r="H1567" s="1" t="s">
        <v>0</v>
      </c>
      <c r="I1567" s="14"/>
    </row>
    <row r="1568" spans="1:9" x14ac:dyDescent="0.25">
      <c r="A1568" s="14">
        <v>2016</v>
      </c>
      <c r="B1568" s="14">
        <v>193</v>
      </c>
      <c r="C1568" s="15">
        <v>42562</v>
      </c>
      <c r="D1568" s="16">
        <v>0.32708333333333334</v>
      </c>
      <c r="E1568" s="14">
        <v>110</v>
      </c>
      <c r="F1568" s="14">
        <v>7</v>
      </c>
      <c r="G1568" s="17">
        <v>0.33961323771414559</v>
      </c>
      <c r="H1568" s="1" t="s">
        <v>143</v>
      </c>
      <c r="I1568" s="14"/>
    </row>
    <row r="1569" spans="1:9" x14ac:dyDescent="0.25">
      <c r="A1569" s="14">
        <v>2016</v>
      </c>
      <c r="B1569" s="14">
        <v>193</v>
      </c>
      <c r="C1569" s="15">
        <v>42562</v>
      </c>
      <c r="D1569" s="16">
        <v>0.3347222222222222</v>
      </c>
      <c r="E1569" s="14">
        <v>110</v>
      </c>
      <c r="F1569" s="14">
        <v>8</v>
      </c>
      <c r="G1569" s="17">
        <v>0.34194886456301482</v>
      </c>
      <c r="H1569" s="1" t="s">
        <v>143</v>
      </c>
      <c r="I1569" s="14"/>
    </row>
    <row r="1570" spans="1:9" x14ac:dyDescent="0.25">
      <c r="A1570" s="14">
        <v>2016</v>
      </c>
      <c r="B1570" s="14">
        <v>193</v>
      </c>
      <c r="C1570" s="15">
        <v>42562</v>
      </c>
      <c r="D1570" s="16">
        <v>0.3444444444444445</v>
      </c>
      <c r="E1570" s="14">
        <v>110</v>
      </c>
      <c r="F1570" s="14">
        <v>9</v>
      </c>
      <c r="G1570" s="17">
        <v>0.33283534019193689</v>
      </c>
      <c r="H1570" s="1" t="s">
        <v>143</v>
      </c>
      <c r="I1570" s="14"/>
    </row>
    <row r="1571" spans="1:9" x14ac:dyDescent="0.25">
      <c r="A1571" s="14">
        <v>2016</v>
      </c>
      <c r="B1571" s="14">
        <v>193</v>
      </c>
      <c r="C1571" s="15">
        <v>42562</v>
      </c>
      <c r="D1571" s="16">
        <v>0.35486111111111113</v>
      </c>
      <c r="E1571" s="14">
        <v>110</v>
      </c>
      <c r="F1571" s="14">
        <v>10</v>
      </c>
      <c r="G1571" s="17">
        <v>0.33418634003589065</v>
      </c>
      <c r="H1571" s="1" t="s">
        <v>143</v>
      </c>
      <c r="I1571" s="14"/>
    </row>
    <row r="1572" spans="1:9" x14ac:dyDescent="0.25">
      <c r="A1572" s="14">
        <v>2016</v>
      </c>
      <c r="B1572" s="14">
        <v>193</v>
      </c>
      <c r="C1572" s="15">
        <v>42562</v>
      </c>
      <c r="D1572" s="16">
        <v>0.43958333333333338</v>
      </c>
      <c r="E1572" s="14">
        <v>110</v>
      </c>
      <c r="F1572" s="14">
        <v>11</v>
      </c>
      <c r="G1572" s="17">
        <v>0.32830147630883777</v>
      </c>
      <c r="H1572" s="1" t="s">
        <v>144</v>
      </c>
      <c r="I1572" s="14"/>
    </row>
    <row r="1573" spans="1:9" x14ac:dyDescent="0.25">
      <c r="A1573" s="14">
        <v>2016</v>
      </c>
      <c r="B1573" s="14">
        <v>193</v>
      </c>
      <c r="C1573" s="15">
        <v>42562</v>
      </c>
      <c r="D1573" s="16">
        <v>0.4465277777777778</v>
      </c>
      <c r="E1573" s="14">
        <v>110</v>
      </c>
      <c r="F1573" s="14">
        <v>12</v>
      </c>
      <c r="G1573" s="17">
        <v>0.33888049203606896</v>
      </c>
      <c r="H1573" s="1" t="s">
        <v>144</v>
      </c>
      <c r="I1573" s="14"/>
    </row>
    <row r="1574" spans="1:9" x14ac:dyDescent="0.25">
      <c r="A1574" s="14">
        <v>2016</v>
      </c>
      <c r="B1574" s="14">
        <v>193</v>
      </c>
      <c r="C1574" s="15">
        <v>42562</v>
      </c>
      <c r="D1574" s="16">
        <v>0.45347222222222222</v>
      </c>
      <c r="E1574" s="14">
        <v>110</v>
      </c>
      <c r="F1574" s="14">
        <v>13</v>
      </c>
      <c r="G1574" s="17">
        <v>0.33572052629936355</v>
      </c>
      <c r="H1574" s="1" t="s">
        <v>144</v>
      </c>
      <c r="I1574" s="14"/>
    </row>
    <row r="1575" spans="1:9" x14ac:dyDescent="0.25">
      <c r="A1575" s="14">
        <v>2016</v>
      </c>
      <c r="B1575" s="14">
        <v>193</v>
      </c>
      <c r="C1575" s="15">
        <v>42562</v>
      </c>
      <c r="D1575" s="16">
        <v>0.43263888888888885</v>
      </c>
      <c r="E1575" s="14">
        <v>110</v>
      </c>
      <c r="F1575" s="14">
        <v>14</v>
      </c>
      <c r="G1575" s="17">
        <v>0.32667569683560527</v>
      </c>
      <c r="H1575" s="1" t="s">
        <v>144</v>
      </c>
      <c r="I1575" s="14"/>
    </row>
    <row r="1576" spans="1:9" x14ac:dyDescent="0.25">
      <c r="A1576" s="14">
        <v>2016</v>
      </c>
      <c r="B1576" s="14">
        <v>193</v>
      </c>
      <c r="C1576" s="15">
        <v>42562</v>
      </c>
      <c r="D1576" s="16">
        <v>0.4201388888888889</v>
      </c>
      <c r="E1576" s="14">
        <v>110</v>
      </c>
      <c r="F1576" s="14">
        <v>15</v>
      </c>
      <c r="G1576" s="17">
        <v>0.31861549437676251</v>
      </c>
      <c r="H1576" s="1" t="s">
        <v>1</v>
      </c>
      <c r="I1576" s="14"/>
    </row>
    <row r="1577" spans="1:9" x14ac:dyDescent="0.25">
      <c r="A1577" s="14">
        <v>2016</v>
      </c>
      <c r="B1577" s="14">
        <v>193</v>
      </c>
      <c r="C1577" s="15">
        <v>42562</v>
      </c>
      <c r="D1577" s="16">
        <v>0.42499999999999999</v>
      </c>
      <c r="E1577" s="14">
        <v>110</v>
      </c>
      <c r="F1577" s="14">
        <v>16</v>
      </c>
      <c r="G1577" s="17">
        <v>0.31719579962548905</v>
      </c>
      <c r="H1577" s="1" t="s">
        <v>1</v>
      </c>
      <c r="I1577" s="14"/>
    </row>
    <row r="1578" spans="1:9" x14ac:dyDescent="0.25">
      <c r="A1578" s="14">
        <v>2016</v>
      </c>
      <c r="B1578" s="14">
        <v>193</v>
      </c>
      <c r="C1578" s="15">
        <v>42562</v>
      </c>
      <c r="D1578" s="16">
        <v>0.41111111111111115</v>
      </c>
      <c r="E1578" s="14">
        <v>110</v>
      </c>
      <c r="F1578" s="14">
        <v>17</v>
      </c>
      <c r="G1578" s="17">
        <v>0.34327696610452868</v>
      </c>
      <c r="H1578" s="1" t="s">
        <v>144</v>
      </c>
      <c r="I1578" s="14"/>
    </row>
    <row r="1579" spans="1:9" x14ac:dyDescent="0.25">
      <c r="A1579" s="14">
        <v>2016</v>
      </c>
      <c r="B1579" s="14">
        <v>193</v>
      </c>
      <c r="C1579" s="15">
        <v>42562</v>
      </c>
      <c r="D1579" s="16">
        <v>0.40416666666666662</v>
      </c>
      <c r="E1579" s="14">
        <v>110</v>
      </c>
      <c r="F1579" s="14">
        <v>18</v>
      </c>
      <c r="G1579" s="17">
        <v>0.33576632290424335</v>
      </c>
      <c r="H1579" s="1" t="s">
        <v>144</v>
      </c>
      <c r="I1579" s="14"/>
    </row>
    <row r="1580" spans="1:9" x14ac:dyDescent="0.25">
      <c r="A1580" s="14">
        <v>2016</v>
      </c>
      <c r="B1580" s="14">
        <v>193</v>
      </c>
      <c r="C1580" s="15">
        <v>42562</v>
      </c>
      <c r="D1580" s="16">
        <v>0.39652777777777781</v>
      </c>
      <c r="E1580" s="14">
        <v>110</v>
      </c>
      <c r="F1580" s="14">
        <v>19</v>
      </c>
      <c r="G1580" s="17">
        <v>0.33782717012383384</v>
      </c>
      <c r="H1580" s="1" t="s">
        <v>144</v>
      </c>
      <c r="I1580" s="14"/>
    </row>
    <row r="1581" spans="1:9" x14ac:dyDescent="0.25">
      <c r="A1581" s="14">
        <v>2016</v>
      </c>
      <c r="B1581" s="14">
        <v>193</v>
      </c>
      <c r="C1581" s="15">
        <v>42562</v>
      </c>
      <c r="D1581" s="16">
        <v>0.39027777777777778</v>
      </c>
      <c r="E1581" s="14">
        <v>110</v>
      </c>
      <c r="F1581" s="14">
        <v>20</v>
      </c>
      <c r="G1581" s="17">
        <v>0.32788930686491968</v>
      </c>
      <c r="H1581" s="1" t="s">
        <v>144</v>
      </c>
      <c r="I1581" s="14"/>
    </row>
    <row r="1582" spans="1:9" x14ac:dyDescent="0.25">
      <c r="A1582" s="14">
        <v>2016</v>
      </c>
      <c r="B1582" s="14">
        <v>193</v>
      </c>
      <c r="C1582" s="15">
        <v>42562</v>
      </c>
      <c r="D1582" s="16">
        <v>0.28125</v>
      </c>
      <c r="E1582" s="14">
        <v>90</v>
      </c>
      <c r="F1582" s="14">
        <v>1</v>
      </c>
      <c r="G1582" s="17">
        <v>0.34155959342153663</v>
      </c>
      <c r="H1582" s="1" t="s">
        <v>143</v>
      </c>
      <c r="I1582" s="14"/>
    </row>
    <row r="1583" spans="1:9" x14ac:dyDescent="0.25">
      <c r="A1583" s="14">
        <v>2016</v>
      </c>
      <c r="B1583" s="14">
        <v>193</v>
      </c>
      <c r="C1583" s="15">
        <v>42562</v>
      </c>
      <c r="D1583" s="16">
        <v>0.28958333333333336</v>
      </c>
      <c r="E1583" s="14">
        <v>90</v>
      </c>
      <c r="F1583" s="14">
        <v>2</v>
      </c>
      <c r="G1583" s="17">
        <v>0.34410130499236491</v>
      </c>
      <c r="H1583" s="1" t="s">
        <v>143</v>
      </c>
      <c r="I1583" s="14"/>
    </row>
    <row r="1584" spans="1:9" x14ac:dyDescent="0.25">
      <c r="A1584" s="14">
        <v>2016</v>
      </c>
      <c r="B1584" s="14">
        <v>193</v>
      </c>
      <c r="C1584" s="15">
        <v>42562</v>
      </c>
      <c r="D1584" s="16">
        <v>0.29236111111111113</v>
      </c>
      <c r="E1584" s="14">
        <v>90</v>
      </c>
      <c r="F1584" s="14">
        <v>3</v>
      </c>
      <c r="G1584" s="17">
        <v>0.33084318787966605</v>
      </c>
      <c r="H1584" s="1" t="s">
        <v>143</v>
      </c>
      <c r="I1584" s="14"/>
    </row>
    <row r="1585" spans="1:9" x14ac:dyDescent="0.25">
      <c r="A1585" s="14">
        <v>2016</v>
      </c>
      <c r="B1585" s="14">
        <v>193</v>
      </c>
      <c r="C1585" s="15">
        <v>42562</v>
      </c>
      <c r="D1585" s="16">
        <v>0.29930555555555555</v>
      </c>
      <c r="E1585" s="14">
        <v>90</v>
      </c>
      <c r="F1585" s="14">
        <v>4</v>
      </c>
      <c r="G1585" s="17">
        <v>0.33448401796760929</v>
      </c>
      <c r="H1585" s="1" t="s">
        <v>143</v>
      </c>
      <c r="I1585" s="14"/>
    </row>
    <row r="1586" spans="1:9" x14ac:dyDescent="0.25">
      <c r="A1586" s="14">
        <v>2016</v>
      </c>
      <c r="B1586" s="14">
        <v>193</v>
      </c>
      <c r="C1586" s="15">
        <v>42562</v>
      </c>
      <c r="D1586" s="16">
        <v>0.31458333333333333</v>
      </c>
      <c r="E1586" s="14">
        <v>90</v>
      </c>
      <c r="F1586" s="14">
        <v>5</v>
      </c>
      <c r="G1586" s="17">
        <v>0.31492886768393952</v>
      </c>
      <c r="H1586" s="1" t="s">
        <v>0</v>
      </c>
      <c r="I1586" s="14"/>
    </row>
    <row r="1587" spans="1:9" x14ac:dyDescent="0.25">
      <c r="A1587" s="14">
        <v>2016</v>
      </c>
      <c r="B1587" s="14">
        <v>193</v>
      </c>
      <c r="C1587" s="15">
        <v>42562</v>
      </c>
      <c r="D1587" s="16">
        <v>0.32013888888888892</v>
      </c>
      <c r="E1587" s="14">
        <v>90</v>
      </c>
      <c r="F1587" s="14">
        <v>6</v>
      </c>
      <c r="G1587" s="17">
        <v>0.31408163049366344</v>
      </c>
      <c r="H1587" s="1" t="s">
        <v>0</v>
      </c>
      <c r="I1587" s="14"/>
    </row>
    <row r="1588" spans="1:9" x14ac:dyDescent="0.25">
      <c r="A1588" s="14">
        <v>2016</v>
      </c>
      <c r="B1588" s="14">
        <v>193</v>
      </c>
      <c r="C1588" s="15">
        <v>42562</v>
      </c>
      <c r="D1588" s="16">
        <v>0.32708333333333334</v>
      </c>
      <c r="E1588" s="14">
        <v>90</v>
      </c>
      <c r="F1588" s="14">
        <v>7</v>
      </c>
      <c r="G1588" s="17">
        <v>0.33590371271888275</v>
      </c>
      <c r="H1588" s="1" t="s">
        <v>143</v>
      </c>
      <c r="I1588" s="14"/>
    </row>
    <row r="1589" spans="1:9" x14ac:dyDescent="0.25">
      <c r="A1589" s="14">
        <v>2016</v>
      </c>
      <c r="B1589" s="14">
        <v>193</v>
      </c>
      <c r="C1589" s="15">
        <v>42562</v>
      </c>
      <c r="D1589" s="16">
        <v>0.3347222222222222</v>
      </c>
      <c r="E1589" s="14">
        <v>90</v>
      </c>
      <c r="F1589" s="14">
        <v>8</v>
      </c>
      <c r="G1589" s="17">
        <v>0.3324231707480188</v>
      </c>
      <c r="H1589" s="1" t="s">
        <v>143</v>
      </c>
      <c r="I1589" s="14"/>
    </row>
    <row r="1590" spans="1:9" x14ac:dyDescent="0.25">
      <c r="A1590" s="14">
        <v>2016</v>
      </c>
      <c r="B1590" s="14">
        <v>193</v>
      </c>
      <c r="C1590" s="15">
        <v>42562</v>
      </c>
      <c r="D1590" s="16">
        <v>0.3444444444444445</v>
      </c>
      <c r="E1590" s="14">
        <v>90</v>
      </c>
      <c r="F1590" s="14">
        <v>9</v>
      </c>
      <c r="G1590" s="17">
        <v>0.32516440887457226</v>
      </c>
      <c r="H1590" s="1" t="s">
        <v>143</v>
      </c>
      <c r="I1590" s="14"/>
    </row>
    <row r="1591" spans="1:9" x14ac:dyDescent="0.25">
      <c r="A1591" s="14">
        <v>2016</v>
      </c>
      <c r="B1591" s="14">
        <v>193</v>
      </c>
      <c r="C1591" s="15">
        <v>42562</v>
      </c>
      <c r="D1591" s="16">
        <v>0.35486111111111113</v>
      </c>
      <c r="E1591" s="14">
        <v>90</v>
      </c>
      <c r="F1591" s="14">
        <v>10</v>
      </c>
      <c r="G1591" s="17">
        <v>0.33947584789950624</v>
      </c>
      <c r="H1591" s="1" t="s">
        <v>143</v>
      </c>
      <c r="I1591" s="14"/>
    </row>
    <row r="1592" spans="1:9" x14ac:dyDescent="0.25">
      <c r="A1592" s="14">
        <v>2016</v>
      </c>
      <c r="B1592" s="14">
        <v>193</v>
      </c>
      <c r="C1592" s="15">
        <v>42562</v>
      </c>
      <c r="D1592" s="16">
        <v>0.43958333333333338</v>
      </c>
      <c r="E1592" s="14">
        <v>90</v>
      </c>
      <c r="F1592" s="14">
        <v>11</v>
      </c>
      <c r="G1592" s="17">
        <v>0.33446111966516939</v>
      </c>
      <c r="H1592" s="1" t="s">
        <v>144</v>
      </c>
      <c r="I1592" s="14"/>
    </row>
    <row r="1593" spans="1:9" x14ac:dyDescent="0.25">
      <c r="A1593" s="14">
        <v>2016</v>
      </c>
      <c r="B1593" s="14">
        <v>193</v>
      </c>
      <c r="C1593" s="15">
        <v>42562</v>
      </c>
      <c r="D1593" s="16">
        <v>0.4465277777777778</v>
      </c>
      <c r="E1593" s="14">
        <v>90</v>
      </c>
      <c r="F1593" s="14">
        <v>12</v>
      </c>
      <c r="G1593" s="17">
        <v>0.34050627150930146</v>
      </c>
      <c r="H1593" s="1" t="s">
        <v>144</v>
      </c>
      <c r="I1593" s="14"/>
    </row>
    <row r="1594" spans="1:9" x14ac:dyDescent="0.25">
      <c r="A1594" s="14">
        <v>2016</v>
      </c>
      <c r="B1594" s="14">
        <v>193</v>
      </c>
      <c r="C1594" s="15">
        <v>42562</v>
      </c>
      <c r="D1594" s="16">
        <v>0.45347222222222222</v>
      </c>
      <c r="E1594" s="14">
        <v>90</v>
      </c>
      <c r="F1594" s="14">
        <v>13</v>
      </c>
      <c r="G1594" s="17">
        <v>0.32555368001605045</v>
      </c>
      <c r="H1594" s="1" t="s">
        <v>144</v>
      </c>
      <c r="I1594" s="14"/>
    </row>
    <row r="1595" spans="1:9" x14ac:dyDescent="0.25">
      <c r="A1595" s="14">
        <v>2016</v>
      </c>
      <c r="B1595" s="14">
        <v>193</v>
      </c>
      <c r="C1595" s="15">
        <v>42562</v>
      </c>
      <c r="D1595" s="16">
        <v>0.43263888888888885</v>
      </c>
      <c r="E1595" s="14">
        <v>90</v>
      </c>
      <c r="F1595" s="14">
        <v>14</v>
      </c>
      <c r="G1595" s="17">
        <v>0.32266849390862379</v>
      </c>
      <c r="H1595" s="1" t="s">
        <v>144</v>
      </c>
      <c r="I1595" s="14"/>
    </row>
    <row r="1596" spans="1:9" x14ac:dyDescent="0.25">
      <c r="A1596" s="14">
        <v>2016</v>
      </c>
      <c r="B1596" s="14">
        <v>193</v>
      </c>
      <c r="C1596" s="15">
        <v>42562</v>
      </c>
      <c r="D1596" s="16">
        <v>0.4201388888888889</v>
      </c>
      <c r="E1596" s="14">
        <v>90</v>
      </c>
      <c r="F1596" s="14">
        <v>15</v>
      </c>
      <c r="G1596" s="17">
        <v>0.30613591954702007</v>
      </c>
      <c r="H1596" s="1" t="s">
        <v>1</v>
      </c>
      <c r="I1596" s="14"/>
    </row>
    <row r="1597" spans="1:9" x14ac:dyDescent="0.25">
      <c r="A1597" s="14">
        <v>2016</v>
      </c>
      <c r="B1597" s="14">
        <v>193</v>
      </c>
      <c r="C1597" s="15">
        <v>42562</v>
      </c>
      <c r="D1597" s="16">
        <v>0.42499999999999999</v>
      </c>
      <c r="E1597" s="14">
        <v>90</v>
      </c>
      <c r="F1597" s="14">
        <v>16</v>
      </c>
      <c r="G1597" s="17">
        <v>0.31041790210328035</v>
      </c>
      <c r="H1597" s="1" t="s">
        <v>1</v>
      </c>
      <c r="I1597" s="14"/>
    </row>
    <row r="1598" spans="1:9" x14ac:dyDescent="0.25">
      <c r="A1598" s="14">
        <v>2016</v>
      </c>
      <c r="B1598" s="14">
        <v>193</v>
      </c>
      <c r="C1598" s="15">
        <v>42562</v>
      </c>
      <c r="D1598" s="16">
        <v>0.41111111111111115</v>
      </c>
      <c r="E1598" s="14">
        <v>90</v>
      </c>
      <c r="F1598" s="14">
        <v>17</v>
      </c>
      <c r="G1598" s="17">
        <v>0.34064366132394086</v>
      </c>
      <c r="H1598" s="1" t="s">
        <v>144</v>
      </c>
      <c r="I1598" s="14"/>
    </row>
    <row r="1599" spans="1:9" x14ac:dyDescent="0.25">
      <c r="A1599" s="14">
        <v>2016</v>
      </c>
      <c r="B1599" s="14">
        <v>193</v>
      </c>
      <c r="C1599" s="15">
        <v>42562</v>
      </c>
      <c r="D1599" s="16">
        <v>0.40416666666666662</v>
      </c>
      <c r="E1599" s="14">
        <v>90</v>
      </c>
      <c r="F1599" s="14">
        <v>18</v>
      </c>
      <c r="G1599" s="17">
        <v>0.32988145917719053</v>
      </c>
      <c r="H1599" s="1" t="s">
        <v>144</v>
      </c>
      <c r="I1599" s="14"/>
    </row>
    <row r="1600" spans="1:9" x14ac:dyDescent="0.25">
      <c r="A1600" s="14">
        <v>2016</v>
      </c>
      <c r="B1600" s="14">
        <v>193</v>
      </c>
      <c r="C1600" s="15">
        <v>42562</v>
      </c>
      <c r="D1600" s="16">
        <v>0.39652777777777781</v>
      </c>
      <c r="E1600" s="14">
        <v>90</v>
      </c>
      <c r="F1600" s="14">
        <v>19</v>
      </c>
      <c r="G1600" s="17">
        <v>0.32486673094285368</v>
      </c>
      <c r="H1600" s="1" t="s">
        <v>144</v>
      </c>
      <c r="I1600" s="14"/>
    </row>
    <row r="1601" spans="1:9" x14ac:dyDescent="0.25">
      <c r="A1601" s="14">
        <v>2016</v>
      </c>
      <c r="B1601" s="14">
        <v>193</v>
      </c>
      <c r="C1601" s="15">
        <v>42562</v>
      </c>
      <c r="D1601" s="16">
        <v>0.39027777777777778</v>
      </c>
      <c r="E1601" s="14">
        <v>90</v>
      </c>
      <c r="F1601" s="14">
        <v>20</v>
      </c>
      <c r="G1601" s="17">
        <v>0.33368257738221296</v>
      </c>
      <c r="H1601" s="1" t="s">
        <v>144</v>
      </c>
      <c r="I1601" s="14"/>
    </row>
    <row r="1602" spans="1:9" x14ac:dyDescent="0.25">
      <c r="A1602" s="14">
        <v>2016</v>
      </c>
      <c r="B1602" s="14">
        <v>193</v>
      </c>
      <c r="C1602" s="15">
        <v>42562</v>
      </c>
      <c r="D1602" s="16">
        <v>0.28125</v>
      </c>
      <c r="E1602" s="14">
        <v>70</v>
      </c>
      <c r="F1602" s="14">
        <v>1</v>
      </c>
      <c r="G1602" s="17">
        <v>0.32724815439660271</v>
      </c>
      <c r="H1602" s="1" t="s">
        <v>143</v>
      </c>
      <c r="I1602" s="14"/>
    </row>
    <row r="1603" spans="1:9" x14ac:dyDescent="0.25">
      <c r="A1603" s="14">
        <v>2016</v>
      </c>
      <c r="B1603" s="14">
        <v>193</v>
      </c>
      <c r="C1603" s="15">
        <v>42562</v>
      </c>
      <c r="D1603" s="16">
        <v>0.28958333333333336</v>
      </c>
      <c r="E1603" s="14">
        <v>70</v>
      </c>
      <c r="F1603" s="14">
        <v>2</v>
      </c>
      <c r="G1603" s="17">
        <v>0.3445363727387229</v>
      </c>
      <c r="H1603" s="1" t="s">
        <v>143</v>
      </c>
      <c r="I1603" s="14"/>
    </row>
    <row r="1604" spans="1:9" x14ac:dyDescent="0.25">
      <c r="A1604" s="14">
        <v>2016</v>
      </c>
      <c r="B1604" s="14">
        <v>193</v>
      </c>
      <c r="C1604" s="15">
        <v>42562</v>
      </c>
      <c r="D1604" s="16">
        <v>0.29236111111111113</v>
      </c>
      <c r="E1604" s="14">
        <v>70</v>
      </c>
      <c r="F1604" s="14">
        <v>3</v>
      </c>
      <c r="G1604" s="17">
        <v>0.32447745980137543</v>
      </c>
      <c r="H1604" s="1" t="s">
        <v>143</v>
      </c>
      <c r="I1604" s="14"/>
    </row>
    <row r="1605" spans="1:9" x14ac:dyDescent="0.25">
      <c r="A1605" s="14">
        <v>2016</v>
      </c>
      <c r="B1605" s="14">
        <v>193</v>
      </c>
      <c r="C1605" s="15">
        <v>42562</v>
      </c>
      <c r="D1605" s="16">
        <v>0.29930555555555555</v>
      </c>
      <c r="E1605" s="14">
        <v>70</v>
      </c>
      <c r="F1605" s="14">
        <v>4</v>
      </c>
      <c r="G1605" s="17">
        <v>0.31174600364479421</v>
      </c>
      <c r="H1605" s="1" t="s">
        <v>143</v>
      </c>
      <c r="I1605" s="14"/>
    </row>
    <row r="1606" spans="1:9" x14ac:dyDescent="0.25">
      <c r="A1606" s="14">
        <v>2016</v>
      </c>
      <c r="B1606" s="14">
        <v>193</v>
      </c>
      <c r="C1606" s="15">
        <v>42562</v>
      </c>
      <c r="D1606" s="16">
        <v>0.31458333333333333</v>
      </c>
      <c r="E1606" s="14">
        <v>70</v>
      </c>
      <c r="F1606" s="14">
        <v>5</v>
      </c>
      <c r="G1606" s="17">
        <v>0.29148100598548771</v>
      </c>
      <c r="H1606" s="1" t="s">
        <v>0</v>
      </c>
      <c r="I1606" s="14"/>
    </row>
    <row r="1607" spans="1:9" x14ac:dyDescent="0.25">
      <c r="A1607" s="14">
        <v>2016</v>
      </c>
      <c r="B1607" s="14">
        <v>193</v>
      </c>
      <c r="C1607" s="15">
        <v>42562</v>
      </c>
      <c r="D1607" s="16">
        <v>0.32013888888888892</v>
      </c>
      <c r="E1607" s="14">
        <v>70</v>
      </c>
      <c r="F1607" s="14">
        <v>6</v>
      </c>
      <c r="G1607" s="17">
        <v>0.30121278452244282</v>
      </c>
      <c r="H1607" s="1" t="s">
        <v>0</v>
      </c>
      <c r="I1607" s="14"/>
    </row>
    <row r="1608" spans="1:9" x14ac:dyDescent="0.25">
      <c r="A1608" s="14">
        <v>2016</v>
      </c>
      <c r="B1608" s="14">
        <v>193</v>
      </c>
      <c r="C1608" s="15">
        <v>42562</v>
      </c>
      <c r="D1608" s="16">
        <v>0.32708333333333334</v>
      </c>
      <c r="E1608" s="14">
        <v>70</v>
      </c>
      <c r="F1608" s="14">
        <v>7</v>
      </c>
      <c r="G1608" s="17">
        <v>0.32951508633815219</v>
      </c>
      <c r="H1608" s="1" t="s">
        <v>143</v>
      </c>
      <c r="I1608" s="14"/>
    </row>
    <row r="1609" spans="1:9" x14ac:dyDescent="0.25">
      <c r="A1609" s="14">
        <v>2016</v>
      </c>
      <c r="B1609" s="14">
        <v>193</v>
      </c>
      <c r="C1609" s="15">
        <v>42562</v>
      </c>
      <c r="D1609" s="16">
        <v>0.3347222222222222</v>
      </c>
      <c r="E1609" s="14">
        <v>70</v>
      </c>
      <c r="F1609" s="14">
        <v>8</v>
      </c>
      <c r="G1609" s="17">
        <v>0.31946273156703858</v>
      </c>
      <c r="H1609" s="1" t="s">
        <v>143</v>
      </c>
      <c r="I1609" s="14"/>
    </row>
    <row r="1610" spans="1:9" x14ac:dyDescent="0.25">
      <c r="A1610" s="14">
        <v>2016</v>
      </c>
      <c r="B1610" s="14">
        <v>193</v>
      </c>
      <c r="C1610" s="15">
        <v>42562</v>
      </c>
      <c r="D1610" s="16">
        <v>0.3444444444444445</v>
      </c>
      <c r="E1610" s="14">
        <v>70</v>
      </c>
      <c r="F1610" s="14">
        <v>9</v>
      </c>
      <c r="G1610" s="17">
        <v>0.30796778374221162</v>
      </c>
      <c r="H1610" s="1" t="s">
        <v>143</v>
      </c>
      <c r="I1610" s="14"/>
    </row>
    <row r="1611" spans="1:9" x14ac:dyDescent="0.25">
      <c r="A1611" s="14">
        <v>2016</v>
      </c>
      <c r="B1611" s="14">
        <v>193</v>
      </c>
      <c r="C1611" s="15">
        <v>42562</v>
      </c>
      <c r="D1611" s="16">
        <v>0.35486111111111113</v>
      </c>
      <c r="E1611" s="14">
        <v>70</v>
      </c>
      <c r="F1611" s="14">
        <v>10</v>
      </c>
      <c r="G1611" s="17">
        <v>0.33801035654335299</v>
      </c>
      <c r="H1611" s="1" t="s">
        <v>143</v>
      </c>
      <c r="I1611" s="14"/>
    </row>
    <row r="1612" spans="1:9" x14ac:dyDescent="0.25">
      <c r="A1612" s="14">
        <v>2016</v>
      </c>
      <c r="B1612" s="14">
        <v>193</v>
      </c>
      <c r="C1612" s="15">
        <v>42562</v>
      </c>
      <c r="D1612" s="16">
        <v>0.43958333333333338</v>
      </c>
      <c r="E1612" s="14">
        <v>70</v>
      </c>
      <c r="F1612" s="14">
        <v>11</v>
      </c>
      <c r="G1612" s="17">
        <v>0.3190047655182407</v>
      </c>
      <c r="H1612" s="1" t="s">
        <v>144</v>
      </c>
      <c r="I1612" s="14"/>
    </row>
    <row r="1613" spans="1:9" x14ac:dyDescent="0.25">
      <c r="A1613" s="14">
        <v>2016</v>
      </c>
      <c r="B1613" s="14">
        <v>193</v>
      </c>
      <c r="C1613" s="15">
        <v>42562</v>
      </c>
      <c r="D1613" s="16">
        <v>0.4465277777777778</v>
      </c>
      <c r="E1613" s="14">
        <v>70</v>
      </c>
      <c r="F1613" s="14">
        <v>12</v>
      </c>
      <c r="G1613" s="17">
        <v>0.32168386690370832</v>
      </c>
      <c r="H1613" s="1" t="s">
        <v>144</v>
      </c>
      <c r="I1613" s="14"/>
    </row>
    <row r="1614" spans="1:9" x14ac:dyDescent="0.25">
      <c r="A1614" s="14">
        <v>2016</v>
      </c>
      <c r="B1614" s="14">
        <v>193</v>
      </c>
      <c r="C1614" s="15">
        <v>42562</v>
      </c>
      <c r="D1614" s="16">
        <v>0.45347222222222222</v>
      </c>
      <c r="E1614" s="14">
        <v>70</v>
      </c>
      <c r="F1614" s="14">
        <v>13</v>
      </c>
      <c r="G1614" s="17">
        <v>0.31440220672782193</v>
      </c>
      <c r="H1614" s="1" t="s">
        <v>144</v>
      </c>
      <c r="I1614" s="14"/>
    </row>
    <row r="1615" spans="1:9" x14ac:dyDescent="0.25">
      <c r="A1615" s="14">
        <v>2016</v>
      </c>
      <c r="B1615" s="14">
        <v>193</v>
      </c>
      <c r="C1615" s="15">
        <v>42562</v>
      </c>
      <c r="D1615" s="16">
        <v>0.43263888888888885</v>
      </c>
      <c r="E1615" s="14">
        <v>70</v>
      </c>
      <c r="F1615" s="14">
        <v>14</v>
      </c>
      <c r="G1615" s="17">
        <v>0.30989124114716277</v>
      </c>
      <c r="H1615" s="1" t="s">
        <v>144</v>
      </c>
      <c r="I1615" s="14"/>
    </row>
    <row r="1616" spans="1:9" x14ac:dyDescent="0.25">
      <c r="A1616" s="14">
        <v>2016</v>
      </c>
      <c r="B1616" s="14">
        <v>193</v>
      </c>
      <c r="C1616" s="15">
        <v>42562</v>
      </c>
      <c r="D1616" s="16">
        <v>0.4201388888888889</v>
      </c>
      <c r="E1616" s="14">
        <v>70</v>
      </c>
      <c r="F1616" s="14">
        <v>15</v>
      </c>
      <c r="G1616" s="17">
        <v>0.29193897203428565</v>
      </c>
      <c r="H1616" s="1" t="s">
        <v>1</v>
      </c>
      <c r="I1616" s="14"/>
    </row>
    <row r="1617" spans="1:9" x14ac:dyDescent="0.25">
      <c r="A1617" s="14">
        <v>2016</v>
      </c>
      <c r="B1617" s="14">
        <v>193</v>
      </c>
      <c r="C1617" s="15">
        <v>42562</v>
      </c>
      <c r="D1617" s="16">
        <v>0.42499999999999999</v>
      </c>
      <c r="E1617" s="14">
        <v>70</v>
      </c>
      <c r="F1617" s="14">
        <v>16</v>
      </c>
      <c r="G1617" s="17">
        <v>0.29388532774167664</v>
      </c>
      <c r="H1617" s="1" t="s">
        <v>1</v>
      </c>
      <c r="I1617" s="14"/>
    </row>
    <row r="1618" spans="1:9" x14ac:dyDescent="0.25">
      <c r="A1618" s="14">
        <v>2016</v>
      </c>
      <c r="B1618" s="14">
        <v>193</v>
      </c>
      <c r="C1618" s="15">
        <v>42562</v>
      </c>
      <c r="D1618" s="16">
        <v>0.41111111111111115</v>
      </c>
      <c r="E1618" s="14">
        <v>70</v>
      </c>
      <c r="F1618" s="14">
        <v>17</v>
      </c>
      <c r="G1618" s="17">
        <v>0.32814118819175853</v>
      </c>
      <c r="H1618" s="1" t="s">
        <v>144</v>
      </c>
      <c r="I1618" s="14"/>
    </row>
    <row r="1619" spans="1:9" x14ac:dyDescent="0.25">
      <c r="A1619" s="14">
        <v>2016</v>
      </c>
      <c r="B1619" s="14">
        <v>193</v>
      </c>
      <c r="C1619" s="15">
        <v>42562</v>
      </c>
      <c r="D1619" s="16">
        <v>0.40416666666666662</v>
      </c>
      <c r="E1619" s="14">
        <v>70</v>
      </c>
      <c r="F1619" s="14">
        <v>18</v>
      </c>
      <c r="G1619" s="17">
        <v>0.31325729160582721</v>
      </c>
      <c r="H1619" s="1" t="s">
        <v>144</v>
      </c>
      <c r="I1619" s="14"/>
    </row>
    <row r="1620" spans="1:9" x14ac:dyDescent="0.25">
      <c r="A1620" s="14">
        <v>2016</v>
      </c>
      <c r="B1620" s="14">
        <v>193</v>
      </c>
      <c r="C1620" s="15">
        <v>42562</v>
      </c>
      <c r="D1620" s="16">
        <v>0.39652777777777781</v>
      </c>
      <c r="E1620" s="14">
        <v>70</v>
      </c>
      <c r="F1620" s="14">
        <v>19</v>
      </c>
      <c r="G1620" s="17">
        <v>0.30574664840554189</v>
      </c>
      <c r="H1620" s="1" t="s">
        <v>144</v>
      </c>
      <c r="I1620" s="14"/>
    </row>
    <row r="1621" spans="1:9" x14ac:dyDescent="0.25">
      <c r="A1621" s="14">
        <v>2016</v>
      </c>
      <c r="B1621" s="14">
        <v>193</v>
      </c>
      <c r="C1621" s="15">
        <v>42562</v>
      </c>
      <c r="D1621" s="16">
        <v>0.39027777777777778</v>
      </c>
      <c r="E1621" s="14">
        <v>70</v>
      </c>
      <c r="F1621" s="14">
        <v>20</v>
      </c>
      <c r="G1621" s="17">
        <v>0.30732663127389459</v>
      </c>
      <c r="H1621" s="1" t="s">
        <v>144</v>
      </c>
      <c r="I1621" s="14"/>
    </row>
    <row r="1622" spans="1:9" x14ac:dyDescent="0.25">
      <c r="A1622" s="14">
        <v>2016</v>
      </c>
      <c r="B1622" s="14">
        <v>193</v>
      </c>
      <c r="C1622" s="15">
        <v>42562</v>
      </c>
      <c r="D1622" s="16">
        <v>0.28125</v>
      </c>
      <c r="E1622" s="14">
        <v>50</v>
      </c>
      <c r="F1622" s="14">
        <v>1</v>
      </c>
      <c r="G1622" s="17">
        <v>0.30796778374221162</v>
      </c>
      <c r="H1622" s="1" t="s">
        <v>143</v>
      </c>
      <c r="I1622" s="14"/>
    </row>
    <row r="1623" spans="1:9" x14ac:dyDescent="0.25">
      <c r="A1623" s="14">
        <v>2016</v>
      </c>
      <c r="B1623" s="14">
        <v>193</v>
      </c>
      <c r="C1623" s="15">
        <v>42562</v>
      </c>
      <c r="D1623" s="16">
        <v>0.28958333333333336</v>
      </c>
      <c r="E1623" s="14">
        <v>50</v>
      </c>
      <c r="F1623" s="14">
        <v>2</v>
      </c>
      <c r="G1623" s="17">
        <v>0.32303486674766207</v>
      </c>
      <c r="H1623" s="1" t="s">
        <v>143</v>
      </c>
      <c r="I1623" s="14"/>
    </row>
    <row r="1624" spans="1:9" x14ac:dyDescent="0.25">
      <c r="A1624" s="14">
        <v>2016</v>
      </c>
      <c r="B1624" s="14">
        <v>193</v>
      </c>
      <c r="C1624" s="15">
        <v>42562</v>
      </c>
      <c r="D1624" s="16">
        <v>0.29236111111111113</v>
      </c>
      <c r="E1624" s="14">
        <v>50</v>
      </c>
      <c r="F1624" s="14">
        <v>3</v>
      </c>
      <c r="G1624" s="17">
        <v>0.30599852973238073</v>
      </c>
      <c r="H1624" s="1" t="s">
        <v>143</v>
      </c>
      <c r="I1624" s="14"/>
    </row>
    <row r="1625" spans="1:9" x14ac:dyDescent="0.25">
      <c r="A1625" s="14">
        <v>2016</v>
      </c>
      <c r="B1625" s="14">
        <v>193</v>
      </c>
      <c r="C1625" s="15">
        <v>42562</v>
      </c>
      <c r="D1625" s="16">
        <v>0.29930555555555555</v>
      </c>
      <c r="E1625" s="14">
        <v>50</v>
      </c>
      <c r="F1625" s="14">
        <v>4</v>
      </c>
      <c r="G1625" s="17">
        <v>0.2951676326783107</v>
      </c>
      <c r="H1625" s="1" t="s">
        <v>143</v>
      </c>
      <c r="I1625" s="14"/>
    </row>
    <row r="1626" spans="1:9" x14ac:dyDescent="0.25">
      <c r="A1626" s="14">
        <v>2016</v>
      </c>
      <c r="B1626" s="14">
        <v>193</v>
      </c>
      <c r="C1626" s="15">
        <v>42562</v>
      </c>
      <c r="D1626" s="16">
        <v>0.31458333333333333</v>
      </c>
      <c r="E1626" s="14">
        <v>50</v>
      </c>
      <c r="F1626" s="14">
        <v>5</v>
      </c>
      <c r="G1626" s="17">
        <v>0.28571063377063433</v>
      </c>
      <c r="H1626" s="1" t="s">
        <v>0</v>
      </c>
      <c r="I1626" s="14"/>
    </row>
    <row r="1627" spans="1:9" x14ac:dyDescent="0.25">
      <c r="A1627" s="14">
        <v>2016</v>
      </c>
      <c r="B1627" s="14">
        <v>193</v>
      </c>
      <c r="C1627" s="15">
        <v>42562</v>
      </c>
      <c r="D1627" s="16">
        <v>0.32013888888888892</v>
      </c>
      <c r="E1627" s="14">
        <v>50</v>
      </c>
      <c r="F1627" s="14">
        <v>6</v>
      </c>
      <c r="G1627" s="17">
        <v>0.28314602389736615</v>
      </c>
      <c r="H1627" s="1" t="s">
        <v>0</v>
      </c>
      <c r="I1627" s="14"/>
    </row>
    <row r="1628" spans="1:9" x14ac:dyDescent="0.25">
      <c r="A1628" s="14">
        <v>2016</v>
      </c>
      <c r="B1628" s="14">
        <v>193</v>
      </c>
      <c r="C1628" s="15">
        <v>42562</v>
      </c>
      <c r="D1628" s="16">
        <v>0.32708333333333334</v>
      </c>
      <c r="E1628" s="14">
        <v>50</v>
      </c>
      <c r="F1628" s="14">
        <v>7</v>
      </c>
      <c r="G1628" s="17">
        <v>0.31037210549840055</v>
      </c>
      <c r="H1628" s="1" t="s">
        <v>143</v>
      </c>
      <c r="I1628" s="14"/>
    </row>
    <row r="1629" spans="1:9" x14ac:dyDescent="0.25">
      <c r="A1629" s="14">
        <v>2016</v>
      </c>
      <c r="B1629" s="14">
        <v>193</v>
      </c>
      <c r="C1629" s="15">
        <v>42562</v>
      </c>
      <c r="D1629" s="16">
        <v>0.3347222222222222</v>
      </c>
      <c r="E1629" s="14">
        <v>50</v>
      </c>
      <c r="F1629" s="14">
        <v>8</v>
      </c>
      <c r="G1629" s="17">
        <v>0.30048003884436619</v>
      </c>
      <c r="H1629" s="1" t="s">
        <v>143</v>
      </c>
      <c r="I1629" s="14"/>
    </row>
    <row r="1630" spans="1:9" x14ac:dyDescent="0.25">
      <c r="A1630" s="14">
        <v>2016</v>
      </c>
      <c r="B1630" s="14">
        <v>193</v>
      </c>
      <c r="C1630" s="15">
        <v>42562</v>
      </c>
      <c r="D1630" s="16">
        <v>0.3444444444444445</v>
      </c>
      <c r="E1630" s="14">
        <v>50</v>
      </c>
      <c r="F1630" s="14">
        <v>9</v>
      </c>
      <c r="G1630" s="17">
        <v>0.29777803915645862</v>
      </c>
      <c r="H1630" s="1" t="s">
        <v>143</v>
      </c>
      <c r="I1630" s="14"/>
    </row>
    <row r="1631" spans="1:9" x14ac:dyDescent="0.25">
      <c r="A1631" s="14">
        <v>2016</v>
      </c>
      <c r="B1631" s="14">
        <v>193</v>
      </c>
      <c r="C1631" s="15">
        <v>42562</v>
      </c>
      <c r="D1631" s="16">
        <v>0.35486111111111113</v>
      </c>
      <c r="E1631" s="14">
        <v>50</v>
      </c>
      <c r="F1631" s="14">
        <v>10</v>
      </c>
      <c r="G1631" s="17">
        <v>0.32878234066007561</v>
      </c>
      <c r="H1631" s="1" t="s">
        <v>143</v>
      </c>
      <c r="I1631" s="14"/>
    </row>
    <row r="1632" spans="1:9" x14ac:dyDescent="0.25">
      <c r="A1632" s="14">
        <v>2016</v>
      </c>
      <c r="B1632" s="14">
        <v>193</v>
      </c>
      <c r="C1632" s="15">
        <v>42562</v>
      </c>
      <c r="D1632" s="16">
        <v>0.43958333333333338</v>
      </c>
      <c r="E1632" s="14">
        <v>50</v>
      </c>
      <c r="F1632" s="14">
        <v>11</v>
      </c>
      <c r="G1632" s="17">
        <v>0.30125858112732257</v>
      </c>
      <c r="H1632" s="1" t="s">
        <v>144</v>
      </c>
      <c r="I1632" s="14"/>
    </row>
    <row r="1633" spans="1:9" x14ac:dyDescent="0.25">
      <c r="A1633" s="14">
        <v>2016</v>
      </c>
      <c r="B1633" s="14">
        <v>193</v>
      </c>
      <c r="C1633" s="15">
        <v>42562</v>
      </c>
      <c r="D1633" s="16">
        <v>0.4465277777777778</v>
      </c>
      <c r="E1633" s="14">
        <v>50</v>
      </c>
      <c r="F1633" s="14">
        <v>12</v>
      </c>
      <c r="G1633" s="17">
        <v>0.30050293714680609</v>
      </c>
      <c r="H1633" s="1" t="s">
        <v>144</v>
      </c>
      <c r="I1633" s="14"/>
    </row>
    <row r="1634" spans="1:9" x14ac:dyDescent="0.25">
      <c r="A1634" s="14">
        <v>2016</v>
      </c>
      <c r="B1634" s="14">
        <v>193</v>
      </c>
      <c r="C1634" s="15">
        <v>42562</v>
      </c>
      <c r="D1634" s="16">
        <v>0.45347222222222222</v>
      </c>
      <c r="E1634" s="14">
        <v>50</v>
      </c>
      <c r="F1634" s="14">
        <v>13</v>
      </c>
      <c r="G1634" s="17">
        <v>0.25674428118416798</v>
      </c>
      <c r="H1634" s="1" t="s">
        <v>144</v>
      </c>
      <c r="I1634" s="14"/>
    </row>
    <row r="1635" spans="1:9" x14ac:dyDescent="0.25">
      <c r="A1635" s="14">
        <v>2016</v>
      </c>
      <c r="B1635" s="14">
        <v>193</v>
      </c>
      <c r="C1635" s="15">
        <v>42562</v>
      </c>
      <c r="D1635" s="16">
        <v>0.43263888888888885</v>
      </c>
      <c r="E1635" s="14">
        <v>50</v>
      </c>
      <c r="F1635" s="14">
        <v>14</v>
      </c>
      <c r="G1635" s="17">
        <v>0.25491241698897643</v>
      </c>
      <c r="H1635" s="1" t="s">
        <v>144</v>
      </c>
      <c r="I1635" s="14"/>
    </row>
    <row r="1636" spans="1:9" x14ac:dyDescent="0.25">
      <c r="A1636" s="14">
        <v>2016</v>
      </c>
      <c r="B1636" s="14">
        <v>193</v>
      </c>
      <c r="C1636" s="15">
        <v>42562</v>
      </c>
      <c r="D1636" s="16">
        <v>0.4201388888888889</v>
      </c>
      <c r="E1636" s="14">
        <v>50</v>
      </c>
      <c r="F1636" s="14">
        <v>15</v>
      </c>
      <c r="G1636" s="17">
        <v>0.28023793948749964</v>
      </c>
      <c r="H1636" s="1" t="s">
        <v>1</v>
      </c>
      <c r="I1636" s="14"/>
    </row>
    <row r="1637" spans="1:9" x14ac:dyDescent="0.25">
      <c r="A1637" s="14">
        <v>2016</v>
      </c>
      <c r="B1637" s="14">
        <v>193</v>
      </c>
      <c r="C1637" s="15">
        <v>42562</v>
      </c>
      <c r="D1637" s="16">
        <v>0.42499999999999999</v>
      </c>
      <c r="E1637" s="14">
        <v>50</v>
      </c>
      <c r="F1637" s="14">
        <v>16</v>
      </c>
      <c r="G1637" s="17">
        <v>0.28408485429740188</v>
      </c>
      <c r="H1637" s="1" t="s">
        <v>1</v>
      </c>
      <c r="I1637" s="14"/>
    </row>
    <row r="1638" spans="1:9" x14ac:dyDescent="0.25">
      <c r="A1638" s="14">
        <v>2016</v>
      </c>
      <c r="B1638" s="14">
        <v>193</v>
      </c>
      <c r="C1638" s="15">
        <v>42562</v>
      </c>
      <c r="D1638" s="16">
        <v>0.41111111111111115</v>
      </c>
      <c r="E1638" s="14">
        <v>50</v>
      </c>
      <c r="F1638" s="14">
        <v>17</v>
      </c>
      <c r="G1638" s="17">
        <v>0.31751637585964754</v>
      </c>
      <c r="H1638" s="1" t="s">
        <v>144</v>
      </c>
      <c r="I1638" s="14"/>
    </row>
    <row r="1639" spans="1:9" x14ac:dyDescent="0.25">
      <c r="A1639" s="14">
        <v>2016</v>
      </c>
      <c r="B1639" s="14">
        <v>193</v>
      </c>
      <c r="C1639" s="15">
        <v>42562</v>
      </c>
      <c r="D1639" s="16">
        <v>0.40416666666666662</v>
      </c>
      <c r="E1639" s="14">
        <v>50</v>
      </c>
      <c r="F1639" s="14">
        <v>18</v>
      </c>
      <c r="G1639" s="17">
        <v>0.30169364887368061</v>
      </c>
      <c r="H1639" s="1" t="s">
        <v>144</v>
      </c>
      <c r="I1639" s="14"/>
    </row>
    <row r="1640" spans="1:9" x14ac:dyDescent="0.25">
      <c r="A1640" s="14">
        <v>2016</v>
      </c>
      <c r="B1640" s="14">
        <v>193</v>
      </c>
      <c r="C1640" s="15">
        <v>42562</v>
      </c>
      <c r="D1640" s="16">
        <v>0.39652777777777781</v>
      </c>
      <c r="E1640" s="14">
        <v>50</v>
      </c>
      <c r="F1640" s="14">
        <v>19</v>
      </c>
      <c r="G1640" s="17">
        <v>0.29800702218085762</v>
      </c>
      <c r="H1640" s="1" t="s">
        <v>144</v>
      </c>
      <c r="I1640" s="14"/>
    </row>
    <row r="1641" spans="1:9" x14ac:dyDescent="0.25">
      <c r="A1641" s="14">
        <v>2016</v>
      </c>
      <c r="B1641" s="14">
        <v>193</v>
      </c>
      <c r="C1641" s="15">
        <v>42562</v>
      </c>
      <c r="D1641" s="16">
        <v>0.39027777777777778</v>
      </c>
      <c r="E1641" s="14">
        <v>50</v>
      </c>
      <c r="F1641" s="14">
        <v>20</v>
      </c>
      <c r="G1641" s="17">
        <v>0.30116698791756302</v>
      </c>
      <c r="H1641" s="1" t="s">
        <v>144</v>
      </c>
      <c r="I1641" s="14"/>
    </row>
    <row r="1642" spans="1:9" x14ac:dyDescent="0.25">
      <c r="A1642" s="14">
        <v>2016</v>
      </c>
      <c r="B1642" s="14">
        <v>193</v>
      </c>
      <c r="C1642" s="15">
        <v>42562</v>
      </c>
      <c r="D1642" s="16">
        <v>0.28125</v>
      </c>
      <c r="E1642" s="14">
        <v>30</v>
      </c>
      <c r="F1642" s="14">
        <v>1</v>
      </c>
      <c r="G1642" s="17">
        <v>0.24543251977886021</v>
      </c>
      <c r="H1642" s="1" t="s">
        <v>143</v>
      </c>
      <c r="I1642" s="14"/>
    </row>
    <row r="1643" spans="1:9" x14ac:dyDescent="0.25">
      <c r="A1643" s="14">
        <v>2016</v>
      </c>
      <c r="B1643" s="14">
        <v>193</v>
      </c>
      <c r="C1643" s="15">
        <v>42562</v>
      </c>
      <c r="D1643" s="16">
        <v>0.28958333333333336</v>
      </c>
      <c r="E1643" s="14">
        <v>30</v>
      </c>
      <c r="F1643" s="14">
        <v>2</v>
      </c>
      <c r="G1643" s="17">
        <v>0.27375771989700948</v>
      </c>
      <c r="H1643" s="1" t="s">
        <v>143</v>
      </c>
      <c r="I1643" s="14"/>
    </row>
    <row r="1644" spans="1:9" x14ac:dyDescent="0.25">
      <c r="A1644" s="14">
        <v>2016</v>
      </c>
      <c r="B1644" s="14">
        <v>193</v>
      </c>
      <c r="C1644" s="15">
        <v>42562</v>
      </c>
      <c r="D1644" s="16">
        <v>0.29236111111111113</v>
      </c>
      <c r="E1644" s="14">
        <v>30</v>
      </c>
      <c r="F1644" s="14">
        <v>3</v>
      </c>
      <c r="G1644" s="17">
        <v>0.23327352118327632</v>
      </c>
      <c r="H1644" s="1" t="s">
        <v>143</v>
      </c>
      <c r="I1644" s="14"/>
    </row>
    <row r="1645" spans="1:9" x14ac:dyDescent="0.25">
      <c r="A1645" s="14">
        <v>2016</v>
      </c>
      <c r="B1645" s="14">
        <v>193</v>
      </c>
      <c r="C1645" s="15">
        <v>42562</v>
      </c>
      <c r="D1645" s="16">
        <v>0.29930555555555555</v>
      </c>
      <c r="E1645" s="14">
        <v>30</v>
      </c>
      <c r="F1645" s="14">
        <v>4</v>
      </c>
      <c r="G1645" s="17">
        <v>0.24806582455944809</v>
      </c>
      <c r="H1645" s="1" t="s">
        <v>143</v>
      </c>
      <c r="I1645" s="14"/>
    </row>
    <row r="1646" spans="1:9" x14ac:dyDescent="0.25">
      <c r="A1646" s="14">
        <v>2016</v>
      </c>
      <c r="B1646" s="14">
        <v>193</v>
      </c>
      <c r="C1646" s="15">
        <v>42562</v>
      </c>
      <c r="D1646" s="16">
        <v>0.31458333333333333</v>
      </c>
      <c r="E1646" s="14">
        <v>30</v>
      </c>
      <c r="F1646" s="14">
        <v>5</v>
      </c>
      <c r="G1646" s="17">
        <v>0.26423202608201346</v>
      </c>
      <c r="H1646" s="1" t="s">
        <v>0</v>
      </c>
      <c r="I1646" s="14"/>
    </row>
    <row r="1647" spans="1:9" x14ac:dyDescent="0.25">
      <c r="A1647" s="14">
        <v>2016</v>
      </c>
      <c r="B1647" s="14">
        <v>193</v>
      </c>
      <c r="C1647" s="15">
        <v>42562</v>
      </c>
      <c r="D1647" s="16">
        <v>0.32013888888888892</v>
      </c>
      <c r="E1647" s="14">
        <v>30</v>
      </c>
      <c r="F1647" s="14">
        <v>6</v>
      </c>
      <c r="G1647" s="17">
        <v>0.2627436364234203</v>
      </c>
      <c r="H1647" s="1" t="s">
        <v>0</v>
      </c>
      <c r="I1647" s="14"/>
    </row>
    <row r="1648" spans="1:9" x14ac:dyDescent="0.25">
      <c r="A1648" s="14">
        <v>2016</v>
      </c>
      <c r="B1648" s="14">
        <v>193</v>
      </c>
      <c r="C1648" s="15">
        <v>42562</v>
      </c>
      <c r="D1648" s="16">
        <v>0.32708333333333334</v>
      </c>
      <c r="E1648" s="14">
        <v>30</v>
      </c>
      <c r="F1648" s="14">
        <v>7</v>
      </c>
      <c r="G1648" s="17">
        <v>0.25727094214028556</v>
      </c>
      <c r="H1648" s="1" t="s">
        <v>143</v>
      </c>
      <c r="I1648" s="14"/>
    </row>
    <row r="1649" spans="1:9" x14ac:dyDescent="0.25">
      <c r="A1649" s="14">
        <v>2016</v>
      </c>
      <c r="B1649" s="14">
        <v>193</v>
      </c>
      <c r="C1649" s="15">
        <v>42562</v>
      </c>
      <c r="D1649" s="16">
        <v>0.3347222222222222</v>
      </c>
      <c r="E1649" s="14">
        <v>30</v>
      </c>
      <c r="F1649" s="14">
        <v>8</v>
      </c>
      <c r="G1649" s="17">
        <v>0.26665924614064224</v>
      </c>
      <c r="H1649" s="1" t="s">
        <v>143</v>
      </c>
      <c r="I1649" s="14"/>
    </row>
    <row r="1650" spans="1:9" x14ac:dyDescent="0.25">
      <c r="A1650" s="14">
        <v>2016</v>
      </c>
      <c r="B1650" s="14">
        <v>193</v>
      </c>
      <c r="C1650" s="15">
        <v>42562</v>
      </c>
      <c r="D1650" s="16">
        <v>0.3444444444444445</v>
      </c>
      <c r="E1650" s="14">
        <v>30</v>
      </c>
      <c r="F1650" s="14">
        <v>9</v>
      </c>
      <c r="G1650" s="17">
        <v>0.25156926483275188</v>
      </c>
      <c r="H1650" s="1" t="s">
        <v>143</v>
      </c>
      <c r="I1650" s="14"/>
    </row>
    <row r="1651" spans="1:9" x14ac:dyDescent="0.25">
      <c r="A1651" s="14">
        <v>2016</v>
      </c>
      <c r="B1651" s="14">
        <v>193</v>
      </c>
      <c r="C1651" s="15">
        <v>42562</v>
      </c>
      <c r="D1651" s="16">
        <v>0.35486111111111113</v>
      </c>
      <c r="E1651" s="14">
        <v>30</v>
      </c>
      <c r="F1651" s="14">
        <v>10</v>
      </c>
      <c r="G1651" s="17">
        <v>0.27735275338007293</v>
      </c>
      <c r="H1651" s="1" t="s">
        <v>143</v>
      </c>
      <c r="I1651" s="14"/>
    </row>
    <row r="1652" spans="1:9" x14ac:dyDescent="0.25">
      <c r="A1652" s="14">
        <v>2016</v>
      </c>
      <c r="B1652" s="14">
        <v>193</v>
      </c>
      <c r="C1652" s="15">
        <v>42562</v>
      </c>
      <c r="D1652" s="16">
        <v>0.43958333333333338</v>
      </c>
      <c r="E1652" s="14">
        <v>30</v>
      </c>
      <c r="F1652" s="14">
        <v>11</v>
      </c>
      <c r="G1652" s="17">
        <v>0.23288425004179814</v>
      </c>
      <c r="H1652" s="1" t="s">
        <v>144</v>
      </c>
      <c r="I1652" s="14"/>
    </row>
    <row r="1653" spans="1:9" x14ac:dyDescent="0.25">
      <c r="A1653" s="14">
        <v>2016</v>
      </c>
      <c r="B1653" s="14">
        <v>193</v>
      </c>
      <c r="C1653" s="15">
        <v>42562</v>
      </c>
      <c r="D1653" s="16">
        <v>0.4465277777777778</v>
      </c>
      <c r="E1653" s="14">
        <v>30</v>
      </c>
      <c r="F1653" s="14">
        <v>12</v>
      </c>
      <c r="G1653" s="17">
        <v>0.19892606752343478</v>
      </c>
      <c r="H1653" s="1" t="s">
        <v>144</v>
      </c>
      <c r="I1653" s="14"/>
    </row>
    <row r="1654" spans="1:9" x14ac:dyDescent="0.25">
      <c r="A1654" s="14">
        <v>2016</v>
      </c>
      <c r="B1654" s="14">
        <v>193</v>
      </c>
      <c r="C1654" s="15">
        <v>42562</v>
      </c>
      <c r="D1654" s="16">
        <v>0.45347222222222222</v>
      </c>
      <c r="E1654" s="14">
        <v>30</v>
      </c>
      <c r="F1654" s="14">
        <v>13</v>
      </c>
      <c r="G1654" s="17">
        <v>0.15894563146337931</v>
      </c>
      <c r="H1654" s="1" t="s">
        <v>144</v>
      </c>
      <c r="I1654" s="14"/>
    </row>
    <row r="1655" spans="1:9" x14ac:dyDescent="0.25">
      <c r="A1655" s="14">
        <v>2016</v>
      </c>
      <c r="B1655" s="14">
        <v>193</v>
      </c>
      <c r="C1655" s="15">
        <v>42562</v>
      </c>
      <c r="D1655" s="16">
        <v>0.43263888888888885</v>
      </c>
      <c r="E1655" s="14">
        <v>30</v>
      </c>
      <c r="F1655" s="14">
        <v>14</v>
      </c>
      <c r="G1655" s="17">
        <v>0.15578566572667385</v>
      </c>
      <c r="H1655" s="1" t="s">
        <v>144</v>
      </c>
      <c r="I1655" s="14"/>
    </row>
    <row r="1656" spans="1:9" x14ac:dyDescent="0.25">
      <c r="A1656" s="14">
        <v>2016</v>
      </c>
      <c r="B1656" s="14">
        <v>193</v>
      </c>
      <c r="C1656" s="15">
        <v>42562</v>
      </c>
      <c r="D1656" s="16">
        <v>0.4201388888888889</v>
      </c>
      <c r="E1656" s="14">
        <v>30</v>
      </c>
      <c r="F1656" s="14">
        <v>15</v>
      </c>
      <c r="G1656" s="17">
        <v>0.2728188894969738</v>
      </c>
      <c r="H1656" s="1" t="s">
        <v>1</v>
      </c>
      <c r="I1656" s="14"/>
    </row>
    <row r="1657" spans="1:9" x14ac:dyDescent="0.25">
      <c r="A1657" s="14">
        <v>2016</v>
      </c>
      <c r="B1657" s="14">
        <v>193</v>
      </c>
      <c r="C1657" s="15">
        <v>42562</v>
      </c>
      <c r="D1657" s="16">
        <v>0.42499999999999999</v>
      </c>
      <c r="E1657" s="14">
        <v>30</v>
      </c>
      <c r="F1657" s="14">
        <v>16</v>
      </c>
      <c r="G1657" s="17">
        <v>0.2611865518575075</v>
      </c>
      <c r="H1657" s="1" t="s">
        <v>1</v>
      </c>
      <c r="I1657" s="14"/>
    </row>
    <row r="1658" spans="1:9" x14ac:dyDescent="0.25">
      <c r="A1658" s="14">
        <v>2016</v>
      </c>
      <c r="B1658" s="14">
        <v>193</v>
      </c>
      <c r="C1658" s="15">
        <v>42562</v>
      </c>
      <c r="D1658" s="16">
        <v>0.41111111111111115</v>
      </c>
      <c r="E1658" s="14">
        <v>30</v>
      </c>
      <c r="F1658" s="14">
        <v>17</v>
      </c>
      <c r="G1658" s="17">
        <v>0.27258990647257492</v>
      </c>
      <c r="H1658" s="1" t="s">
        <v>144</v>
      </c>
      <c r="I1658" s="14"/>
    </row>
    <row r="1659" spans="1:9" x14ac:dyDescent="0.25">
      <c r="A1659" s="14">
        <v>2016</v>
      </c>
      <c r="B1659" s="14">
        <v>193</v>
      </c>
      <c r="C1659" s="15">
        <v>42562</v>
      </c>
      <c r="D1659" s="16">
        <v>0.40416666666666662</v>
      </c>
      <c r="E1659" s="14">
        <v>30</v>
      </c>
      <c r="F1659" s="14">
        <v>18</v>
      </c>
      <c r="G1659" s="17">
        <v>0.21234447275321289</v>
      </c>
      <c r="H1659" s="1" t="s">
        <v>144</v>
      </c>
      <c r="I1659" s="14"/>
    </row>
    <row r="1660" spans="1:9" x14ac:dyDescent="0.25">
      <c r="A1660" s="14">
        <v>2016</v>
      </c>
      <c r="B1660" s="14">
        <v>193</v>
      </c>
      <c r="C1660" s="15">
        <v>42562</v>
      </c>
      <c r="D1660" s="16">
        <v>0.39652777777777781</v>
      </c>
      <c r="E1660" s="14">
        <v>30</v>
      </c>
      <c r="F1660" s="14">
        <v>19</v>
      </c>
      <c r="G1660" s="17">
        <v>0.23771579185661579</v>
      </c>
      <c r="H1660" s="1" t="s">
        <v>144</v>
      </c>
      <c r="I1660" s="14"/>
    </row>
    <row r="1661" spans="1:9" x14ac:dyDescent="0.25">
      <c r="A1661" s="14">
        <v>2016</v>
      </c>
      <c r="B1661" s="14">
        <v>193</v>
      </c>
      <c r="C1661" s="15">
        <v>42562</v>
      </c>
      <c r="D1661" s="16">
        <v>0.39027777777777778</v>
      </c>
      <c r="E1661" s="14">
        <v>30</v>
      </c>
      <c r="F1661" s="14">
        <v>20</v>
      </c>
      <c r="G1661" s="17">
        <v>0.24245574046167395</v>
      </c>
      <c r="H1661" s="1" t="s">
        <v>144</v>
      </c>
      <c r="I1661" s="14"/>
    </row>
    <row r="1662" spans="1:9" x14ac:dyDescent="0.25">
      <c r="A1662" s="14">
        <v>2016</v>
      </c>
      <c r="B1662" s="14">
        <v>193</v>
      </c>
      <c r="C1662" s="15">
        <v>42562</v>
      </c>
      <c r="D1662" s="16">
        <v>0.28125</v>
      </c>
      <c r="E1662" s="14">
        <v>10</v>
      </c>
      <c r="F1662" s="14">
        <v>1</v>
      </c>
      <c r="G1662" s="17">
        <v>0.1686042138502179</v>
      </c>
      <c r="H1662" s="1" t="s">
        <v>143</v>
      </c>
      <c r="I1662" s="14"/>
    </row>
    <row r="1663" spans="1:9" x14ac:dyDescent="0.25">
      <c r="A1663" s="14">
        <v>2016</v>
      </c>
      <c r="B1663" s="14">
        <v>193</v>
      </c>
      <c r="C1663" s="15">
        <v>42562</v>
      </c>
      <c r="D1663" s="16">
        <v>0.28958333333333336</v>
      </c>
      <c r="E1663" s="14">
        <v>10</v>
      </c>
      <c r="F1663" s="14">
        <v>2</v>
      </c>
      <c r="G1663" s="17">
        <v>0.15134094044606933</v>
      </c>
      <c r="H1663" s="1" t="s">
        <v>143</v>
      </c>
      <c r="I1663" s="14"/>
    </row>
    <row r="1664" spans="1:9" x14ac:dyDescent="0.25">
      <c r="A1664" s="14">
        <v>2016</v>
      </c>
      <c r="B1664" s="14">
        <v>193</v>
      </c>
      <c r="C1664" s="15">
        <v>42562</v>
      </c>
      <c r="D1664" s="16">
        <v>0.29236111111111113</v>
      </c>
      <c r="E1664" s="14">
        <v>10</v>
      </c>
      <c r="F1664" s="14">
        <v>3</v>
      </c>
      <c r="G1664" s="17">
        <v>0.14175023299932007</v>
      </c>
      <c r="H1664" s="1" t="s">
        <v>143</v>
      </c>
      <c r="I1664" s="14"/>
    </row>
    <row r="1665" spans="1:9" x14ac:dyDescent="0.25">
      <c r="A1665" s="14">
        <v>2016</v>
      </c>
      <c r="B1665" s="14">
        <v>193</v>
      </c>
      <c r="C1665" s="15">
        <v>42562</v>
      </c>
      <c r="D1665" s="16">
        <v>0.29930555555555555</v>
      </c>
      <c r="E1665" s="14">
        <v>10</v>
      </c>
      <c r="F1665" s="14">
        <v>4</v>
      </c>
      <c r="G1665" s="17">
        <v>0.15711454632901234</v>
      </c>
      <c r="H1665" s="1" t="s">
        <v>143</v>
      </c>
      <c r="I1665" s="14"/>
    </row>
    <row r="1666" spans="1:9" x14ac:dyDescent="0.25">
      <c r="A1666" s="14">
        <v>2016</v>
      </c>
      <c r="B1666" s="14">
        <v>193</v>
      </c>
      <c r="C1666" s="15">
        <v>42562</v>
      </c>
      <c r="D1666" s="16">
        <v>0.31458333333333333</v>
      </c>
      <c r="E1666" s="14">
        <v>10</v>
      </c>
      <c r="F1666" s="14">
        <v>5</v>
      </c>
      <c r="G1666" s="17">
        <v>0.15711454632901234</v>
      </c>
      <c r="H1666" s="1" t="s">
        <v>0</v>
      </c>
      <c r="I1666" s="14"/>
    </row>
    <row r="1667" spans="1:9" x14ac:dyDescent="0.25">
      <c r="A1667" s="14">
        <v>2016</v>
      </c>
      <c r="B1667" s="14">
        <v>193</v>
      </c>
      <c r="C1667" s="15">
        <v>42562</v>
      </c>
      <c r="D1667" s="16">
        <v>0.32013888888888892</v>
      </c>
      <c r="E1667" s="14">
        <v>10</v>
      </c>
      <c r="F1667" s="14">
        <v>6</v>
      </c>
      <c r="G1667" s="17">
        <v>0.17786883724377767</v>
      </c>
      <c r="H1667" s="1" t="s">
        <v>0</v>
      </c>
      <c r="I1667" s="14"/>
    </row>
    <row r="1668" spans="1:9" x14ac:dyDescent="0.25">
      <c r="A1668" s="14">
        <v>2016</v>
      </c>
      <c r="B1668" s="14">
        <v>193</v>
      </c>
      <c r="C1668" s="15">
        <v>42562</v>
      </c>
      <c r="D1668" s="16">
        <v>0.32708333333333334</v>
      </c>
      <c r="E1668" s="14">
        <v>10</v>
      </c>
      <c r="F1668" s="14">
        <v>7</v>
      </c>
      <c r="G1668" s="17">
        <v>0.16208253278642842</v>
      </c>
      <c r="H1668" s="1" t="s">
        <v>143</v>
      </c>
      <c r="I1668" s="14"/>
    </row>
    <row r="1669" spans="1:9" x14ac:dyDescent="0.25">
      <c r="A1669" s="14">
        <v>2016</v>
      </c>
      <c r="B1669" s="14">
        <v>193</v>
      </c>
      <c r="C1669" s="15">
        <v>42562</v>
      </c>
      <c r="D1669" s="16">
        <v>0.3347222222222222</v>
      </c>
      <c r="E1669" s="14">
        <v>10</v>
      </c>
      <c r="F1669" s="14">
        <v>8</v>
      </c>
      <c r="G1669" s="17">
        <v>0.16146872750983648</v>
      </c>
      <c r="H1669" s="1" t="s">
        <v>143</v>
      </c>
      <c r="I1669" s="14"/>
    </row>
    <row r="1670" spans="1:9" x14ac:dyDescent="0.25">
      <c r="A1670" s="14">
        <v>2016</v>
      </c>
      <c r="B1670" s="14">
        <v>193</v>
      </c>
      <c r="C1670" s="15">
        <v>42562</v>
      </c>
      <c r="D1670" s="16">
        <v>0.3444444444444445</v>
      </c>
      <c r="E1670" s="14">
        <v>10</v>
      </c>
      <c r="F1670" s="14">
        <v>9</v>
      </c>
      <c r="G1670" s="17">
        <v>0.15333580759499316</v>
      </c>
      <c r="H1670" s="1" t="s">
        <v>143</v>
      </c>
      <c r="I1670" s="14"/>
    </row>
    <row r="1671" spans="1:9" x14ac:dyDescent="0.25">
      <c r="A1671" s="14">
        <v>2016</v>
      </c>
      <c r="B1671" s="14">
        <v>193</v>
      </c>
      <c r="C1671" s="15">
        <v>42562</v>
      </c>
      <c r="D1671" s="16">
        <v>0.35486111111111113</v>
      </c>
      <c r="E1671" s="14">
        <v>10</v>
      </c>
      <c r="F1671" s="14">
        <v>10</v>
      </c>
      <c r="G1671" s="17">
        <v>0.16474874945662471</v>
      </c>
      <c r="H1671" s="1" t="s">
        <v>143</v>
      </c>
      <c r="I1671" s="14"/>
    </row>
    <row r="1672" spans="1:9" x14ac:dyDescent="0.25">
      <c r="A1672" s="14">
        <v>2016</v>
      </c>
      <c r="B1672" s="14">
        <v>193</v>
      </c>
      <c r="C1672" s="15">
        <v>42562</v>
      </c>
      <c r="D1672" s="16">
        <v>0.43958333333333338</v>
      </c>
      <c r="E1672" s="14">
        <v>10</v>
      </c>
      <c r="F1672" s="14">
        <v>11</v>
      </c>
      <c r="G1672" s="17">
        <v>0.14320802053122594</v>
      </c>
      <c r="H1672" s="1" t="s">
        <v>144</v>
      </c>
      <c r="I1672" s="14"/>
    </row>
    <row r="1673" spans="1:9" x14ac:dyDescent="0.25">
      <c r="A1673" s="14">
        <v>2016</v>
      </c>
      <c r="B1673" s="14">
        <v>193</v>
      </c>
      <c r="C1673" s="15">
        <v>42562</v>
      </c>
      <c r="D1673" s="16">
        <v>0.4465277777777778</v>
      </c>
      <c r="E1673" s="14">
        <v>10</v>
      </c>
      <c r="F1673" s="14">
        <v>12</v>
      </c>
      <c r="G1673" s="17">
        <v>0.12517749053133742</v>
      </c>
      <c r="H1673" s="1" t="s">
        <v>144</v>
      </c>
      <c r="I1673" s="14"/>
    </row>
    <row r="1674" spans="1:9" x14ac:dyDescent="0.25">
      <c r="A1674" s="14">
        <v>2016</v>
      </c>
      <c r="B1674" s="14">
        <v>193</v>
      </c>
      <c r="C1674" s="15">
        <v>42562</v>
      </c>
      <c r="D1674" s="16">
        <v>0.45347222222222222</v>
      </c>
      <c r="E1674" s="14">
        <v>10</v>
      </c>
      <c r="F1674" s="14">
        <v>13</v>
      </c>
      <c r="G1674" s="17">
        <v>0.16599554142470213</v>
      </c>
      <c r="H1674" s="1" t="s">
        <v>144</v>
      </c>
      <c r="I1674" s="14"/>
    </row>
    <row r="1675" spans="1:9" x14ac:dyDescent="0.25">
      <c r="A1675" s="14">
        <v>2016</v>
      </c>
      <c r="B1675" s="14">
        <v>193</v>
      </c>
      <c r="C1675" s="15">
        <v>42562</v>
      </c>
      <c r="D1675" s="16">
        <v>0.43263888888888885</v>
      </c>
      <c r="E1675" s="14">
        <v>10</v>
      </c>
      <c r="F1675" s="14">
        <v>14</v>
      </c>
      <c r="G1675" s="17">
        <v>0.15170538732904576</v>
      </c>
      <c r="H1675" s="1" t="s">
        <v>144</v>
      </c>
      <c r="I1675" s="14"/>
    </row>
    <row r="1676" spans="1:9" x14ac:dyDescent="0.25">
      <c r="A1676" s="14">
        <v>2016</v>
      </c>
      <c r="B1676" s="14">
        <v>193</v>
      </c>
      <c r="C1676" s="15">
        <v>42562</v>
      </c>
      <c r="D1676" s="16">
        <v>0.4201388888888889</v>
      </c>
      <c r="E1676" s="14">
        <v>10</v>
      </c>
      <c r="F1676" s="14">
        <v>15</v>
      </c>
      <c r="G1676" s="17">
        <v>0.1870950978075504</v>
      </c>
      <c r="H1676" s="1" t="s">
        <v>1</v>
      </c>
      <c r="I1676" s="14"/>
    </row>
    <row r="1677" spans="1:9" x14ac:dyDescent="0.25">
      <c r="A1677" s="14">
        <v>2016</v>
      </c>
      <c r="B1677" s="14">
        <v>193</v>
      </c>
      <c r="C1677" s="15">
        <v>42562</v>
      </c>
      <c r="D1677" s="16">
        <v>0.42499999999999999</v>
      </c>
      <c r="E1677" s="14">
        <v>10</v>
      </c>
      <c r="F1677" s="14">
        <v>16</v>
      </c>
      <c r="G1677" s="17">
        <v>0.19288788510538696</v>
      </c>
      <c r="H1677" s="1" t="s">
        <v>1</v>
      </c>
      <c r="I1677" s="14"/>
    </row>
    <row r="1678" spans="1:9" x14ac:dyDescent="0.25">
      <c r="A1678" s="14">
        <v>2016</v>
      </c>
      <c r="B1678" s="14">
        <v>193</v>
      </c>
      <c r="C1678" s="15">
        <v>42562</v>
      </c>
      <c r="D1678" s="16">
        <v>0.41111111111111115</v>
      </c>
      <c r="E1678" s="14">
        <v>10</v>
      </c>
      <c r="F1678" s="14">
        <v>17</v>
      </c>
      <c r="G1678" s="17">
        <v>0.1650172892651337</v>
      </c>
      <c r="H1678" s="1" t="s">
        <v>144</v>
      </c>
      <c r="I1678" s="14"/>
    </row>
    <row r="1679" spans="1:9" x14ac:dyDescent="0.25">
      <c r="A1679" s="14">
        <v>2016</v>
      </c>
      <c r="B1679" s="14">
        <v>193</v>
      </c>
      <c r="C1679" s="15">
        <v>42562</v>
      </c>
      <c r="D1679" s="16">
        <v>0.40416666666666662</v>
      </c>
      <c r="E1679" s="14">
        <v>10</v>
      </c>
      <c r="F1679" s="14">
        <v>18</v>
      </c>
      <c r="G1679" s="17">
        <v>0.13779886153125942</v>
      </c>
      <c r="H1679" s="1" t="s">
        <v>144</v>
      </c>
      <c r="I1679" s="14"/>
    </row>
    <row r="1680" spans="1:9" x14ac:dyDescent="0.25">
      <c r="A1680" s="14">
        <v>2016</v>
      </c>
      <c r="B1680" s="14">
        <v>193</v>
      </c>
      <c r="C1680" s="15">
        <v>42562</v>
      </c>
      <c r="D1680" s="16">
        <v>0.39652777777777781</v>
      </c>
      <c r="E1680" s="14">
        <v>10</v>
      </c>
      <c r="F1680" s="14">
        <v>19</v>
      </c>
      <c r="G1680" s="17">
        <v>0.1526644580737207</v>
      </c>
      <c r="H1680" s="1" t="s">
        <v>144</v>
      </c>
      <c r="I1680" s="14"/>
    </row>
    <row r="1681" spans="1:9" x14ac:dyDescent="0.25">
      <c r="A1681" s="14">
        <v>2016</v>
      </c>
      <c r="B1681" s="14">
        <v>193</v>
      </c>
      <c r="C1681" s="15">
        <v>42562</v>
      </c>
      <c r="D1681" s="16">
        <v>0.39027777777777778</v>
      </c>
      <c r="E1681" s="14">
        <v>10</v>
      </c>
      <c r="F1681" s="14">
        <v>20</v>
      </c>
      <c r="G1681" s="17">
        <v>0.16319505485025132</v>
      </c>
      <c r="H1681" s="1" t="s">
        <v>144</v>
      </c>
      <c r="I1681" s="14"/>
    </row>
    <row r="1682" spans="1:9" x14ac:dyDescent="0.25">
      <c r="A1682" s="14">
        <v>2016</v>
      </c>
      <c r="B1682" s="14">
        <v>200</v>
      </c>
      <c r="C1682" s="15">
        <v>42569</v>
      </c>
      <c r="D1682" s="16">
        <v>0.25694444444444448</v>
      </c>
      <c r="E1682" s="14">
        <v>230</v>
      </c>
      <c r="F1682" s="14">
        <v>1</v>
      </c>
      <c r="G1682" s="17">
        <v>0.30295645821862083</v>
      </c>
      <c r="H1682" s="1" t="s">
        <v>143</v>
      </c>
      <c r="I1682" s="14"/>
    </row>
    <row r="1683" spans="1:9" x14ac:dyDescent="0.25">
      <c r="A1683" s="14">
        <v>2016</v>
      </c>
      <c r="B1683" s="14">
        <v>200</v>
      </c>
      <c r="C1683" s="15">
        <v>42569</v>
      </c>
      <c r="D1683" s="16">
        <v>0.26458333333333334</v>
      </c>
      <c r="E1683" s="14">
        <v>230</v>
      </c>
      <c r="F1683" s="14">
        <v>2</v>
      </c>
      <c r="G1683" s="17">
        <v>0.29355510227716042</v>
      </c>
      <c r="H1683" s="1" t="s">
        <v>143</v>
      </c>
      <c r="I1683" s="14"/>
    </row>
    <row r="1684" spans="1:9" x14ac:dyDescent="0.25">
      <c r="A1684" s="14">
        <v>2016</v>
      </c>
      <c r="B1684" s="14">
        <v>200</v>
      </c>
      <c r="C1684" s="15">
        <v>42569</v>
      </c>
      <c r="D1684" s="16">
        <v>0.2722222222222222</v>
      </c>
      <c r="E1684" s="14">
        <v>230</v>
      </c>
      <c r="F1684" s="14">
        <v>3</v>
      </c>
      <c r="G1684" s="17">
        <v>0.28218783132516695</v>
      </c>
      <c r="H1684" s="1" t="s">
        <v>143</v>
      </c>
      <c r="I1684" s="14"/>
    </row>
    <row r="1685" spans="1:9" x14ac:dyDescent="0.25">
      <c r="A1685" s="14">
        <v>2016</v>
      </c>
      <c r="B1685" s="14">
        <v>200</v>
      </c>
      <c r="C1685" s="15">
        <v>42569</v>
      </c>
      <c r="D1685" s="16">
        <v>0.27916666666666667</v>
      </c>
      <c r="E1685" s="14">
        <v>230</v>
      </c>
      <c r="F1685" s="14">
        <v>4</v>
      </c>
      <c r="G1685" s="17">
        <v>0.28004673576914074</v>
      </c>
      <c r="H1685" s="1" t="s">
        <v>143</v>
      </c>
      <c r="I1685" s="14"/>
    </row>
    <row r="1686" spans="1:9" x14ac:dyDescent="0.25">
      <c r="A1686" s="14">
        <v>2016</v>
      </c>
      <c r="B1686" s="14">
        <v>200</v>
      </c>
      <c r="C1686" s="15">
        <v>42569</v>
      </c>
      <c r="D1686" s="16">
        <v>0.28680555555555554</v>
      </c>
      <c r="E1686" s="14">
        <v>230</v>
      </c>
      <c r="F1686" s="14">
        <v>5</v>
      </c>
      <c r="G1686" s="17" t="e">
        <v>#N/A</v>
      </c>
      <c r="H1686" s="1" t="s">
        <v>0</v>
      </c>
      <c r="I1686" s="14"/>
    </row>
    <row r="1687" spans="1:9" x14ac:dyDescent="0.25">
      <c r="A1687" s="14">
        <v>2016</v>
      </c>
      <c r="B1687" s="14">
        <v>200</v>
      </c>
      <c r="C1687" s="15">
        <v>42569</v>
      </c>
      <c r="D1687" s="16">
        <v>0.29236111111111113</v>
      </c>
      <c r="E1687" s="14">
        <v>230</v>
      </c>
      <c r="F1687" s="14">
        <v>6</v>
      </c>
      <c r="G1687" s="17" t="e">
        <v>#N/A</v>
      </c>
      <c r="H1687" s="1" t="s">
        <v>0</v>
      </c>
      <c r="I1687" s="14"/>
    </row>
    <row r="1688" spans="1:9" x14ac:dyDescent="0.25">
      <c r="A1688" s="14">
        <v>2016</v>
      </c>
      <c r="B1688" s="14">
        <v>200</v>
      </c>
      <c r="C1688" s="15">
        <v>42569</v>
      </c>
      <c r="D1688" s="16">
        <v>0.3</v>
      </c>
      <c r="E1688" s="14">
        <v>230</v>
      </c>
      <c r="F1688" s="14">
        <v>7</v>
      </c>
      <c r="G1688" s="17">
        <v>0.28251872791109828</v>
      </c>
      <c r="H1688" s="1" t="s">
        <v>143</v>
      </c>
      <c r="I1688" s="14"/>
    </row>
    <row r="1689" spans="1:9" x14ac:dyDescent="0.25">
      <c r="A1689" s="14">
        <v>2016</v>
      </c>
      <c r="B1689" s="14">
        <v>200</v>
      </c>
      <c r="C1689" s="15">
        <v>42569</v>
      </c>
      <c r="D1689" s="16">
        <v>0.30694444444444441</v>
      </c>
      <c r="E1689" s="14">
        <v>230</v>
      </c>
      <c r="F1689" s="14">
        <v>8</v>
      </c>
      <c r="G1689" s="17">
        <v>0.30967171246252106</v>
      </c>
      <c r="H1689" s="1" t="s">
        <v>143</v>
      </c>
      <c r="I1689" s="14"/>
    </row>
    <row r="1690" spans="1:9" x14ac:dyDescent="0.25">
      <c r="A1690" s="14">
        <v>2016</v>
      </c>
      <c r="B1690" s="14">
        <v>200</v>
      </c>
      <c r="C1690" s="15">
        <v>42569</v>
      </c>
      <c r="D1690" s="16">
        <v>0.31388888888888888</v>
      </c>
      <c r="E1690" s="14">
        <v>230</v>
      </c>
      <c r="F1690" s="14">
        <v>9</v>
      </c>
      <c r="G1690" s="17">
        <v>0.30718025581550878</v>
      </c>
      <c r="H1690" s="1" t="s">
        <v>143</v>
      </c>
      <c r="I1690" s="14"/>
    </row>
    <row r="1691" spans="1:9" x14ac:dyDescent="0.25">
      <c r="A1691" s="14">
        <v>2016</v>
      </c>
      <c r="B1691" s="14">
        <v>200</v>
      </c>
      <c r="C1691" s="15">
        <v>42569</v>
      </c>
      <c r="D1691" s="16">
        <v>0.32083333333333336</v>
      </c>
      <c r="E1691" s="14">
        <v>230</v>
      </c>
      <c r="F1691" s="14">
        <v>10</v>
      </c>
      <c r="G1691" s="17">
        <v>0.26735587847342202</v>
      </c>
      <c r="H1691" s="1" t="s">
        <v>143</v>
      </c>
      <c r="I1691" s="14"/>
    </row>
    <row r="1692" spans="1:9" x14ac:dyDescent="0.25">
      <c r="A1692" s="14">
        <v>2016</v>
      </c>
      <c r="B1692" s="14">
        <v>200</v>
      </c>
      <c r="C1692" s="15">
        <v>42569</v>
      </c>
      <c r="D1692" s="16">
        <v>0.40625</v>
      </c>
      <c r="E1692" s="14">
        <v>230</v>
      </c>
      <c r="F1692" s="14">
        <v>11</v>
      </c>
      <c r="G1692" s="17">
        <v>0.29997838894523898</v>
      </c>
      <c r="H1692" s="1" t="s">
        <v>144</v>
      </c>
      <c r="I1692" s="14"/>
    </row>
    <row r="1693" spans="1:9" x14ac:dyDescent="0.25">
      <c r="A1693" s="14">
        <v>2016</v>
      </c>
      <c r="B1693" s="14">
        <v>200</v>
      </c>
      <c r="C1693" s="15">
        <v>42569</v>
      </c>
      <c r="D1693" s="16">
        <v>0.41388888888888892</v>
      </c>
      <c r="E1693" s="14">
        <v>230</v>
      </c>
      <c r="F1693" s="14">
        <v>12</v>
      </c>
      <c r="G1693" s="17">
        <v>0.3003871435513894</v>
      </c>
      <c r="H1693" s="1" t="s">
        <v>144</v>
      </c>
      <c r="I1693" s="14"/>
    </row>
    <row r="1694" spans="1:9" x14ac:dyDescent="0.25">
      <c r="A1694" s="14">
        <v>2016</v>
      </c>
      <c r="B1694" s="14">
        <v>200</v>
      </c>
      <c r="C1694" s="15">
        <v>42569</v>
      </c>
      <c r="D1694" s="16">
        <v>0.42152777777777778</v>
      </c>
      <c r="E1694" s="14">
        <v>230</v>
      </c>
      <c r="F1694" s="14">
        <v>13</v>
      </c>
      <c r="G1694" s="17">
        <v>0.29474243708550224</v>
      </c>
      <c r="H1694" s="1" t="s">
        <v>144</v>
      </c>
      <c r="I1694" s="14"/>
    </row>
    <row r="1695" spans="1:9" x14ac:dyDescent="0.25">
      <c r="A1695" s="14">
        <v>2016</v>
      </c>
      <c r="B1695" s="14">
        <v>200</v>
      </c>
      <c r="C1695" s="15">
        <v>42569</v>
      </c>
      <c r="D1695" s="16">
        <v>0.39930555555555558</v>
      </c>
      <c r="E1695" s="14">
        <v>230</v>
      </c>
      <c r="F1695" s="14">
        <v>14</v>
      </c>
      <c r="G1695" s="17">
        <v>0.28682038352820538</v>
      </c>
      <c r="H1695" s="1" t="s">
        <v>144</v>
      </c>
      <c r="I1695" s="14"/>
    </row>
    <row r="1696" spans="1:9" x14ac:dyDescent="0.25">
      <c r="A1696" s="14">
        <v>2016</v>
      </c>
      <c r="B1696" s="14">
        <v>200</v>
      </c>
      <c r="C1696" s="15">
        <v>42569</v>
      </c>
      <c r="D1696" s="16">
        <v>0.39166666666666666</v>
      </c>
      <c r="E1696" s="14">
        <v>230</v>
      </c>
      <c r="F1696" s="14">
        <v>15</v>
      </c>
      <c r="G1696" s="17" t="e">
        <v>#N/A</v>
      </c>
      <c r="H1696" s="1" t="s">
        <v>1</v>
      </c>
      <c r="I1696" s="14"/>
    </row>
    <row r="1697" spans="1:9" x14ac:dyDescent="0.25">
      <c r="A1697" s="14">
        <v>2016</v>
      </c>
      <c r="B1697" s="14">
        <v>200</v>
      </c>
      <c r="C1697" s="15">
        <v>42569</v>
      </c>
      <c r="D1697" s="16">
        <v>0.38680555555555557</v>
      </c>
      <c r="E1697" s="14">
        <v>230</v>
      </c>
      <c r="F1697" s="14">
        <v>16</v>
      </c>
      <c r="G1697" s="17" t="e">
        <v>#N/A</v>
      </c>
      <c r="H1697" s="1" t="s">
        <v>1</v>
      </c>
      <c r="I1697" s="14"/>
    </row>
    <row r="1698" spans="1:9" x14ac:dyDescent="0.25">
      <c r="A1698" s="14">
        <v>2016</v>
      </c>
      <c r="B1698" s="14">
        <v>200</v>
      </c>
      <c r="C1698" s="15">
        <v>42569</v>
      </c>
      <c r="D1698" s="16">
        <v>0.37847222222222227</v>
      </c>
      <c r="E1698" s="14">
        <v>230</v>
      </c>
      <c r="F1698" s="14">
        <v>17</v>
      </c>
      <c r="G1698" s="17">
        <v>0.30245038108719641</v>
      </c>
      <c r="H1698" s="1" t="s">
        <v>144</v>
      </c>
      <c r="I1698" s="14"/>
    </row>
    <row r="1699" spans="1:9" x14ac:dyDescent="0.25">
      <c r="A1699" s="14">
        <v>2016</v>
      </c>
      <c r="B1699" s="14">
        <v>200</v>
      </c>
      <c r="C1699" s="15">
        <v>42569</v>
      </c>
      <c r="D1699" s="16">
        <v>0.37083333333333335</v>
      </c>
      <c r="E1699" s="14">
        <v>230</v>
      </c>
      <c r="F1699" s="14">
        <v>18</v>
      </c>
      <c r="G1699" s="17">
        <v>0.30581774046167398</v>
      </c>
      <c r="H1699" s="1" t="s">
        <v>144</v>
      </c>
      <c r="I1699" s="14"/>
    </row>
    <row r="1700" spans="1:9" x14ac:dyDescent="0.25">
      <c r="A1700" s="14">
        <v>2016</v>
      </c>
      <c r="B1700" s="14">
        <v>200</v>
      </c>
      <c r="C1700" s="15">
        <v>42569</v>
      </c>
      <c r="D1700" s="16">
        <v>0.36388888888888887</v>
      </c>
      <c r="E1700" s="14">
        <v>230</v>
      </c>
      <c r="F1700" s="14">
        <v>19</v>
      </c>
      <c r="G1700" s="17">
        <v>0.2931658121760648</v>
      </c>
      <c r="H1700" s="1" t="s">
        <v>144</v>
      </c>
      <c r="I1700" s="14"/>
    </row>
    <row r="1701" spans="1:9" x14ac:dyDescent="0.25">
      <c r="A1701" s="14">
        <v>2016</v>
      </c>
      <c r="B1701" s="14">
        <v>200</v>
      </c>
      <c r="C1701" s="15">
        <v>42569</v>
      </c>
      <c r="D1701" s="16">
        <v>0.35625000000000001</v>
      </c>
      <c r="E1701" s="14">
        <v>230</v>
      </c>
      <c r="F1701" s="14">
        <v>20</v>
      </c>
      <c r="G1701" s="17">
        <v>0.30435790258256523</v>
      </c>
      <c r="H1701" s="1" t="s">
        <v>144</v>
      </c>
      <c r="I1701" s="14"/>
    </row>
    <row r="1702" spans="1:9" x14ac:dyDescent="0.25">
      <c r="A1702" s="14">
        <v>2016</v>
      </c>
      <c r="B1702" s="14">
        <v>200</v>
      </c>
      <c r="C1702" s="15">
        <v>42569</v>
      </c>
      <c r="D1702" s="16">
        <v>0.25694444444444448</v>
      </c>
      <c r="E1702" s="14">
        <v>210</v>
      </c>
      <c r="F1702" s="14">
        <v>1</v>
      </c>
      <c r="G1702" s="17">
        <v>0.30967171246252106</v>
      </c>
      <c r="H1702" s="1" t="s">
        <v>143</v>
      </c>
      <c r="I1702" s="14"/>
    </row>
    <row r="1703" spans="1:9" x14ac:dyDescent="0.25">
      <c r="A1703" s="14">
        <v>2016</v>
      </c>
      <c r="B1703" s="14">
        <v>200</v>
      </c>
      <c r="C1703" s="15">
        <v>42569</v>
      </c>
      <c r="D1703" s="16">
        <v>0.26458333333333334</v>
      </c>
      <c r="E1703" s="14">
        <v>210</v>
      </c>
      <c r="F1703" s="14">
        <v>2</v>
      </c>
      <c r="G1703" s="17">
        <v>0.29777889987404843</v>
      </c>
      <c r="H1703" s="1" t="s">
        <v>143</v>
      </c>
      <c r="I1703" s="14"/>
    </row>
    <row r="1704" spans="1:9" x14ac:dyDescent="0.25">
      <c r="A1704" s="14">
        <v>2016</v>
      </c>
      <c r="B1704" s="14">
        <v>200</v>
      </c>
      <c r="C1704" s="15">
        <v>42569</v>
      </c>
      <c r="D1704" s="16">
        <v>0.2722222222222222</v>
      </c>
      <c r="E1704" s="14">
        <v>210</v>
      </c>
      <c r="F1704" s="14">
        <v>3</v>
      </c>
      <c r="G1704" s="17">
        <v>0.28053334839551036</v>
      </c>
      <c r="H1704" s="1" t="s">
        <v>143</v>
      </c>
      <c r="I1704" s="14"/>
    </row>
    <row r="1705" spans="1:9" x14ac:dyDescent="0.25">
      <c r="A1705" s="14">
        <v>2016</v>
      </c>
      <c r="B1705" s="14">
        <v>200</v>
      </c>
      <c r="C1705" s="15">
        <v>42569</v>
      </c>
      <c r="D1705" s="16">
        <v>0.27916666666666667</v>
      </c>
      <c r="E1705" s="14">
        <v>210</v>
      </c>
      <c r="F1705" s="14">
        <v>4</v>
      </c>
      <c r="G1705" s="17">
        <v>0.29172543880201079</v>
      </c>
      <c r="H1705" s="1" t="s">
        <v>143</v>
      </c>
      <c r="I1705" s="14"/>
    </row>
    <row r="1706" spans="1:9" x14ac:dyDescent="0.25">
      <c r="A1706" s="14">
        <v>2016</v>
      </c>
      <c r="B1706" s="14">
        <v>200</v>
      </c>
      <c r="C1706" s="15">
        <v>42569</v>
      </c>
      <c r="D1706" s="16">
        <v>0.28680555555555554</v>
      </c>
      <c r="E1706" s="14">
        <v>210</v>
      </c>
      <c r="F1706" s="14">
        <v>5</v>
      </c>
      <c r="G1706" s="17" t="e">
        <v>#N/A</v>
      </c>
      <c r="H1706" s="1" t="s">
        <v>0</v>
      </c>
      <c r="I1706" s="14"/>
    </row>
    <row r="1707" spans="1:9" x14ac:dyDescent="0.25">
      <c r="A1707" s="14">
        <v>2016</v>
      </c>
      <c r="B1707" s="14">
        <v>200</v>
      </c>
      <c r="C1707" s="15">
        <v>42569</v>
      </c>
      <c r="D1707" s="16">
        <v>0.29236111111111113</v>
      </c>
      <c r="E1707" s="14">
        <v>210</v>
      </c>
      <c r="F1707" s="14">
        <v>6</v>
      </c>
      <c r="G1707" s="17" t="e">
        <v>#N/A</v>
      </c>
      <c r="H1707" s="1" t="s">
        <v>0</v>
      </c>
      <c r="I1707" s="14"/>
    </row>
    <row r="1708" spans="1:9" x14ac:dyDescent="0.25">
      <c r="A1708" s="14">
        <v>2016</v>
      </c>
      <c r="B1708" s="14">
        <v>200</v>
      </c>
      <c r="C1708" s="15">
        <v>42569</v>
      </c>
      <c r="D1708" s="16">
        <v>0.3</v>
      </c>
      <c r="E1708" s="14">
        <v>210</v>
      </c>
      <c r="F1708" s="14">
        <v>7</v>
      </c>
      <c r="G1708" s="17">
        <v>0.2770686664957589</v>
      </c>
      <c r="H1708" s="1" t="s">
        <v>143</v>
      </c>
      <c r="I1708" s="14"/>
    </row>
    <row r="1709" spans="1:9" x14ac:dyDescent="0.25">
      <c r="A1709" s="14">
        <v>2016</v>
      </c>
      <c r="B1709" s="14">
        <v>200</v>
      </c>
      <c r="C1709" s="15">
        <v>42569</v>
      </c>
      <c r="D1709" s="16">
        <v>0.30694444444444441</v>
      </c>
      <c r="E1709" s="14">
        <v>210</v>
      </c>
      <c r="F1709" s="14">
        <v>8</v>
      </c>
      <c r="G1709" s="17">
        <v>0.30392968347135996</v>
      </c>
      <c r="H1709" s="1" t="s">
        <v>143</v>
      </c>
      <c r="I1709" s="14"/>
    </row>
    <row r="1710" spans="1:9" x14ac:dyDescent="0.25">
      <c r="A1710" s="14">
        <v>2016</v>
      </c>
      <c r="B1710" s="14">
        <v>200</v>
      </c>
      <c r="C1710" s="15">
        <v>42569</v>
      </c>
      <c r="D1710" s="16">
        <v>0.31388888888888888</v>
      </c>
      <c r="E1710" s="14">
        <v>210</v>
      </c>
      <c r="F1710" s="14">
        <v>9</v>
      </c>
      <c r="G1710" s="17">
        <v>0.29990053092501984</v>
      </c>
      <c r="H1710" s="1" t="s">
        <v>143</v>
      </c>
      <c r="I1710" s="14"/>
    </row>
    <row r="1711" spans="1:9" x14ac:dyDescent="0.25">
      <c r="A1711" s="14">
        <v>2016</v>
      </c>
      <c r="B1711" s="14">
        <v>200</v>
      </c>
      <c r="C1711" s="15">
        <v>42569</v>
      </c>
      <c r="D1711" s="16">
        <v>0.32083333333333336</v>
      </c>
      <c r="E1711" s="14">
        <v>210</v>
      </c>
      <c r="F1711" s="14">
        <v>10</v>
      </c>
      <c r="G1711" s="17">
        <v>0.273467733060624</v>
      </c>
      <c r="H1711" s="1" t="s">
        <v>143</v>
      </c>
      <c r="I1711" s="14"/>
    </row>
    <row r="1712" spans="1:9" x14ac:dyDescent="0.25">
      <c r="A1712" s="14">
        <v>2016</v>
      </c>
      <c r="B1712" s="14">
        <v>200</v>
      </c>
      <c r="C1712" s="15">
        <v>42569</v>
      </c>
      <c r="D1712" s="16">
        <v>0.40625</v>
      </c>
      <c r="E1712" s="14">
        <v>210</v>
      </c>
      <c r="F1712" s="14">
        <v>11</v>
      </c>
      <c r="G1712" s="17">
        <v>0.3062459595728792</v>
      </c>
      <c r="H1712" s="1" t="s">
        <v>144</v>
      </c>
      <c r="I1712" s="14"/>
    </row>
    <row r="1713" spans="1:9" x14ac:dyDescent="0.25">
      <c r="A1713" s="14">
        <v>2016</v>
      </c>
      <c r="B1713" s="14">
        <v>200</v>
      </c>
      <c r="C1713" s="15">
        <v>42569</v>
      </c>
      <c r="D1713" s="16">
        <v>0.41388888888888892</v>
      </c>
      <c r="E1713" s="14">
        <v>210</v>
      </c>
      <c r="F1713" s="14">
        <v>12</v>
      </c>
      <c r="G1713" s="17">
        <v>0.312104775594369</v>
      </c>
      <c r="H1713" s="1" t="s">
        <v>144</v>
      </c>
      <c r="I1713" s="14"/>
    </row>
    <row r="1714" spans="1:9" x14ac:dyDescent="0.25">
      <c r="A1714" s="14">
        <v>2016</v>
      </c>
      <c r="B1714" s="14">
        <v>200</v>
      </c>
      <c r="C1714" s="15">
        <v>42569</v>
      </c>
      <c r="D1714" s="16">
        <v>0.42152777777777778</v>
      </c>
      <c r="E1714" s="14">
        <v>210</v>
      </c>
      <c r="F1714" s="14">
        <v>13</v>
      </c>
      <c r="G1714" s="17">
        <v>0.29966695686436245</v>
      </c>
      <c r="H1714" s="1" t="s">
        <v>144</v>
      </c>
      <c r="I1714" s="14"/>
    </row>
    <row r="1715" spans="1:9" x14ac:dyDescent="0.25">
      <c r="A1715" s="14">
        <v>2016</v>
      </c>
      <c r="B1715" s="14">
        <v>200</v>
      </c>
      <c r="C1715" s="15">
        <v>42569</v>
      </c>
      <c r="D1715" s="16">
        <v>0.39930555555555558</v>
      </c>
      <c r="E1715" s="14">
        <v>210</v>
      </c>
      <c r="F1715" s="14">
        <v>14</v>
      </c>
      <c r="G1715" s="17">
        <v>0.2748497129195136</v>
      </c>
      <c r="H1715" s="1" t="s">
        <v>144</v>
      </c>
      <c r="I1715" s="14"/>
    </row>
    <row r="1716" spans="1:9" x14ac:dyDescent="0.25">
      <c r="A1716" s="14">
        <v>2016</v>
      </c>
      <c r="B1716" s="14">
        <v>200</v>
      </c>
      <c r="C1716" s="15">
        <v>42569</v>
      </c>
      <c r="D1716" s="16">
        <v>0.39166666666666666</v>
      </c>
      <c r="E1716" s="14">
        <v>210</v>
      </c>
      <c r="F1716" s="14">
        <v>15</v>
      </c>
      <c r="G1716" s="17" t="e">
        <v>#N/A</v>
      </c>
      <c r="H1716" s="1" t="s">
        <v>1</v>
      </c>
      <c r="I1716" s="14"/>
    </row>
    <row r="1717" spans="1:9" x14ac:dyDescent="0.25">
      <c r="A1717" s="14">
        <v>2016</v>
      </c>
      <c r="B1717" s="14">
        <v>200</v>
      </c>
      <c r="C1717" s="15">
        <v>42569</v>
      </c>
      <c r="D1717" s="16">
        <v>0.38680555555555557</v>
      </c>
      <c r="E1717" s="14">
        <v>210</v>
      </c>
      <c r="F1717" s="14">
        <v>16</v>
      </c>
      <c r="G1717" s="17" t="e">
        <v>#N/A</v>
      </c>
      <c r="H1717" s="1" t="s">
        <v>1</v>
      </c>
      <c r="I1717" s="14"/>
    </row>
    <row r="1718" spans="1:9" x14ac:dyDescent="0.25">
      <c r="A1718" s="14">
        <v>2016</v>
      </c>
      <c r="B1718" s="14">
        <v>200</v>
      </c>
      <c r="C1718" s="15">
        <v>42569</v>
      </c>
      <c r="D1718" s="16">
        <v>0.37847222222222227</v>
      </c>
      <c r="E1718" s="14">
        <v>210</v>
      </c>
      <c r="F1718" s="14">
        <v>17</v>
      </c>
      <c r="G1718" s="17">
        <v>0.30293699371356603</v>
      </c>
      <c r="H1718" s="1" t="s">
        <v>144</v>
      </c>
      <c r="I1718" s="14"/>
    </row>
    <row r="1719" spans="1:9" x14ac:dyDescent="0.25">
      <c r="A1719" s="14">
        <v>2016</v>
      </c>
      <c r="B1719" s="14">
        <v>200</v>
      </c>
      <c r="C1719" s="15">
        <v>42569</v>
      </c>
      <c r="D1719" s="16">
        <v>0.37083333333333335</v>
      </c>
      <c r="E1719" s="14">
        <v>210</v>
      </c>
      <c r="F1719" s="14">
        <v>18</v>
      </c>
      <c r="G1719" s="17">
        <v>0.30287860019840168</v>
      </c>
      <c r="H1719" s="1" t="s">
        <v>144</v>
      </c>
      <c r="I1719" s="14"/>
    </row>
    <row r="1720" spans="1:9" x14ac:dyDescent="0.25">
      <c r="A1720" s="14">
        <v>2016</v>
      </c>
      <c r="B1720" s="14">
        <v>200</v>
      </c>
      <c r="C1720" s="15">
        <v>42569</v>
      </c>
      <c r="D1720" s="16">
        <v>0.36388888888888887</v>
      </c>
      <c r="E1720" s="14">
        <v>210</v>
      </c>
      <c r="F1720" s="14">
        <v>19</v>
      </c>
      <c r="G1720" s="17">
        <v>0.29735068076284321</v>
      </c>
      <c r="H1720" s="1" t="s">
        <v>144</v>
      </c>
      <c r="I1720" s="14"/>
    </row>
    <row r="1721" spans="1:9" x14ac:dyDescent="0.25">
      <c r="A1721" s="14">
        <v>2016</v>
      </c>
      <c r="B1721" s="14">
        <v>200</v>
      </c>
      <c r="C1721" s="15">
        <v>42569</v>
      </c>
      <c r="D1721" s="16">
        <v>0.35625000000000001</v>
      </c>
      <c r="E1721" s="14">
        <v>210</v>
      </c>
      <c r="F1721" s="14">
        <v>20</v>
      </c>
      <c r="G1721" s="17">
        <v>0.30161340736984077</v>
      </c>
      <c r="H1721" s="1" t="s">
        <v>144</v>
      </c>
      <c r="I1721" s="14"/>
    </row>
    <row r="1722" spans="1:9" x14ac:dyDescent="0.25">
      <c r="A1722" s="14">
        <v>2016</v>
      </c>
      <c r="B1722" s="14">
        <v>200</v>
      </c>
      <c r="C1722" s="15">
        <v>42569</v>
      </c>
      <c r="D1722" s="16">
        <v>0.25694444444444448</v>
      </c>
      <c r="E1722" s="14">
        <v>190</v>
      </c>
      <c r="F1722" s="14">
        <v>1</v>
      </c>
      <c r="G1722" s="17">
        <v>0.2902072074077377</v>
      </c>
      <c r="H1722" s="1" t="s">
        <v>143</v>
      </c>
      <c r="I1722" s="14"/>
    </row>
    <row r="1723" spans="1:9" x14ac:dyDescent="0.25">
      <c r="A1723" s="14">
        <v>2016</v>
      </c>
      <c r="B1723" s="14">
        <v>200</v>
      </c>
      <c r="C1723" s="15">
        <v>42569</v>
      </c>
      <c r="D1723" s="16">
        <v>0.26458333333333334</v>
      </c>
      <c r="E1723" s="14">
        <v>190</v>
      </c>
      <c r="F1723" s="14">
        <v>2</v>
      </c>
      <c r="G1723" s="17">
        <v>0.29437261148946137</v>
      </c>
      <c r="H1723" s="1" t="s">
        <v>143</v>
      </c>
      <c r="I1723" s="14"/>
    </row>
    <row r="1724" spans="1:9" x14ac:dyDescent="0.25">
      <c r="A1724" s="14">
        <v>2016</v>
      </c>
      <c r="B1724" s="14">
        <v>200</v>
      </c>
      <c r="C1724" s="15">
        <v>42569</v>
      </c>
      <c r="D1724" s="16">
        <v>0.2722222222222222</v>
      </c>
      <c r="E1724" s="14">
        <v>190</v>
      </c>
      <c r="F1724" s="14">
        <v>3</v>
      </c>
      <c r="G1724" s="17">
        <v>0.3010878657333616</v>
      </c>
      <c r="H1724" s="1" t="s">
        <v>143</v>
      </c>
      <c r="I1724" s="14"/>
    </row>
    <row r="1725" spans="1:9" x14ac:dyDescent="0.25">
      <c r="A1725" s="14">
        <v>2016</v>
      </c>
      <c r="B1725" s="14">
        <v>200</v>
      </c>
      <c r="C1725" s="15">
        <v>42569</v>
      </c>
      <c r="D1725" s="16">
        <v>0.27916666666666667</v>
      </c>
      <c r="E1725" s="14">
        <v>190</v>
      </c>
      <c r="F1725" s="14">
        <v>4</v>
      </c>
      <c r="G1725" s="17">
        <v>0.29649424254043272</v>
      </c>
      <c r="H1725" s="1" t="s">
        <v>143</v>
      </c>
      <c r="I1725" s="14"/>
    </row>
    <row r="1726" spans="1:9" x14ac:dyDescent="0.25">
      <c r="A1726" s="14">
        <v>2016</v>
      </c>
      <c r="B1726" s="14">
        <v>200</v>
      </c>
      <c r="C1726" s="15">
        <v>42569</v>
      </c>
      <c r="D1726" s="16">
        <v>0.28680555555555554</v>
      </c>
      <c r="E1726" s="14">
        <v>190</v>
      </c>
      <c r="F1726" s="14">
        <v>5</v>
      </c>
      <c r="G1726" s="17">
        <v>0.34338423521740585</v>
      </c>
      <c r="H1726" s="1" t="s">
        <v>0</v>
      </c>
      <c r="I1726" s="14"/>
    </row>
    <row r="1727" spans="1:9" x14ac:dyDescent="0.25">
      <c r="A1727" s="14">
        <v>2016</v>
      </c>
      <c r="B1727" s="14">
        <v>200</v>
      </c>
      <c r="C1727" s="15">
        <v>42569</v>
      </c>
      <c r="D1727" s="16">
        <v>0.29236111111111113</v>
      </c>
      <c r="E1727" s="14">
        <v>190</v>
      </c>
      <c r="F1727" s="14">
        <v>6</v>
      </c>
      <c r="G1727" s="17">
        <v>0.36633288667699548</v>
      </c>
      <c r="H1727" s="1" t="s">
        <v>0</v>
      </c>
      <c r="I1727" s="14"/>
    </row>
    <row r="1728" spans="1:9" x14ac:dyDescent="0.25">
      <c r="A1728" s="14">
        <v>2016</v>
      </c>
      <c r="B1728" s="14">
        <v>200</v>
      </c>
      <c r="C1728" s="15">
        <v>42569</v>
      </c>
      <c r="D1728" s="16">
        <v>0.3</v>
      </c>
      <c r="E1728" s="14">
        <v>190</v>
      </c>
      <c r="F1728" s="14">
        <v>7</v>
      </c>
      <c r="G1728" s="17">
        <v>0.28736538966973929</v>
      </c>
      <c r="H1728" s="1" t="s">
        <v>143</v>
      </c>
      <c r="I1728" s="14"/>
    </row>
    <row r="1729" spans="1:9" x14ac:dyDescent="0.25">
      <c r="A1729" s="14">
        <v>2016</v>
      </c>
      <c r="B1729" s="14">
        <v>200</v>
      </c>
      <c r="C1729" s="15">
        <v>42569</v>
      </c>
      <c r="D1729" s="16">
        <v>0.30694444444444441</v>
      </c>
      <c r="E1729" s="14">
        <v>190</v>
      </c>
      <c r="F1729" s="14">
        <v>8</v>
      </c>
      <c r="G1729" s="17">
        <v>0.29859640908634932</v>
      </c>
      <c r="H1729" s="1" t="s">
        <v>143</v>
      </c>
      <c r="I1729" s="14"/>
    </row>
    <row r="1730" spans="1:9" x14ac:dyDescent="0.25">
      <c r="A1730" s="14">
        <v>2016</v>
      </c>
      <c r="B1730" s="14">
        <v>200</v>
      </c>
      <c r="C1730" s="15">
        <v>42569</v>
      </c>
      <c r="D1730" s="16">
        <v>0.31388888888888888</v>
      </c>
      <c r="E1730" s="14">
        <v>190</v>
      </c>
      <c r="F1730" s="14">
        <v>9</v>
      </c>
      <c r="G1730" s="17">
        <v>0.28981791730664203</v>
      </c>
      <c r="H1730" s="1" t="s">
        <v>143</v>
      </c>
      <c r="I1730" s="14"/>
    </row>
    <row r="1731" spans="1:9" x14ac:dyDescent="0.25">
      <c r="A1731" s="14">
        <v>2016</v>
      </c>
      <c r="B1731" s="14">
        <v>200</v>
      </c>
      <c r="C1731" s="15">
        <v>42569</v>
      </c>
      <c r="D1731" s="16">
        <v>0.32083333333333336</v>
      </c>
      <c r="E1731" s="14">
        <v>190</v>
      </c>
      <c r="F1731" s="14">
        <v>10</v>
      </c>
      <c r="G1731" s="17">
        <v>0.29367188930748916</v>
      </c>
      <c r="H1731" s="1" t="s">
        <v>143</v>
      </c>
      <c r="I1731" s="14"/>
    </row>
    <row r="1732" spans="1:9" x14ac:dyDescent="0.25">
      <c r="A1732" s="14">
        <v>2016</v>
      </c>
      <c r="B1732" s="14">
        <v>200</v>
      </c>
      <c r="C1732" s="15">
        <v>42569</v>
      </c>
      <c r="D1732" s="16">
        <v>0.40625</v>
      </c>
      <c r="E1732" s="14">
        <v>190</v>
      </c>
      <c r="F1732" s="14">
        <v>11</v>
      </c>
      <c r="G1732" s="17">
        <v>0.31093690529108198</v>
      </c>
      <c r="H1732" s="1" t="s">
        <v>144</v>
      </c>
      <c r="I1732" s="14"/>
    </row>
    <row r="1733" spans="1:9" x14ac:dyDescent="0.25">
      <c r="A1733" s="14">
        <v>2016</v>
      </c>
      <c r="B1733" s="14">
        <v>200</v>
      </c>
      <c r="C1733" s="15">
        <v>42569</v>
      </c>
      <c r="D1733" s="16">
        <v>0.41388888888888892</v>
      </c>
      <c r="E1733" s="14">
        <v>190</v>
      </c>
      <c r="F1733" s="14">
        <v>12</v>
      </c>
      <c r="G1733" s="17">
        <v>0.31767162404003702</v>
      </c>
      <c r="H1733" s="1" t="s">
        <v>144</v>
      </c>
      <c r="I1733" s="14"/>
    </row>
    <row r="1734" spans="1:9" x14ac:dyDescent="0.25">
      <c r="A1734" s="14">
        <v>2016</v>
      </c>
      <c r="B1734" s="14">
        <v>200</v>
      </c>
      <c r="C1734" s="15">
        <v>42569</v>
      </c>
      <c r="D1734" s="16">
        <v>0.42152777777777778</v>
      </c>
      <c r="E1734" s="14">
        <v>190</v>
      </c>
      <c r="F1734" s="14">
        <v>13</v>
      </c>
      <c r="G1734" s="17">
        <v>0.29396385688331089</v>
      </c>
      <c r="H1734" s="1" t="s">
        <v>144</v>
      </c>
      <c r="I1734" s="14"/>
    </row>
    <row r="1735" spans="1:9" x14ac:dyDescent="0.25">
      <c r="A1735" s="14">
        <v>2016</v>
      </c>
      <c r="B1735" s="14">
        <v>200</v>
      </c>
      <c r="C1735" s="15">
        <v>42569</v>
      </c>
      <c r="D1735" s="16">
        <v>0.39930555555555558</v>
      </c>
      <c r="E1735" s="14">
        <v>190</v>
      </c>
      <c r="F1735" s="14">
        <v>14</v>
      </c>
      <c r="G1735" s="17">
        <v>0.30429950906740083</v>
      </c>
      <c r="H1735" s="1" t="s">
        <v>144</v>
      </c>
      <c r="I1735" s="14"/>
    </row>
    <row r="1736" spans="1:9" x14ac:dyDescent="0.25">
      <c r="A1736" s="14">
        <v>2016</v>
      </c>
      <c r="B1736" s="14">
        <v>200</v>
      </c>
      <c r="C1736" s="15">
        <v>42569</v>
      </c>
      <c r="D1736" s="16">
        <v>0.39166666666666666</v>
      </c>
      <c r="E1736" s="14">
        <v>190</v>
      </c>
      <c r="F1736" s="14">
        <v>15</v>
      </c>
      <c r="G1736" s="17">
        <v>0.35062503109778531</v>
      </c>
      <c r="H1736" s="1" t="s">
        <v>1</v>
      </c>
      <c r="I1736" s="14"/>
    </row>
    <row r="1737" spans="1:9" x14ac:dyDescent="0.25">
      <c r="A1737" s="14">
        <v>2016</v>
      </c>
      <c r="B1737" s="14">
        <v>200</v>
      </c>
      <c r="C1737" s="15">
        <v>42569</v>
      </c>
      <c r="D1737" s="16">
        <v>0.38680555555555557</v>
      </c>
      <c r="E1737" s="14">
        <v>190</v>
      </c>
      <c r="F1737" s="14">
        <v>16</v>
      </c>
      <c r="G1737" s="17">
        <v>0.34447424750047378</v>
      </c>
      <c r="H1737" s="1" t="s">
        <v>1</v>
      </c>
      <c r="I1737" s="14"/>
    </row>
    <row r="1738" spans="1:9" x14ac:dyDescent="0.25">
      <c r="A1738" s="14">
        <v>2016</v>
      </c>
      <c r="B1738" s="14">
        <v>200</v>
      </c>
      <c r="C1738" s="15">
        <v>42569</v>
      </c>
      <c r="D1738" s="16">
        <v>0.37847222222222227</v>
      </c>
      <c r="E1738" s="14">
        <v>190</v>
      </c>
      <c r="F1738" s="14">
        <v>17</v>
      </c>
      <c r="G1738" s="17">
        <v>0.31809984315124229</v>
      </c>
      <c r="H1738" s="1" t="s">
        <v>144</v>
      </c>
      <c r="I1738" s="14"/>
    </row>
    <row r="1739" spans="1:9" x14ac:dyDescent="0.25">
      <c r="A1739" s="14">
        <v>2016</v>
      </c>
      <c r="B1739" s="14">
        <v>200</v>
      </c>
      <c r="C1739" s="15">
        <v>42569</v>
      </c>
      <c r="D1739" s="16">
        <v>0.37083333333333335</v>
      </c>
      <c r="E1739" s="14">
        <v>190</v>
      </c>
      <c r="F1739" s="14">
        <v>18</v>
      </c>
      <c r="G1739" s="17">
        <v>0.31381765203918993</v>
      </c>
      <c r="H1739" s="1" t="s">
        <v>144</v>
      </c>
      <c r="I1739" s="14"/>
    </row>
    <row r="1740" spans="1:9" x14ac:dyDescent="0.25">
      <c r="A1740" s="14">
        <v>2016</v>
      </c>
      <c r="B1740" s="14">
        <v>200</v>
      </c>
      <c r="C1740" s="15">
        <v>42569</v>
      </c>
      <c r="D1740" s="16">
        <v>0.36388888888888887</v>
      </c>
      <c r="E1740" s="14">
        <v>190</v>
      </c>
      <c r="F1740" s="14">
        <v>19</v>
      </c>
      <c r="G1740" s="17">
        <v>0.3092045643412063</v>
      </c>
      <c r="H1740" s="1" t="s">
        <v>144</v>
      </c>
      <c r="I1740" s="14"/>
    </row>
    <row r="1741" spans="1:9" x14ac:dyDescent="0.25">
      <c r="A1741" s="14">
        <v>2016</v>
      </c>
      <c r="B1741" s="14">
        <v>200</v>
      </c>
      <c r="C1741" s="15">
        <v>42569</v>
      </c>
      <c r="D1741" s="16">
        <v>0.35625000000000001</v>
      </c>
      <c r="E1741" s="14">
        <v>190</v>
      </c>
      <c r="F1741" s="14">
        <v>20</v>
      </c>
      <c r="G1741" s="17">
        <v>0.30844544864406975</v>
      </c>
      <c r="H1741" s="1" t="s">
        <v>144</v>
      </c>
      <c r="I1741" s="14"/>
    </row>
    <row r="1742" spans="1:9" x14ac:dyDescent="0.25">
      <c r="A1742" s="14">
        <v>2016</v>
      </c>
      <c r="B1742" s="14">
        <v>200</v>
      </c>
      <c r="C1742" s="15">
        <v>42569</v>
      </c>
      <c r="D1742" s="16">
        <v>0.25694444444444448</v>
      </c>
      <c r="E1742" s="14">
        <v>170</v>
      </c>
      <c r="F1742" s="14">
        <v>1</v>
      </c>
      <c r="G1742" s="17">
        <v>0.28569144223502796</v>
      </c>
      <c r="H1742" s="1" t="s">
        <v>143</v>
      </c>
      <c r="I1742" s="14"/>
    </row>
    <row r="1743" spans="1:9" x14ac:dyDescent="0.25">
      <c r="A1743" s="14">
        <v>2016</v>
      </c>
      <c r="B1743" s="14">
        <v>200</v>
      </c>
      <c r="C1743" s="15">
        <v>42569</v>
      </c>
      <c r="D1743" s="16">
        <v>0.26458333333333334</v>
      </c>
      <c r="E1743" s="14">
        <v>170</v>
      </c>
      <c r="F1743" s="14">
        <v>2</v>
      </c>
      <c r="G1743" s="17">
        <v>0.27911243952651116</v>
      </c>
      <c r="H1743" s="1" t="s">
        <v>143</v>
      </c>
      <c r="I1743" s="14"/>
    </row>
    <row r="1744" spans="1:9" x14ac:dyDescent="0.25">
      <c r="A1744" s="14">
        <v>2016</v>
      </c>
      <c r="B1744" s="14">
        <v>200</v>
      </c>
      <c r="C1744" s="15">
        <v>42569</v>
      </c>
      <c r="D1744" s="16">
        <v>0.2722222222222222</v>
      </c>
      <c r="E1744" s="14">
        <v>170</v>
      </c>
      <c r="F1744" s="14">
        <v>3</v>
      </c>
      <c r="G1744" s="17">
        <v>0.28818289888204024</v>
      </c>
      <c r="H1744" s="1" t="s">
        <v>143</v>
      </c>
      <c r="I1744" s="14"/>
    </row>
    <row r="1745" spans="1:9" x14ac:dyDescent="0.25">
      <c r="A1745" s="14">
        <v>2016</v>
      </c>
      <c r="B1745" s="14">
        <v>200</v>
      </c>
      <c r="C1745" s="15">
        <v>42569</v>
      </c>
      <c r="D1745" s="16">
        <v>0.27916666666666667</v>
      </c>
      <c r="E1745" s="14">
        <v>170</v>
      </c>
      <c r="F1745" s="14">
        <v>4</v>
      </c>
      <c r="G1745" s="17">
        <v>0.29754532581339105</v>
      </c>
      <c r="H1745" s="1" t="s">
        <v>143</v>
      </c>
      <c r="I1745" s="14"/>
    </row>
    <row r="1746" spans="1:9" x14ac:dyDescent="0.25">
      <c r="A1746" s="14">
        <v>2016</v>
      </c>
      <c r="B1746" s="14">
        <v>200</v>
      </c>
      <c r="C1746" s="15">
        <v>42569</v>
      </c>
      <c r="D1746" s="16">
        <v>0.28680555555555554</v>
      </c>
      <c r="E1746" s="14">
        <v>170</v>
      </c>
      <c r="F1746" s="14">
        <v>5</v>
      </c>
      <c r="G1746" s="17">
        <v>0.33388555675067161</v>
      </c>
      <c r="H1746" s="1" t="s">
        <v>0</v>
      </c>
      <c r="I1746" s="14"/>
    </row>
    <row r="1747" spans="1:9" x14ac:dyDescent="0.25">
      <c r="A1747" s="14">
        <v>2016</v>
      </c>
      <c r="B1747" s="14">
        <v>200</v>
      </c>
      <c r="C1747" s="15">
        <v>42569</v>
      </c>
      <c r="D1747" s="16">
        <v>0.29236111111111113</v>
      </c>
      <c r="E1747" s="14">
        <v>170</v>
      </c>
      <c r="F1747" s="14">
        <v>6</v>
      </c>
      <c r="G1747" s="17">
        <v>0.35103378570393579</v>
      </c>
      <c r="H1747" s="1" t="s">
        <v>0</v>
      </c>
      <c r="I1747" s="14"/>
    </row>
    <row r="1748" spans="1:9" x14ac:dyDescent="0.25">
      <c r="A1748" s="14">
        <v>2016</v>
      </c>
      <c r="B1748" s="14">
        <v>200</v>
      </c>
      <c r="C1748" s="15">
        <v>42569</v>
      </c>
      <c r="D1748" s="16">
        <v>0.3</v>
      </c>
      <c r="E1748" s="14">
        <v>170</v>
      </c>
      <c r="F1748" s="14">
        <v>7</v>
      </c>
      <c r="G1748" s="17">
        <v>0.30151608484456682</v>
      </c>
      <c r="H1748" s="1" t="s">
        <v>143</v>
      </c>
      <c r="I1748" s="14"/>
    </row>
    <row r="1749" spans="1:9" x14ac:dyDescent="0.25">
      <c r="A1749" s="14">
        <v>2016</v>
      </c>
      <c r="B1749" s="14">
        <v>200</v>
      </c>
      <c r="C1749" s="15">
        <v>42569</v>
      </c>
      <c r="D1749" s="16">
        <v>0.30694444444444441</v>
      </c>
      <c r="E1749" s="14">
        <v>170</v>
      </c>
      <c r="F1749" s="14">
        <v>8</v>
      </c>
      <c r="G1749" s="17">
        <v>0.31157923395788983</v>
      </c>
      <c r="H1749" s="1" t="s">
        <v>143</v>
      </c>
      <c r="I1749" s="14"/>
    </row>
    <row r="1750" spans="1:9" x14ac:dyDescent="0.25">
      <c r="A1750" s="14">
        <v>2016</v>
      </c>
      <c r="B1750" s="14">
        <v>200</v>
      </c>
      <c r="C1750" s="15">
        <v>42569</v>
      </c>
      <c r="D1750" s="16">
        <v>0.31388888888888888</v>
      </c>
      <c r="E1750" s="14">
        <v>170</v>
      </c>
      <c r="F1750" s="14">
        <v>9</v>
      </c>
      <c r="G1750" s="17">
        <v>0.30136036880412853</v>
      </c>
      <c r="H1750" s="1" t="s">
        <v>143</v>
      </c>
      <c r="I1750" s="14"/>
    </row>
    <row r="1751" spans="1:9" x14ac:dyDescent="0.25">
      <c r="A1751" s="14">
        <v>2016</v>
      </c>
      <c r="B1751" s="14">
        <v>200</v>
      </c>
      <c r="C1751" s="15">
        <v>42569</v>
      </c>
      <c r="D1751" s="16">
        <v>0.32083333333333336</v>
      </c>
      <c r="E1751" s="14">
        <v>170</v>
      </c>
      <c r="F1751" s="14">
        <v>10</v>
      </c>
      <c r="G1751" s="17">
        <v>0.31113155034162981</v>
      </c>
      <c r="H1751" s="1" t="s">
        <v>143</v>
      </c>
      <c r="I1751" s="14"/>
    </row>
    <row r="1752" spans="1:9" x14ac:dyDescent="0.25">
      <c r="A1752" s="14">
        <v>2016</v>
      </c>
      <c r="B1752" s="14">
        <v>200</v>
      </c>
      <c r="C1752" s="15">
        <v>42569</v>
      </c>
      <c r="D1752" s="16">
        <v>0.40625</v>
      </c>
      <c r="E1752" s="14">
        <v>170</v>
      </c>
      <c r="F1752" s="14">
        <v>11</v>
      </c>
      <c r="G1752" s="17">
        <v>0.32308275644526679</v>
      </c>
      <c r="H1752" s="1" t="s">
        <v>144</v>
      </c>
      <c r="I1752" s="14"/>
    </row>
    <row r="1753" spans="1:9" x14ac:dyDescent="0.25">
      <c r="A1753" s="14">
        <v>2016</v>
      </c>
      <c r="B1753" s="14">
        <v>200</v>
      </c>
      <c r="C1753" s="15">
        <v>42569</v>
      </c>
      <c r="D1753" s="16">
        <v>0.41388888888888892</v>
      </c>
      <c r="E1753" s="14">
        <v>170</v>
      </c>
      <c r="F1753" s="14">
        <v>12</v>
      </c>
      <c r="G1753" s="17">
        <v>0.34180761030796841</v>
      </c>
      <c r="H1753" s="1" t="s">
        <v>144</v>
      </c>
      <c r="I1753" s="14"/>
    </row>
    <row r="1754" spans="1:9" x14ac:dyDescent="0.25">
      <c r="A1754" s="14">
        <v>2016</v>
      </c>
      <c r="B1754" s="14">
        <v>200</v>
      </c>
      <c r="C1754" s="15">
        <v>42569</v>
      </c>
      <c r="D1754" s="16">
        <v>0.42152777777777778</v>
      </c>
      <c r="E1754" s="14">
        <v>170</v>
      </c>
      <c r="F1754" s="14">
        <v>13</v>
      </c>
      <c r="G1754" s="17">
        <v>0.30638221110826269</v>
      </c>
      <c r="H1754" s="1" t="s">
        <v>144</v>
      </c>
      <c r="I1754" s="14"/>
    </row>
    <row r="1755" spans="1:9" x14ac:dyDescent="0.25">
      <c r="A1755" s="14">
        <v>2016</v>
      </c>
      <c r="B1755" s="14">
        <v>200</v>
      </c>
      <c r="C1755" s="15">
        <v>42569</v>
      </c>
      <c r="D1755" s="16">
        <v>0.39930555555555558</v>
      </c>
      <c r="E1755" s="14">
        <v>170</v>
      </c>
      <c r="F1755" s="14">
        <v>14</v>
      </c>
      <c r="G1755" s="17">
        <v>0.31944289400002235</v>
      </c>
      <c r="H1755" s="1" t="s">
        <v>144</v>
      </c>
      <c r="I1755" s="14"/>
    </row>
    <row r="1756" spans="1:9" x14ac:dyDescent="0.25">
      <c r="A1756" s="14">
        <v>2016</v>
      </c>
      <c r="B1756" s="14">
        <v>200</v>
      </c>
      <c r="C1756" s="15">
        <v>42569</v>
      </c>
      <c r="D1756" s="16">
        <v>0.39166666666666666</v>
      </c>
      <c r="E1756" s="14">
        <v>170</v>
      </c>
      <c r="F1756" s="14">
        <v>15</v>
      </c>
      <c r="G1756" s="17">
        <v>0.33845971543854569</v>
      </c>
      <c r="H1756" s="1" t="s">
        <v>1</v>
      </c>
      <c r="I1756" s="14"/>
    </row>
    <row r="1757" spans="1:9" x14ac:dyDescent="0.25">
      <c r="A1757" s="14">
        <v>2016</v>
      </c>
      <c r="B1757" s="14">
        <v>200</v>
      </c>
      <c r="C1757" s="15">
        <v>42569</v>
      </c>
      <c r="D1757" s="16">
        <v>0.38680555555555557</v>
      </c>
      <c r="E1757" s="14">
        <v>170</v>
      </c>
      <c r="F1757" s="14">
        <v>16</v>
      </c>
      <c r="G1757" s="17">
        <v>0.32989533321444103</v>
      </c>
      <c r="H1757" s="1" t="s">
        <v>1</v>
      </c>
      <c r="I1757" s="14"/>
    </row>
    <row r="1758" spans="1:9" x14ac:dyDescent="0.25">
      <c r="A1758" s="14">
        <v>2016</v>
      </c>
      <c r="B1758" s="14">
        <v>200</v>
      </c>
      <c r="C1758" s="15">
        <v>42569</v>
      </c>
      <c r="D1758" s="16">
        <v>0.37847222222222227</v>
      </c>
      <c r="E1758" s="14">
        <v>170</v>
      </c>
      <c r="F1758" s="14">
        <v>17</v>
      </c>
      <c r="G1758" s="17">
        <v>0.32236256975823979</v>
      </c>
      <c r="H1758" s="1" t="s">
        <v>144</v>
      </c>
      <c r="I1758" s="14"/>
    </row>
    <row r="1759" spans="1:9" x14ac:dyDescent="0.25">
      <c r="A1759" s="14">
        <v>2016</v>
      </c>
      <c r="B1759" s="14">
        <v>200</v>
      </c>
      <c r="C1759" s="15">
        <v>42569</v>
      </c>
      <c r="D1759" s="16">
        <v>0.37083333333333335</v>
      </c>
      <c r="E1759" s="14">
        <v>170</v>
      </c>
      <c r="F1759" s="14">
        <v>18</v>
      </c>
      <c r="G1759" s="17">
        <v>0.32868853390104441</v>
      </c>
      <c r="H1759" s="1" t="s">
        <v>144</v>
      </c>
      <c r="I1759" s="14"/>
    </row>
    <row r="1760" spans="1:9" x14ac:dyDescent="0.25">
      <c r="A1760" s="14">
        <v>2016</v>
      </c>
      <c r="B1760" s="14">
        <v>200</v>
      </c>
      <c r="C1760" s="15">
        <v>42569</v>
      </c>
      <c r="D1760" s="16">
        <v>0.36388888888888887</v>
      </c>
      <c r="E1760" s="14">
        <v>170</v>
      </c>
      <c r="F1760" s="14">
        <v>19</v>
      </c>
      <c r="G1760" s="17">
        <v>0.31556945749412046</v>
      </c>
      <c r="H1760" s="1" t="s">
        <v>144</v>
      </c>
      <c r="I1760" s="14"/>
    </row>
    <row r="1761" spans="1:9" x14ac:dyDescent="0.25">
      <c r="A1761" s="14">
        <v>2016</v>
      </c>
      <c r="B1761" s="14">
        <v>200</v>
      </c>
      <c r="C1761" s="15">
        <v>42569</v>
      </c>
      <c r="D1761" s="16">
        <v>0.35625000000000001</v>
      </c>
      <c r="E1761" s="14">
        <v>170</v>
      </c>
      <c r="F1761" s="14">
        <v>20</v>
      </c>
      <c r="G1761" s="17">
        <v>0.31691250834290047</v>
      </c>
      <c r="H1761" s="1" t="s">
        <v>144</v>
      </c>
      <c r="I1761" s="14"/>
    </row>
    <row r="1762" spans="1:9" x14ac:dyDescent="0.25">
      <c r="A1762" s="14">
        <v>2016</v>
      </c>
      <c r="B1762" s="14">
        <v>200</v>
      </c>
      <c r="C1762" s="15">
        <v>42569</v>
      </c>
      <c r="D1762" s="16">
        <v>0.25694444444444448</v>
      </c>
      <c r="E1762" s="14">
        <v>150</v>
      </c>
      <c r="F1762" s="14">
        <v>1</v>
      </c>
      <c r="G1762" s="17">
        <v>0.34100956560072232</v>
      </c>
      <c r="H1762" s="1" t="s">
        <v>143</v>
      </c>
      <c r="I1762" s="14"/>
    </row>
    <row r="1763" spans="1:9" x14ac:dyDescent="0.25">
      <c r="A1763" s="14">
        <v>2016</v>
      </c>
      <c r="B1763" s="14">
        <v>200</v>
      </c>
      <c r="C1763" s="15">
        <v>42569</v>
      </c>
      <c r="D1763" s="16">
        <v>0.26458333333333334</v>
      </c>
      <c r="E1763" s="14">
        <v>150</v>
      </c>
      <c r="F1763" s="14">
        <v>2</v>
      </c>
      <c r="G1763" s="17">
        <v>0.33273715095243939</v>
      </c>
      <c r="H1763" s="1" t="s">
        <v>143</v>
      </c>
      <c r="I1763" s="14"/>
    </row>
    <row r="1764" spans="1:9" x14ac:dyDescent="0.25">
      <c r="A1764" s="14">
        <v>2016</v>
      </c>
      <c r="B1764" s="14">
        <v>200</v>
      </c>
      <c r="C1764" s="15">
        <v>42569</v>
      </c>
      <c r="D1764" s="16">
        <v>0.2722222222222222</v>
      </c>
      <c r="E1764" s="14">
        <v>150</v>
      </c>
      <c r="F1764" s="14">
        <v>3</v>
      </c>
      <c r="G1764" s="17">
        <v>0.3179635916158588</v>
      </c>
      <c r="H1764" s="1" t="s">
        <v>143</v>
      </c>
      <c r="I1764" s="14"/>
    </row>
    <row r="1765" spans="1:9" x14ac:dyDescent="0.25">
      <c r="A1765" s="14">
        <v>2016</v>
      </c>
      <c r="B1765" s="14">
        <v>200</v>
      </c>
      <c r="C1765" s="15">
        <v>42569</v>
      </c>
      <c r="D1765" s="16">
        <v>0.27916666666666667</v>
      </c>
      <c r="E1765" s="14">
        <v>150</v>
      </c>
      <c r="F1765" s="14">
        <v>4</v>
      </c>
      <c r="G1765" s="17">
        <v>0.30601238551222176</v>
      </c>
      <c r="H1765" s="1" t="s">
        <v>143</v>
      </c>
      <c r="I1765" s="14"/>
    </row>
    <row r="1766" spans="1:9" x14ac:dyDescent="0.25">
      <c r="A1766" s="14">
        <v>2016</v>
      </c>
      <c r="B1766" s="14">
        <v>200</v>
      </c>
      <c r="C1766" s="15">
        <v>42569</v>
      </c>
      <c r="D1766" s="16">
        <v>0.28680555555555554</v>
      </c>
      <c r="E1766" s="14">
        <v>150</v>
      </c>
      <c r="F1766" s="14">
        <v>5</v>
      </c>
      <c r="G1766" s="17">
        <v>0.36792897609148772</v>
      </c>
      <c r="H1766" s="1" t="s">
        <v>0</v>
      </c>
      <c r="I1766" s="14"/>
    </row>
    <row r="1767" spans="1:9" x14ac:dyDescent="0.25">
      <c r="A1767" s="14">
        <v>2016</v>
      </c>
      <c r="B1767" s="14">
        <v>200</v>
      </c>
      <c r="C1767" s="15">
        <v>42569</v>
      </c>
      <c r="D1767" s="16">
        <v>0.29236111111111113</v>
      </c>
      <c r="E1767" s="14">
        <v>150</v>
      </c>
      <c r="F1767" s="14">
        <v>6</v>
      </c>
      <c r="G1767" s="17">
        <v>0.35262987511842797</v>
      </c>
      <c r="H1767" s="1" t="s">
        <v>0</v>
      </c>
      <c r="I1767" s="14"/>
    </row>
    <row r="1768" spans="1:9" x14ac:dyDescent="0.25">
      <c r="A1768" s="14">
        <v>2016</v>
      </c>
      <c r="B1768" s="14">
        <v>200</v>
      </c>
      <c r="C1768" s="15">
        <v>42569</v>
      </c>
      <c r="D1768" s="16">
        <v>0.3</v>
      </c>
      <c r="E1768" s="14">
        <v>150</v>
      </c>
      <c r="F1768" s="14">
        <v>7</v>
      </c>
      <c r="G1768" s="17">
        <v>0.3281045987494009</v>
      </c>
      <c r="H1768" s="1" t="s">
        <v>143</v>
      </c>
      <c r="I1768" s="14"/>
    </row>
    <row r="1769" spans="1:9" x14ac:dyDescent="0.25">
      <c r="A1769" s="14">
        <v>2016</v>
      </c>
      <c r="B1769" s="14">
        <v>200</v>
      </c>
      <c r="C1769" s="15">
        <v>42569</v>
      </c>
      <c r="D1769" s="16">
        <v>0.30694444444444441</v>
      </c>
      <c r="E1769" s="14">
        <v>150</v>
      </c>
      <c r="F1769" s="14">
        <v>8</v>
      </c>
      <c r="G1769" s="17">
        <v>0.34229422293433803</v>
      </c>
      <c r="H1769" s="1" t="s">
        <v>143</v>
      </c>
      <c r="I1769" s="14"/>
    </row>
    <row r="1770" spans="1:9" x14ac:dyDescent="0.25">
      <c r="A1770" s="14">
        <v>2016</v>
      </c>
      <c r="B1770" s="14">
        <v>200</v>
      </c>
      <c r="C1770" s="15">
        <v>42569</v>
      </c>
      <c r="D1770" s="16">
        <v>0.31388888888888888</v>
      </c>
      <c r="E1770" s="14">
        <v>150</v>
      </c>
      <c r="F1770" s="14">
        <v>9</v>
      </c>
      <c r="G1770" s="17">
        <v>0.33191964174013849</v>
      </c>
      <c r="H1770" s="1" t="s">
        <v>143</v>
      </c>
      <c r="I1770" s="14"/>
    </row>
    <row r="1771" spans="1:9" x14ac:dyDescent="0.25">
      <c r="A1771" s="14">
        <v>2016</v>
      </c>
      <c r="B1771" s="14">
        <v>200</v>
      </c>
      <c r="C1771" s="15">
        <v>42569</v>
      </c>
      <c r="D1771" s="16">
        <v>0.32083333333333336</v>
      </c>
      <c r="E1771" s="14">
        <v>150</v>
      </c>
      <c r="F1771" s="14">
        <v>10</v>
      </c>
      <c r="G1771" s="17">
        <v>0.34735499424858168</v>
      </c>
      <c r="H1771" s="1" t="s">
        <v>143</v>
      </c>
      <c r="I1771" s="14"/>
    </row>
    <row r="1772" spans="1:9" x14ac:dyDescent="0.25">
      <c r="A1772" s="14">
        <v>2016</v>
      </c>
      <c r="B1772" s="14">
        <v>200</v>
      </c>
      <c r="C1772" s="15">
        <v>42569</v>
      </c>
      <c r="D1772" s="16">
        <v>0.40625</v>
      </c>
      <c r="E1772" s="14">
        <v>150</v>
      </c>
      <c r="F1772" s="14">
        <v>11</v>
      </c>
      <c r="G1772" s="17">
        <v>0.33812881885261437</v>
      </c>
      <c r="H1772" s="1" t="s">
        <v>144</v>
      </c>
      <c r="I1772" s="14"/>
    </row>
    <row r="1773" spans="1:9" x14ac:dyDescent="0.25">
      <c r="A1773" s="14">
        <v>2016</v>
      </c>
      <c r="B1773" s="14">
        <v>200</v>
      </c>
      <c r="C1773" s="15">
        <v>42569</v>
      </c>
      <c r="D1773" s="16">
        <v>0.41388888888888892</v>
      </c>
      <c r="E1773" s="14">
        <v>150</v>
      </c>
      <c r="F1773" s="14">
        <v>12</v>
      </c>
      <c r="G1773" s="17">
        <v>0.33285393798276808</v>
      </c>
      <c r="H1773" s="1" t="s">
        <v>144</v>
      </c>
      <c r="I1773" s="14"/>
    </row>
    <row r="1774" spans="1:9" x14ac:dyDescent="0.25">
      <c r="A1774" s="14">
        <v>2016</v>
      </c>
      <c r="B1774" s="14">
        <v>200</v>
      </c>
      <c r="C1774" s="15">
        <v>42569</v>
      </c>
      <c r="D1774" s="16">
        <v>0.42152777777777778</v>
      </c>
      <c r="E1774" s="14">
        <v>150</v>
      </c>
      <c r="F1774" s="14">
        <v>13</v>
      </c>
      <c r="G1774" s="17">
        <v>0.30823133908846712</v>
      </c>
      <c r="H1774" s="1" t="s">
        <v>144</v>
      </c>
      <c r="I1774" s="14"/>
    </row>
    <row r="1775" spans="1:9" x14ac:dyDescent="0.25">
      <c r="A1775" s="14">
        <v>2016</v>
      </c>
      <c r="B1775" s="14">
        <v>200</v>
      </c>
      <c r="C1775" s="15">
        <v>42569</v>
      </c>
      <c r="D1775" s="16">
        <v>0.39930555555555558</v>
      </c>
      <c r="E1775" s="14">
        <v>150</v>
      </c>
      <c r="F1775" s="14">
        <v>14</v>
      </c>
      <c r="G1775" s="17">
        <v>0.30535059234035916</v>
      </c>
      <c r="H1775" s="1" t="s">
        <v>144</v>
      </c>
      <c r="I1775" s="14"/>
    </row>
    <row r="1776" spans="1:9" x14ac:dyDescent="0.25">
      <c r="A1776" s="14">
        <v>2016</v>
      </c>
      <c r="B1776" s="14">
        <v>200</v>
      </c>
      <c r="C1776" s="15">
        <v>42569</v>
      </c>
      <c r="D1776" s="16">
        <v>0.39166666666666666</v>
      </c>
      <c r="E1776" s="14">
        <v>150</v>
      </c>
      <c r="F1776" s="14">
        <v>15</v>
      </c>
      <c r="G1776" s="17">
        <v>0.34910679970351222</v>
      </c>
      <c r="H1776" s="1" t="s">
        <v>1</v>
      </c>
      <c r="I1776" s="14"/>
    </row>
    <row r="1777" spans="1:9" x14ac:dyDescent="0.25">
      <c r="A1777" s="14">
        <v>2016</v>
      </c>
      <c r="B1777" s="14">
        <v>200</v>
      </c>
      <c r="C1777" s="15">
        <v>42569</v>
      </c>
      <c r="D1777" s="16">
        <v>0.38680555555555557</v>
      </c>
      <c r="E1777" s="14">
        <v>150</v>
      </c>
      <c r="F1777" s="14">
        <v>16</v>
      </c>
      <c r="G1777" s="17">
        <v>0.31737965646421529</v>
      </c>
      <c r="H1777" s="1" t="s">
        <v>1</v>
      </c>
      <c r="I1777" s="14"/>
    </row>
    <row r="1778" spans="1:9" x14ac:dyDescent="0.25">
      <c r="A1778" s="14">
        <v>2016</v>
      </c>
      <c r="B1778" s="14">
        <v>200</v>
      </c>
      <c r="C1778" s="15">
        <v>42569</v>
      </c>
      <c r="D1778" s="16">
        <v>0.37847222222222227</v>
      </c>
      <c r="E1778" s="14">
        <v>150</v>
      </c>
      <c r="F1778" s="14">
        <v>17</v>
      </c>
      <c r="G1778" s="17">
        <v>0.32606082571864869</v>
      </c>
      <c r="H1778" s="1" t="s">
        <v>144</v>
      </c>
      <c r="I1778" s="14"/>
    </row>
    <row r="1779" spans="1:9" x14ac:dyDescent="0.25">
      <c r="A1779" s="14">
        <v>2016</v>
      </c>
      <c r="B1779" s="14">
        <v>200</v>
      </c>
      <c r="C1779" s="15">
        <v>42569</v>
      </c>
      <c r="D1779" s="16">
        <v>0.37083333333333335</v>
      </c>
      <c r="E1779" s="14">
        <v>150</v>
      </c>
      <c r="F1779" s="14">
        <v>18</v>
      </c>
      <c r="G1779" s="17">
        <v>0.3297006881638932</v>
      </c>
      <c r="H1779" s="1" t="s">
        <v>144</v>
      </c>
      <c r="I1779" s="14"/>
    </row>
    <row r="1780" spans="1:9" x14ac:dyDescent="0.25">
      <c r="A1780" s="14">
        <v>2016</v>
      </c>
      <c r="B1780" s="14">
        <v>200</v>
      </c>
      <c r="C1780" s="15">
        <v>42569</v>
      </c>
      <c r="D1780" s="16">
        <v>0.36388888888888887</v>
      </c>
      <c r="E1780" s="14">
        <v>150</v>
      </c>
      <c r="F1780" s="14">
        <v>19</v>
      </c>
      <c r="G1780" s="17">
        <v>0.32872746291115401</v>
      </c>
      <c r="H1780" s="1" t="s">
        <v>144</v>
      </c>
      <c r="I1780" s="14"/>
    </row>
    <row r="1781" spans="1:9" x14ac:dyDescent="0.25">
      <c r="A1781" s="14">
        <v>2016</v>
      </c>
      <c r="B1781" s="14">
        <v>200</v>
      </c>
      <c r="C1781" s="15">
        <v>42569</v>
      </c>
      <c r="D1781" s="16">
        <v>0.35625000000000001</v>
      </c>
      <c r="E1781" s="14">
        <v>150</v>
      </c>
      <c r="F1781" s="14">
        <v>20</v>
      </c>
      <c r="G1781" s="17">
        <v>0.34437692497519989</v>
      </c>
      <c r="H1781" s="1" t="s">
        <v>144</v>
      </c>
      <c r="I1781" s="14"/>
    </row>
    <row r="1782" spans="1:9" x14ac:dyDescent="0.25">
      <c r="A1782" s="14">
        <v>2016</v>
      </c>
      <c r="B1782" s="14">
        <v>200</v>
      </c>
      <c r="C1782" s="15">
        <v>42569</v>
      </c>
      <c r="D1782" s="16">
        <v>0.25694444444444448</v>
      </c>
      <c r="E1782" s="14">
        <v>130</v>
      </c>
      <c r="F1782" s="14">
        <v>1</v>
      </c>
      <c r="G1782" s="17">
        <v>0.31829448820179013</v>
      </c>
      <c r="H1782" s="1" t="s">
        <v>143</v>
      </c>
      <c r="I1782" s="14"/>
    </row>
    <row r="1783" spans="1:9" x14ac:dyDescent="0.25">
      <c r="A1783" s="14">
        <v>2016</v>
      </c>
      <c r="B1783" s="14">
        <v>200</v>
      </c>
      <c r="C1783" s="15">
        <v>42569</v>
      </c>
      <c r="D1783" s="16">
        <v>0.26458333333333334</v>
      </c>
      <c r="E1783" s="14">
        <v>130</v>
      </c>
      <c r="F1783" s="14">
        <v>2</v>
      </c>
      <c r="G1783" s="17">
        <v>0.30770579745198795</v>
      </c>
      <c r="H1783" s="1" t="s">
        <v>143</v>
      </c>
      <c r="I1783" s="14"/>
    </row>
    <row r="1784" spans="1:9" x14ac:dyDescent="0.25">
      <c r="A1784" s="14">
        <v>2016</v>
      </c>
      <c r="B1784" s="14">
        <v>200</v>
      </c>
      <c r="C1784" s="15">
        <v>42569</v>
      </c>
      <c r="D1784" s="16">
        <v>0.2722222222222222</v>
      </c>
      <c r="E1784" s="14">
        <v>130</v>
      </c>
      <c r="F1784" s="14">
        <v>3</v>
      </c>
      <c r="G1784" s="17">
        <v>0.30609024353244096</v>
      </c>
      <c r="H1784" s="1" t="s">
        <v>143</v>
      </c>
      <c r="I1784" s="14"/>
    </row>
    <row r="1785" spans="1:9" x14ac:dyDescent="0.25">
      <c r="A1785" s="14">
        <v>2016</v>
      </c>
      <c r="B1785" s="14">
        <v>200</v>
      </c>
      <c r="C1785" s="15">
        <v>42569</v>
      </c>
      <c r="D1785" s="16">
        <v>0.27916666666666667</v>
      </c>
      <c r="E1785" s="14">
        <v>130</v>
      </c>
      <c r="F1785" s="14">
        <v>4</v>
      </c>
      <c r="G1785" s="17">
        <v>0.30990528652317845</v>
      </c>
      <c r="H1785" s="1" t="s">
        <v>143</v>
      </c>
      <c r="I1785" s="14"/>
    </row>
    <row r="1786" spans="1:9" x14ac:dyDescent="0.25">
      <c r="A1786" s="14">
        <v>2016</v>
      </c>
      <c r="B1786" s="14">
        <v>200</v>
      </c>
      <c r="C1786" s="15">
        <v>42569</v>
      </c>
      <c r="D1786" s="16">
        <v>0.28680555555555554</v>
      </c>
      <c r="E1786" s="14">
        <v>130</v>
      </c>
      <c r="F1786" s="14">
        <v>5</v>
      </c>
      <c r="G1786" s="17">
        <v>0.31681518581762658</v>
      </c>
      <c r="H1786" s="1" t="s">
        <v>0</v>
      </c>
      <c r="I1786" s="14"/>
    </row>
    <row r="1787" spans="1:9" x14ac:dyDescent="0.25">
      <c r="A1787" s="14">
        <v>2016</v>
      </c>
      <c r="B1787" s="14">
        <v>200</v>
      </c>
      <c r="C1787" s="15">
        <v>42569</v>
      </c>
      <c r="D1787" s="16">
        <v>0.29236111111111113</v>
      </c>
      <c r="E1787" s="14">
        <v>130</v>
      </c>
      <c r="F1787" s="14">
        <v>6</v>
      </c>
      <c r="G1787" s="17">
        <v>0.30786151349242619</v>
      </c>
      <c r="H1787" s="1" t="s">
        <v>0</v>
      </c>
      <c r="I1787" s="14"/>
    </row>
    <row r="1788" spans="1:9" x14ac:dyDescent="0.25">
      <c r="A1788" s="14">
        <v>2016</v>
      </c>
      <c r="B1788" s="14">
        <v>200</v>
      </c>
      <c r="C1788" s="15">
        <v>42569</v>
      </c>
      <c r="D1788" s="16">
        <v>0.3</v>
      </c>
      <c r="E1788" s="14">
        <v>130</v>
      </c>
      <c r="F1788" s="14">
        <v>7</v>
      </c>
      <c r="G1788" s="17">
        <v>0.3091656353310967</v>
      </c>
      <c r="H1788" s="1" t="s">
        <v>143</v>
      </c>
      <c r="I1788" s="14"/>
    </row>
    <row r="1789" spans="1:9" x14ac:dyDescent="0.25">
      <c r="A1789" s="14">
        <v>2016</v>
      </c>
      <c r="B1789" s="14">
        <v>200</v>
      </c>
      <c r="C1789" s="15">
        <v>42569</v>
      </c>
      <c r="D1789" s="16">
        <v>0.30694444444444441</v>
      </c>
      <c r="E1789" s="14">
        <v>130</v>
      </c>
      <c r="F1789" s="14">
        <v>8</v>
      </c>
      <c r="G1789" s="17">
        <v>0.34357888026795375</v>
      </c>
      <c r="H1789" s="1" t="s">
        <v>143</v>
      </c>
      <c r="I1789" s="14"/>
    </row>
    <row r="1790" spans="1:9" x14ac:dyDescent="0.25">
      <c r="A1790" s="14">
        <v>2016</v>
      </c>
      <c r="B1790" s="14">
        <v>200</v>
      </c>
      <c r="C1790" s="15">
        <v>42569</v>
      </c>
      <c r="D1790" s="16">
        <v>0.31388888888888888</v>
      </c>
      <c r="E1790" s="14">
        <v>130</v>
      </c>
      <c r="F1790" s="14">
        <v>9</v>
      </c>
      <c r="G1790" s="17">
        <v>0.30628488858298875</v>
      </c>
      <c r="H1790" s="1" t="s">
        <v>143</v>
      </c>
      <c r="I1790" s="14"/>
    </row>
    <row r="1791" spans="1:9" x14ac:dyDescent="0.25">
      <c r="A1791" s="14">
        <v>2016</v>
      </c>
      <c r="B1791" s="14">
        <v>200</v>
      </c>
      <c r="C1791" s="15">
        <v>42569</v>
      </c>
      <c r="D1791" s="16">
        <v>0.32083333333333336</v>
      </c>
      <c r="E1791" s="14">
        <v>130</v>
      </c>
      <c r="F1791" s="14">
        <v>10</v>
      </c>
      <c r="G1791" s="17">
        <v>0.32084433836396675</v>
      </c>
      <c r="H1791" s="1" t="s">
        <v>143</v>
      </c>
      <c r="I1791" s="14"/>
    </row>
    <row r="1792" spans="1:9" x14ac:dyDescent="0.25">
      <c r="A1792" s="14">
        <v>2016</v>
      </c>
      <c r="B1792" s="14">
        <v>200</v>
      </c>
      <c r="C1792" s="15">
        <v>42569</v>
      </c>
      <c r="D1792" s="16">
        <v>0.40625</v>
      </c>
      <c r="E1792" s="14">
        <v>130</v>
      </c>
      <c r="F1792" s="14">
        <v>11</v>
      </c>
      <c r="G1792" s="17">
        <v>0.31029457662427418</v>
      </c>
      <c r="H1792" s="1" t="s">
        <v>144</v>
      </c>
      <c r="I1792" s="14"/>
    </row>
    <row r="1793" spans="1:9" x14ac:dyDescent="0.25">
      <c r="A1793" s="14">
        <v>2016</v>
      </c>
      <c r="B1793" s="14">
        <v>200</v>
      </c>
      <c r="C1793" s="15">
        <v>42569</v>
      </c>
      <c r="D1793" s="16">
        <v>0.41388888888888892</v>
      </c>
      <c r="E1793" s="14">
        <v>130</v>
      </c>
      <c r="F1793" s="14">
        <v>12</v>
      </c>
      <c r="G1793" s="17">
        <v>0.30256716811752515</v>
      </c>
      <c r="H1793" s="1" t="s">
        <v>144</v>
      </c>
      <c r="I1793" s="14"/>
    </row>
    <row r="1794" spans="1:9" x14ac:dyDescent="0.25">
      <c r="A1794" s="14">
        <v>2016</v>
      </c>
      <c r="B1794" s="14">
        <v>200</v>
      </c>
      <c r="C1794" s="15">
        <v>42569</v>
      </c>
      <c r="D1794" s="16">
        <v>0.42152777777777778</v>
      </c>
      <c r="E1794" s="14">
        <v>130</v>
      </c>
      <c r="F1794" s="14">
        <v>13</v>
      </c>
      <c r="G1794" s="17">
        <v>0.31677625680751703</v>
      </c>
      <c r="H1794" s="1" t="s">
        <v>144</v>
      </c>
      <c r="I1794" s="14"/>
    </row>
    <row r="1795" spans="1:9" x14ac:dyDescent="0.25">
      <c r="A1795" s="14">
        <v>2016</v>
      </c>
      <c r="B1795" s="14">
        <v>200</v>
      </c>
      <c r="C1795" s="15">
        <v>42569</v>
      </c>
      <c r="D1795" s="16">
        <v>0.39930555555555558</v>
      </c>
      <c r="E1795" s="14">
        <v>130</v>
      </c>
      <c r="F1795" s="14">
        <v>14</v>
      </c>
      <c r="G1795" s="17">
        <v>0.31630910868620221</v>
      </c>
      <c r="H1795" s="1" t="s">
        <v>144</v>
      </c>
      <c r="I1795" s="14"/>
    </row>
    <row r="1796" spans="1:9" x14ac:dyDescent="0.25">
      <c r="A1796" s="14">
        <v>2016</v>
      </c>
      <c r="B1796" s="14">
        <v>200</v>
      </c>
      <c r="C1796" s="15">
        <v>42569</v>
      </c>
      <c r="D1796" s="16">
        <v>0.39166666666666666</v>
      </c>
      <c r="E1796" s="14">
        <v>130</v>
      </c>
      <c r="F1796" s="14">
        <v>15</v>
      </c>
      <c r="G1796" s="17">
        <v>0.30500023124937309</v>
      </c>
      <c r="H1796" s="1" t="s">
        <v>1</v>
      </c>
      <c r="I1796" s="14"/>
    </row>
    <row r="1797" spans="1:9" x14ac:dyDescent="0.25">
      <c r="A1797" s="14">
        <v>2016</v>
      </c>
      <c r="B1797" s="14">
        <v>200</v>
      </c>
      <c r="C1797" s="15">
        <v>42569</v>
      </c>
      <c r="D1797" s="16">
        <v>0.38680555555555557</v>
      </c>
      <c r="E1797" s="14">
        <v>130</v>
      </c>
      <c r="F1797" s="14">
        <v>16</v>
      </c>
      <c r="G1797" s="17">
        <v>0.30067911112721113</v>
      </c>
      <c r="H1797" s="1" t="s">
        <v>1</v>
      </c>
      <c r="I1797" s="14"/>
    </row>
    <row r="1798" spans="1:9" x14ac:dyDescent="0.25">
      <c r="A1798" s="14">
        <v>2016</v>
      </c>
      <c r="B1798" s="14">
        <v>200</v>
      </c>
      <c r="C1798" s="15">
        <v>42569</v>
      </c>
      <c r="D1798" s="16">
        <v>0.37847222222222227</v>
      </c>
      <c r="E1798" s="14">
        <v>130</v>
      </c>
      <c r="F1798" s="14">
        <v>17</v>
      </c>
      <c r="G1798" s="17">
        <v>0.31161816296799938</v>
      </c>
      <c r="H1798" s="1" t="s">
        <v>144</v>
      </c>
      <c r="I1798" s="14"/>
    </row>
    <row r="1799" spans="1:9" x14ac:dyDescent="0.25">
      <c r="A1799" s="14">
        <v>2016</v>
      </c>
      <c r="B1799" s="14">
        <v>200</v>
      </c>
      <c r="C1799" s="15">
        <v>42569</v>
      </c>
      <c r="D1799" s="16">
        <v>0.37083333333333335</v>
      </c>
      <c r="E1799" s="14">
        <v>130</v>
      </c>
      <c r="F1799" s="14">
        <v>18</v>
      </c>
      <c r="G1799" s="17">
        <v>0.30657685615881053</v>
      </c>
      <c r="H1799" s="1" t="s">
        <v>144</v>
      </c>
      <c r="I1799" s="14"/>
    </row>
    <row r="1800" spans="1:9" x14ac:dyDescent="0.25">
      <c r="A1800" s="14">
        <v>2016</v>
      </c>
      <c r="B1800" s="14">
        <v>200</v>
      </c>
      <c r="C1800" s="15">
        <v>42569</v>
      </c>
      <c r="D1800" s="16">
        <v>0.36388888888888887</v>
      </c>
      <c r="E1800" s="14">
        <v>130</v>
      </c>
      <c r="F1800" s="14">
        <v>19</v>
      </c>
      <c r="G1800" s="17">
        <v>0.30653792714870098</v>
      </c>
      <c r="H1800" s="1" t="s">
        <v>144</v>
      </c>
      <c r="I1800" s="14"/>
    </row>
    <row r="1801" spans="1:9" x14ac:dyDescent="0.25">
      <c r="A1801" s="14">
        <v>2016</v>
      </c>
      <c r="B1801" s="14">
        <v>200</v>
      </c>
      <c r="C1801" s="15">
        <v>42569</v>
      </c>
      <c r="D1801" s="16">
        <v>0.35625000000000001</v>
      </c>
      <c r="E1801" s="14">
        <v>130</v>
      </c>
      <c r="F1801" s="14">
        <v>20</v>
      </c>
      <c r="G1801" s="17">
        <v>0.30075696914743033</v>
      </c>
      <c r="H1801" s="1" t="s">
        <v>144</v>
      </c>
      <c r="I1801" s="14"/>
    </row>
    <row r="1802" spans="1:9" x14ac:dyDescent="0.25">
      <c r="A1802" s="14">
        <v>2016</v>
      </c>
      <c r="B1802" s="14">
        <v>200</v>
      </c>
      <c r="C1802" s="15">
        <v>42569</v>
      </c>
      <c r="D1802" s="16">
        <v>0.25694444444444448</v>
      </c>
      <c r="E1802" s="14">
        <v>110</v>
      </c>
      <c r="F1802" s="14">
        <v>1</v>
      </c>
      <c r="G1802" s="17">
        <v>0.34050627150930146</v>
      </c>
      <c r="H1802" s="1" t="s">
        <v>143</v>
      </c>
      <c r="I1802" s="14"/>
    </row>
    <row r="1803" spans="1:9" x14ac:dyDescent="0.25">
      <c r="A1803" s="14">
        <v>2016</v>
      </c>
      <c r="B1803" s="14">
        <v>200</v>
      </c>
      <c r="C1803" s="15">
        <v>42569</v>
      </c>
      <c r="D1803" s="16">
        <v>0.26458333333333334</v>
      </c>
      <c r="E1803" s="14">
        <v>110</v>
      </c>
      <c r="F1803" s="14">
        <v>2</v>
      </c>
      <c r="G1803" s="17">
        <v>0.34091844095321955</v>
      </c>
      <c r="H1803" s="1" t="s">
        <v>143</v>
      </c>
      <c r="I1803" s="14"/>
    </row>
    <row r="1804" spans="1:9" x14ac:dyDescent="0.25">
      <c r="A1804" s="14">
        <v>2016</v>
      </c>
      <c r="B1804" s="14">
        <v>200</v>
      </c>
      <c r="C1804" s="15">
        <v>42569</v>
      </c>
      <c r="D1804" s="16">
        <v>0.2722222222222222</v>
      </c>
      <c r="E1804" s="14">
        <v>110</v>
      </c>
      <c r="F1804" s="14">
        <v>3</v>
      </c>
      <c r="G1804" s="17">
        <v>0.32667569683560527</v>
      </c>
      <c r="H1804" s="1" t="s">
        <v>143</v>
      </c>
      <c r="I1804" s="14"/>
    </row>
    <row r="1805" spans="1:9" x14ac:dyDescent="0.25">
      <c r="A1805" s="14">
        <v>2016</v>
      </c>
      <c r="B1805" s="14">
        <v>200</v>
      </c>
      <c r="C1805" s="15">
        <v>42569</v>
      </c>
      <c r="D1805" s="16">
        <v>0.27916666666666667</v>
      </c>
      <c r="E1805" s="14">
        <v>110</v>
      </c>
      <c r="F1805" s="14">
        <v>4</v>
      </c>
      <c r="G1805" s="17">
        <v>0.33615559404572154</v>
      </c>
      <c r="H1805" s="1" t="s">
        <v>143</v>
      </c>
      <c r="I1805" s="14"/>
    </row>
    <row r="1806" spans="1:9" x14ac:dyDescent="0.25">
      <c r="A1806" s="14">
        <v>2016</v>
      </c>
      <c r="B1806" s="14">
        <v>200</v>
      </c>
      <c r="C1806" s="15">
        <v>42569</v>
      </c>
      <c r="D1806" s="16">
        <v>0.28680555555555554</v>
      </c>
      <c r="E1806" s="14">
        <v>110</v>
      </c>
      <c r="F1806" s="14">
        <v>5</v>
      </c>
      <c r="G1806" s="17">
        <v>0.33001884899182987</v>
      </c>
      <c r="H1806" s="1" t="s">
        <v>0</v>
      </c>
      <c r="I1806" s="14"/>
    </row>
    <row r="1807" spans="1:9" x14ac:dyDescent="0.25">
      <c r="A1807" s="14">
        <v>2016</v>
      </c>
      <c r="B1807" s="14">
        <v>200</v>
      </c>
      <c r="C1807" s="15">
        <v>42569</v>
      </c>
      <c r="D1807" s="16">
        <v>0.29236111111111113</v>
      </c>
      <c r="E1807" s="14">
        <v>110</v>
      </c>
      <c r="F1807" s="14">
        <v>6</v>
      </c>
      <c r="G1807" s="17">
        <v>0.32003518912803597</v>
      </c>
      <c r="H1807" s="1" t="s">
        <v>0</v>
      </c>
      <c r="I1807" s="14"/>
    </row>
    <row r="1808" spans="1:9" x14ac:dyDescent="0.25">
      <c r="A1808" s="14">
        <v>2016</v>
      </c>
      <c r="B1808" s="14">
        <v>200</v>
      </c>
      <c r="C1808" s="15">
        <v>42569</v>
      </c>
      <c r="D1808" s="16">
        <v>0.3</v>
      </c>
      <c r="E1808" s="14">
        <v>110</v>
      </c>
      <c r="F1808" s="14">
        <v>7</v>
      </c>
      <c r="G1808" s="17">
        <v>0.33981932243610463</v>
      </c>
      <c r="H1808" s="1" t="s">
        <v>143</v>
      </c>
      <c r="I1808" s="14"/>
    </row>
    <row r="1809" spans="1:9" x14ac:dyDescent="0.25">
      <c r="A1809" s="14">
        <v>2016</v>
      </c>
      <c r="B1809" s="14">
        <v>200</v>
      </c>
      <c r="C1809" s="15">
        <v>42569</v>
      </c>
      <c r="D1809" s="16">
        <v>0.30694444444444441</v>
      </c>
      <c r="E1809" s="14">
        <v>110</v>
      </c>
      <c r="F1809" s="14">
        <v>8</v>
      </c>
      <c r="G1809" s="17">
        <v>0.33684254311891837</v>
      </c>
      <c r="H1809" s="1" t="s">
        <v>143</v>
      </c>
      <c r="I1809" s="14"/>
    </row>
    <row r="1810" spans="1:9" x14ac:dyDescent="0.25">
      <c r="A1810" s="14">
        <v>2016</v>
      </c>
      <c r="B1810" s="14">
        <v>200</v>
      </c>
      <c r="C1810" s="15">
        <v>42569</v>
      </c>
      <c r="D1810" s="16">
        <v>0.31388888888888888</v>
      </c>
      <c r="E1810" s="14">
        <v>110</v>
      </c>
      <c r="F1810" s="14">
        <v>9</v>
      </c>
      <c r="G1810" s="17">
        <v>0.32935479822107294</v>
      </c>
      <c r="H1810" s="1" t="s">
        <v>143</v>
      </c>
      <c r="I1810" s="14"/>
    </row>
    <row r="1811" spans="1:9" x14ac:dyDescent="0.25">
      <c r="A1811" s="14">
        <v>2016</v>
      </c>
      <c r="B1811" s="14">
        <v>200</v>
      </c>
      <c r="C1811" s="15">
        <v>42569</v>
      </c>
      <c r="D1811" s="16">
        <v>0.32083333333333336</v>
      </c>
      <c r="E1811" s="14">
        <v>110</v>
      </c>
      <c r="F1811" s="14">
        <v>10</v>
      </c>
      <c r="G1811" s="17">
        <v>0.33872020391898972</v>
      </c>
      <c r="H1811" s="1" t="s">
        <v>143</v>
      </c>
      <c r="I1811" s="14"/>
    </row>
    <row r="1812" spans="1:9" x14ac:dyDescent="0.25">
      <c r="A1812" s="14">
        <v>2016</v>
      </c>
      <c r="B1812" s="14">
        <v>200</v>
      </c>
      <c r="C1812" s="15">
        <v>42569</v>
      </c>
      <c r="D1812" s="16">
        <v>0.40625</v>
      </c>
      <c r="E1812" s="14">
        <v>110</v>
      </c>
      <c r="F1812" s="14">
        <v>11</v>
      </c>
      <c r="G1812" s="17">
        <v>0.32539339189897121</v>
      </c>
      <c r="H1812" s="1" t="s">
        <v>144</v>
      </c>
      <c r="I1812" s="14"/>
    </row>
    <row r="1813" spans="1:9" x14ac:dyDescent="0.25">
      <c r="A1813" s="14">
        <v>2016</v>
      </c>
      <c r="B1813" s="14">
        <v>200</v>
      </c>
      <c r="C1813" s="15">
        <v>42569</v>
      </c>
      <c r="D1813" s="16">
        <v>0.41388888888888892</v>
      </c>
      <c r="E1813" s="14">
        <v>110</v>
      </c>
      <c r="F1813" s="14">
        <v>12</v>
      </c>
      <c r="G1813" s="17">
        <v>0.33968193262146529</v>
      </c>
      <c r="H1813" s="1" t="s">
        <v>144</v>
      </c>
      <c r="I1813" s="14"/>
    </row>
    <row r="1814" spans="1:9" x14ac:dyDescent="0.25">
      <c r="A1814" s="14">
        <v>2016</v>
      </c>
      <c r="B1814" s="14">
        <v>200</v>
      </c>
      <c r="C1814" s="15">
        <v>42569</v>
      </c>
      <c r="D1814" s="16">
        <v>0.42152777777777778</v>
      </c>
      <c r="E1814" s="14">
        <v>110</v>
      </c>
      <c r="F1814" s="14">
        <v>13</v>
      </c>
      <c r="G1814" s="17">
        <v>0.33402605191881141</v>
      </c>
      <c r="H1814" s="1" t="s">
        <v>144</v>
      </c>
      <c r="I1814" s="14"/>
    </row>
    <row r="1815" spans="1:9" x14ac:dyDescent="0.25">
      <c r="A1815" s="14">
        <v>2016</v>
      </c>
      <c r="B1815" s="14">
        <v>200</v>
      </c>
      <c r="C1815" s="15">
        <v>42569</v>
      </c>
      <c r="D1815" s="16">
        <v>0.39930555555555558</v>
      </c>
      <c r="E1815" s="14">
        <v>110</v>
      </c>
      <c r="F1815" s="14">
        <v>14</v>
      </c>
      <c r="G1815" s="17">
        <v>0.32564527322581005</v>
      </c>
      <c r="H1815" s="1" t="s">
        <v>144</v>
      </c>
      <c r="I1815" s="14"/>
    </row>
    <row r="1816" spans="1:9" x14ac:dyDescent="0.25">
      <c r="A1816" s="14">
        <v>2016</v>
      </c>
      <c r="B1816" s="14">
        <v>200</v>
      </c>
      <c r="C1816" s="15">
        <v>42569</v>
      </c>
      <c r="D1816" s="16">
        <v>0.39166666666666666</v>
      </c>
      <c r="E1816" s="14">
        <v>110</v>
      </c>
      <c r="F1816" s="14">
        <v>15</v>
      </c>
      <c r="G1816" s="17">
        <v>0.31666913866937152</v>
      </c>
      <c r="H1816" s="1" t="s">
        <v>1</v>
      </c>
      <c r="I1816" s="14"/>
    </row>
    <row r="1817" spans="1:9" x14ac:dyDescent="0.25">
      <c r="A1817" s="14">
        <v>2016</v>
      </c>
      <c r="B1817" s="14">
        <v>200</v>
      </c>
      <c r="C1817" s="15">
        <v>42569</v>
      </c>
      <c r="D1817" s="16">
        <v>0.38680555555555557</v>
      </c>
      <c r="E1817" s="14">
        <v>110</v>
      </c>
      <c r="F1817" s="14">
        <v>16</v>
      </c>
      <c r="G1817" s="17">
        <v>0.32005808743047581</v>
      </c>
      <c r="H1817" s="1" t="s">
        <v>1</v>
      </c>
      <c r="I1817" s="14"/>
    </row>
    <row r="1818" spans="1:9" x14ac:dyDescent="0.25">
      <c r="A1818" s="14">
        <v>2016</v>
      </c>
      <c r="B1818" s="14">
        <v>200</v>
      </c>
      <c r="C1818" s="15">
        <v>42569</v>
      </c>
      <c r="D1818" s="16">
        <v>0.37847222222222227</v>
      </c>
      <c r="E1818" s="14">
        <v>110</v>
      </c>
      <c r="F1818" s="14">
        <v>17</v>
      </c>
      <c r="G1818" s="17">
        <v>0.33803325484579289</v>
      </c>
      <c r="H1818" s="1" t="s">
        <v>144</v>
      </c>
      <c r="I1818" s="14"/>
    </row>
    <row r="1819" spans="1:9" x14ac:dyDescent="0.25">
      <c r="A1819" s="14">
        <v>2016</v>
      </c>
      <c r="B1819" s="14">
        <v>200</v>
      </c>
      <c r="C1819" s="15">
        <v>42569</v>
      </c>
      <c r="D1819" s="16">
        <v>0.37083333333333335</v>
      </c>
      <c r="E1819" s="14">
        <v>110</v>
      </c>
      <c r="F1819" s="14">
        <v>18</v>
      </c>
      <c r="G1819" s="17">
        <v>0.33572052629936355</v>
      </c>
      <c r="H1819" s="1" t="s">
        <v>144</v>
      </c>
      <c r="I1819" s="14"/>
    </row>
    <row r="1820" spans="1:9" x14ac:dyDescent="0.25">
      <c r="A1820" s="14">
        <v>2016</v>
      </c>
      <c r="B1820" s="14">
        <v>200</v>
      </c>
      <c r="C1820" s="15">
        <v>42569</v>
      </c>
      <c r="D1820" s="16">
        <v>0.36388888888888887</v>
      </c>
      <c r="E1820" s="14">
        <v>110</v>
      </c>
      <c r="F1820" s="14">
        <v>19</v>
      </c>
      <c r="G1820" s="17">
        <v>0.33352228926513372</v>
      </c>
      <c r="H1820" s="1" t="s">
        <v>144</v>
      </c>
      <c r="I1820" s="14"/>
    </row>
    <row r="1821" spans="1:9" x14ac:dyDescent="0.25">
      <c r="A1821" s="14">
        <v>2016</v>
      </c>
      <c r="B1821" s="14">
        <v>200</v>
      </c>
      <c r="C1821" s="15">
        <v>42569</v>
      </c>
      <c r="D1821" s="16">
        <v>0.35625000000000001</v>
      </c>
      <c r="E1821" s="14">
        <v>110</v>
      </c>
      <c r="F1821" s="14">
        <v>20</v>
      </c>
      <c r="G1821" s="17">
        <v>0.32807249328443888</v>
      </c>
      <c r="H1821" s="1" t="s">
        <v>144</v>
      </c>
      <c r="I1821" s="14"/>
    </row>
    <row r="1822" spans="1:9" x14ac:dyDescent="0.25">
      <c r="A1822" s="14">
        <v>2016</v>
      </c>
      <c r="B1822" s="14">
        <v>200</v>
      </c>
      <c r="C1822" s="15">
        <v>42569</v>
      </c>
      <c r="D1822" s="16">
        <v>0.25694444444444448</v>
      </c>
      <c r="E1822" s="14">
        <v>90</v>
      </c>
      <c r="F1822" s="14">
        <v>1</v>
      </c>
      <c r="G1822" s="17">
        <v>0.33819354296287213</v>
      </c>
      <c r="H1822" s="1" t="s">
        <v>143</v>
      </c>
      <c r="I1822" s="14"/>
    </row>
    <row r="1823" spans="1:9" x14ac:dyDescent="0.25">
      <c r="A1823" s="14">
        <v>2016</v>
      </c>
      <c r="B1823" s="14">
        <v>200</v>
      </c>
      <c r="C1823" s="15">
        <v>42569</v>
      </c>
      <c r="D1823" s="16">
        <v>0.26458333333333334</v>
      </c>
      <c r="E1823" s="14">
        <v>90</v>
      </c>
      <c r="F1823" s="14">
        <v>2</v>
      </c>
      <c r="G1823" s="17">
        <v>0.3407352545337004</v>
      </c>
      <c r="H1823" s="1" t="s">
        <v>143</v>
      </c>
      <c r="I1823" s="14"/>
    </row>
    <row r="1824" spans="1:9" x14ac:dyDescent="0.25">
      <c r="A1824" s="14">
        <v>2016</v>
      </c>
      <c r="B1824" s="14">
        <v>200</v>
      </c>
      <c r="C1824" s="15">
        <v>42569</v>
      </c>
      <c r="D1824" s="16">
        <v>0.2722222222222222</v>
      </c>
      <c r="E1824" s="14">
        <v>90</v>
      </c>
      <c r="F1824" s="14">
        <v>3</v>
      </c>
      <c r="G1824" s="17">
        <v>0.32772901874784044</v>
      </c>
      <c r="H1824" s="1" t="s">
        <v>143</v>
      </c>
      <c r="I1824" s="14"/>
    </row>
    <row r="1825" spans="1:9" x14ac:dyDescent="0.25">
      <c r="A1825" s="14">
        <v>2016</v>
      </c>
      <c r="B1825" s="14">
        <v>200</v>
      </c>
      <c r="C1825" s="15">
        <v>42569</v>
      </c>
      <c r="D1825" s="16">
        <v>0.27916666666666667</v>
      </c>
      <c r="E1825" s="14">
        <v>90</v>
      </c>
      <c r="F1825" s="14">
        <v>4</v>
      </c>
      <c r="G1825" s="17">
        <v>0.32862205254299631</v>
      </c>
      <c r="H1825" s="1" t="s">
        <v>143</v>
      </c>
      <c r="I1825" s="14"/>
    </row>
    <row r="1826" spans="1:9" x14ac:dyDescent="0.25">
      <c r="A1826" s="14">
        <v>2016</v>
      </c>
      <c r="B1826" s="14">
        <v>200</v>
      </c>
      <c r="C1826" s="15">
        <v>42569</v>
      </c>
      <c r="D1826" s="16">
        <v>0.28680555555555554</v>
      </c>
      <c r="E1826" s="14">
        <v>90</v>
      </c>
      <c r="F1826" s="14">
        <v>5</v>
      </c>
      <c r="G1826" s="17">
        <v>0.30265537757615613</v>
      </c>
      <c r="H1826" s="1" t="s">
        <v>0</v>
      </c>
      <c r="I1826" s="14"/>
    </row>
    <row r="1827" spans="1:9" x14ac:dyDescent="0.25">
      <c r="A1827" s="14">
        <v>2016</v>
      </c>
      <c r="B1827" s="14">
        <v>200</v>
      </c>
      <c r="C1827" s="15">
        <v>42569</v>
      </c>
      <c r="D1827" s="16">
        <v>0.29236111111111113</v>
      </c>
      <c r="E1827" s="14">
        <v>90</v>
      </c>
      <c r="F1827" s="14">
        <v>6</v>
      </c>
      <c r="G1827" s="17">
        <v>0.2983047001125762</v>
      </c>
      <c r="H1827" s="1" t="s">
        <v>0</v>
      </c>
      <c r="I1827" s="14"/>
    </row>
    <row r="1828" spans="1:9" x14ac:dyDescent="0.25">
      <c r="A1828" s="14">
        <v>2016</v>
      </c>
      <c r="B1828" s="14">
        <v>200</v>
      </c>
      <c r="C1828" s="15">
        <v>42569</v>
      </c>
      <c r="D1828" s="16">
        <v>0.3</v>
      </c>
      <c r="E1828" s="14">
        <v>90</v>
      </c>
      <c r="F1828" s="14">
        <v>7</v>
      </c>
      <c r="G1828" s="17">
        <v>0.33972772922634509</v>
      </c>
      <c r="H1828" s="1" t="s">
        <v>143</v>
      </c>
      <c r="I1828" s="14"/>
    </row>
    <row r="1829" spans="1:9" x14ac:dyDescent="0.25">
      <c r="A1829" s="14">
        <v>2016</v>
      </c>
      <c r="B1829" s="14">
        <v>200</v>
      </c>
      <c r="C1829" s="15">
        <v>42569</v>
      </c>
      <c r="D1829" s="16">
        <v>0.30694444444444441</v>
      </c>
      <c r="E1829" s="14">
        <v>90</v>
      </c>
      <c r="F1829" s="14">
        <v>8</v>
      </c>
      <c r="G1829" s="17">
        <v>0.3237218158208589</v>
      </c>
      <c r="H1829" s="1" t="s">
        <v>143</v>
      </c>
      <c r="I1829" s="14"/>
    </row>
    <row r="1830" spans="1:9" x14ac:dyDescent="0.25">
      <c r="A1830" s="14">
        <v>2016</v>
      </c>
      <c r="B1830" s="14">
        <v>200</v>
      </c>
      <c r="C1830" s="15">
        <v>42569</v>
      </c>
      <c r="D1830" s="16">
        <v>0.31388888888888888</v>
      </c>
      <c r="E1830" s="14">
        <v>90</v>
      </c>
      <c r="F1830" s="14">
        <v>9</v>
      </c>
      <c r="G1830" s="17">
        <v>0.31163151213259471</v>
      </c>
      <c r="H1830" s="1" t="s">
        <v>143</v>
      </c>
      <c r="I1830" s="14"/>
    </row>
    <row r="1831" spans="1:9" x14ac:dyDescent="0.25">
      <c r="A1831" s="14">
        <v>2016</v>
      </c>
      <c r="B1831" s="14">
        <v>200</v>
      </c>
      <c r="C1831" s="15">
        <v>42569</v>
      </c>
      <c r="D1831" s="16">
        <v>0.32083333333333336</v>
      </c>
      <c r="E1831" s="14">
        <v>90</v>
      </c>
      <c r="F1831" s="14">
        <v>10</v>
      </c>
      <c r="G1831" s="17">
        <v>0.3375523904945551</v>
      </c>
      <c r="H1831" s="1" t="s">
        <v>143</v>
      </c>
      <c r="I1831" s="14"/>
    </row>
    <row r="1832" spans="1:9" x14ac:dyDescent="0.25">
      <c r="A1832" s="14">
        <v>2016</v>
      </c>
      <c r="B1832" s="14">
        <v>200</v>
      </c>
      <c r="C1832" s="15">
        <v>42569</v>
      </c>
      <c r="D1832" s="16">
        <v>0.40625</v>
      </c>
      <c r="E1832" s="14">
        <v>90</v>
      </c>
      <c r="F1832" s="14">
        <v>11</v>
      </c>
      <c r="G1832" s="17">
        <v>0.32154647708906897</v>
      </c>
      <c r="H1832" s="1" t="s">
        <v>144</v>
      </c>
      <c r="I1832" s="14"/>
    </row>
    <row r="1833" spans="1:9" x14ac:dyDescent="0.25">
      <c r="A1833" s="14">
        <v>2016</v>
      </c>
      <c r="B1833" s="14">
        <v>200</v>
      </c>
      <c r="C1833" s="15">
        <v>42569</v>
      </c>
      <c r="D1833" s="16">
        <v>0.41388888888888892</v>
      </c>
      <c r="E1833" s="14">
        <v>90</v>
      </c>
      <c r="F1833" s="14">
        <v>12</v>
      </c>
      <c r="G1833" s="17">
        <v>0.33272084867973739</v>
      </c>
      <c r="H1833" s="1" t="s">
        <v>144</v>
      </c>
      <c r="I1833" s="14"/>
    </row>
    <row r="1834" spans="1:9" x14ac:dyDescent="0.25">
      <c r="A1834" s="14">
        <v>2016</v>
      </c>
      <c r="B1834" s="14">
        <v>200</v>
      </c>
      <c r="C1834" s="15">
        <v>42569</v>
      </c>
      <c r="D1834" s="16">
        <v>0.42152777777777778</v>
      </c>
      <c r="E1834" s="14">
        <v>90</v>
      </c>
      <c r="F1834" s="14">
        <v>13</v>
      </c>
      <c r="G1834" s="17">
        <v>0.3205618500841535</v>
      </c>
      <c r="H1834" s="1" t="s">
        <v>144</v>
      </c>
      <c r="I1834" s="14"/>
    </row>
    <row r="1835" spans="1:9" x14ac:dyDescent="0.25">
      <c r="A1835" s="14">
        <v>2016</v>
      </c>
      <c r="B1835" s="14">
        <v>200</v>
      </c>
      <c r="C1835" s="15">
        <v>42569</v>
      </c>
      <c r="D1835" s="16">
        <v>0.39930555555555558</v>
      </c>
      <c r="E1835" s="14">
        <v>90</v>
      </c>
      <c r="F1835" s="14">
        <v>14</v>
      </c>
      <c r="G1835" s="17">
        <v>0.32051605347927375</v>
      </c>
      <c r="H1835" s="1" t="s">
        <v>144</v>
      </c>
      <c r="I1835" s="14"/>
    </row>
    <row r="1836" spans="1:9" x14ac:dyDescent="0.25">
      <c r="A1836" s="14">
        <v>2016</v>
      </c>
      <c r="B1836" s="14">
        <v>200</v>
      </c>
      <c r="C1836" s="15">
        <v>42569</v>
      </c>
      <c r="D1836" s="16">
        <v>0.39166666666666666</v>
      </c>
      <c r="E1836" s="14">
        <v>90</v>
      </c>
      <c r="F1836" s="14">
        <v>15</v>
      </c>
      <c r="G1836" s="17">
        <v>0.29111463314644942</v>
      </c>
      <c r="H1836" s="1" t="s">
        <v>1</v>
      </c>
      <c r="I1836" s="14"/>
    </row>
    <row r="1837" spans="1:9" x14ac:dyDescent="0.25">
      <c r="A1837" s="14">
        <v>2016</v>
      </c>
      <c r="B1837" s="14">
        <v>200</v>
      </c>
      <c r="C1837" s="15">
        <v>42569</v>
      </c>
      <c r="D1837" s="16">
        <v>0.38680555555555557</v>
      </c>
      <c r="E1837" s="14">
        <v>90</v>
      </c>
      <c r="F1837" s="14">
        <v>16</v>
      </c>
      <c r="G1837" s="17">
        <v>0.31124224099111653</v>
      </c>
      <c r="H1837" s="1" t="s">
        <v>1</v>
      </c>
      <c r="I1837" s="14"/>
    </row>
    <row r="1838" spans="1:9" x14ac:dyDescent="0.25">
      <c r="A1838" s="14">
        <v>2016</v>
      </c>
      <c r="B1838" s="14">
        <v>200</v>
      </c>
      <c r="C1838" s="15">
        <v>42569</v>
      </c>
      <c r="D1838" s="16">
        <v>0.37847222222222227</v>
      </c>
      <c r="E1838" s="14">
        <v>90</v>
      </c>
      <c r="F1838" s="14">
        <v>17</v>
      </c>
      <c r="G1838" s="17">
        <v>0.33393445870905181</v>
      </c>
      <c r="H1838" s="1" t="s">
        <v>144</v>
      </c>
      <c r="I1838" s="14"/>
    </row>
    <row r="1839" spans="1:9" x14ac:dyDescent="0.25">
      <c r="A1839" s="14">
        <v>2016</v>
      </c>
      <c r="B1839" s="14">
        <v>200</v>
      </c>
      <c r="C1839" s="15">
        <v>42569</v>
      </c>
      <c r="D1839" s="16">
        <v>0.37083333333333335</v>
      </c>
      <c r="E1839" s="14">
        <v>90</v>
      </c>
      <c r="F1839" s="14">
        <v>18</v>
      </c>
      <c r="G1839" s="17">
        <v>0.32401949375257755</v>
      </c>
      <c r="H1839" s="1" t="s">
        <v>144</v>
      </c>
      <c r="I1839" s="14"/>
    </row>
    <row r="1840" spans="1:9" x14ac:dyDescent="0.25">
      <c r="A1840" s="14">
        <v>2016</v>
      </c>
      <c r="B1840" s="14">
        <v>200</v>
      </c>
      <c r="C1840" s="15">
        <v>42569</v>
      </c>
      <c r="D1840" s="16">
        <v>0.36388888888888887</v>
      </c>
      <c r="E1840" s="14">
        <v>90</v>
      </c>
      <c r="F1840" s="14">
        <v>19</v>
      </c>
      <c r="G1840" s="17">
        <v>0.31701261320596991</v>
      </c>
      <c r="H1840" s="1" t="s">
        <v>144</v>
      </c>
      <c r="I1840" s="14"/>
    </row>
    <row r="1841" spans="1:9" x14ac:dyDescent="0.25">
      <c r="A1841" s="14">
        <v>2016</v>
      </c>
      <c r="B1841" s="14">
        <v>200</v>
      </c>
      <c r="C1841" s="15">
        <v>42569</v>
      </c>
      <c r="D1841" s="16">
        <v>0.35625000000000001</v>
      </c>
      <c r="E1841" s="14">
        <v>90</v>
      </c>
      <c r="F1841" s="14">
        <v>20</v>
      </c>
      <c r="G1841" s="17">
        <v>0.31795144360600558</v>
      </c>
      <c r="H1841" s="1" t="s">
        <v>144</v>
      </c>
      <c r="I1841" s="14"/>
    </row>
    <row r="1842" spans="1:9" x14ac:dyDescent="0.25">
      <c r="A1842" s="14">
        <v>2016</v>
      </c>
      <c r="B1842" s="14">
        <v>200</v>
      </c>
      <c r="C1842" s="15">
        <v>42569</v>
      </c>
      <c r="D1842" s="16">
        <v>0.25694444444444448</v>
      </c>
      <c r="E1842" s="14">
        <v>70</v>
      </c>
      <c r="F1842" s="14">
        <v>1</v>
      </c>
      <c r="G1842" s="17">
        <v>0.32216473125494616</v>
      </c>
      <c r="H1842" s="1" t="s">
        <v>143</v>
      </c>
      <c r="I1842" s="14"/>
    </row>
    <row r="1843" spans="1:9" x14ac:dyDescent="0.25">
      <c r="A1843" s="14">
        <v>2016</v>
      </c>
      <c r="B1843" s="14">
        <v>200</v>
      </c>
      <c r="C1843" s="15">
        <v>42569</v>
      </c>
      <c r="D1843" s="16">
        <v>0.26458333333333334</v>
      </c>
      <c r="E1843" s="14">
        <v>70</v>
      </c>
      <c r="F1843" s="14">
        <v>2</v>
      </c>
      <c r="G1843" s="17">
        <v>0.329125815196674</v>
      </c>
      <c r="H1843" s="1" t="s">
        <v>143</v>
      </c>
      <c r="I1843" s="14"/>
    </row>
    <row r="1844" spans="1:9" x14ac:dyDescent="0.25">
      <c r="A1844" s="14">
        <v>2016</v>
      </c>
      <c r="B1844" s="14">
        <v>200</v>
      </c>
      <c r="C1844" s="15">
        <v>42569</v>
      </c>
      <c r="D1844" s="16">
        <v>0.2722222222222222</v>
      </c>
      <c r="E1844" s="14">
        <v>70</v>
      </c>
      <c r="F1844" s="14">
        <v>3</v>
      </c>
      <c r="G1844" s="17">
        <v>0.31586769808397519</v>
      </c>
      <c r="H1844" s="1" t="s">
        <v>143</v>
      </c>
      <c r="I1844" s="14"/>
    </row>
    <row r="1845" spans="1:9" x14ac:dyDescent="0.25">
      <c r="A1845" s="14">
        <v>2016</v>
      </c>
      <c r="B1845" s="14">
        <v>200</v>
      </c>
      <c r="C1845" s="15">
        <v>42569</v>
      </c>
      <c r="D1845" s="16">
        <v>0.27916666666666667</v>
      </c>
      <c r="E1845" s="14">
        <v>70</v>
      </c>
      <c r="F1845" s="14">
        <v>4</v>
      </c>
      <c r="G1845" s="17">
        <v>0.30416666553718918</v>
      </c>
      <c r="H1845" s="1" t="s">
        <v>143</v>
      </c>
      <c r="I1845" s="14"/>
    </row>
    <row r="1846" spans="1:9" x14ac:dyDescent="0.25">
      <c r="A1846" s="14">
        <v>2016</v>
      </c>
      <c r="B1846" s="14">
        <v>200</v>
      </c>
      <c r="C1846" s="15">
        <v>42569</v>
      </c>
      <c r="D1846" s="16">
        <v>0.28680555555555554</v>
      </c>
      <c r="E1846" s="14">
        <v>70</v>
      </c>
      <c r="F1846" s="14">
        <v>5</v>
      </c>
      <c r="G1846" s="17">
        <v>0.28048982081433843</v>
      </c>
      <c r="H1846" s="1" t="s">
        <v>0</v>
      </c>
      <c r="I1846" s="14"/>
    </row>
    <row r="1847" spans="1:9" x14ac:dyDescent="0.25">
      <c r="A1847" s="14">
        <v>2016</v>
      </c>
      <c r="B1847" s="14">
        <v>200</v>
      </c>
      <c r="C1847" s="15">
        <v>42569</v>
      </c>
      <c r="D1847" s="16">
        <v>0.29236111111111113</v>
      </c>
      <c r="E1847" s="14">
        <v>70</v>
      </c>
      <c r="F1847" s="14">
        <v>6</v>
      </c>
      <c r="G1847" s="17">
        <v>0.2898323282098153</v>
      </c>
      <c r="H1847" s="1" t="s">
        <v>0</v>
      </c>
      <c r="I1847" s="14"/>
    </row>
    <row r="1848" spans="1:9" x14ac:dyDescent="0.25">
      <c r="A1848" s="14">
        <v>2016</v>
      </c>
      <c r="B1848" s="14">
        <v>200</v>
      </c>
      <c r="C1848" s="15">
        <v>42569</v>
      </c>
      <c r="D1848" s="16">
        <v>0.3</v>
      </c>
      <c r="E1848" s="14">
        <v>70</v>
      </c>
      <c r="F1848" s="14">
        <v>7</v>
      </c>
      <c r="G1848" s="17">
        <v>0.32626352739168718</v>
      </c>
      <c r="H1848" s="1" t="s">
        <v>143</v>
      </c>
      <c r="I1848" s="14"/>
    </row>
    <row r="1849" spans="1:9" x14ac:dyDescent="0.25">
      <c r="A1849" s="14">
        <v>2016</v>
      </c>
      <c r="B1849" s="14">
        <v>200</v>
      </c>
      <c r="C1849" s="15">
        <v>42569</v>
      </c>
      <c r="D1849" s="16">
        <v>0.30694444444444441</v>
      </c>
      <c r="E1849" s="14">
        <v>70</v>
      </c>
      <c r="F1849" s="14">
        <v>8</v>
      </c>
      <c r="G1849" s="17">
        <v>0.31362366444486556</v>
      </c>
      <c r="H1849" s="1" t="s">
        <v>143</v>
      </c>
      <c r="I1849" s="14"/>
    </row>
    <row r="1850" spans="1:9" x14ac:dyDescent="0.25">
      <c r="A1850" s="14">
        <v>2016</v>
      </c>
      <c r="B1850" s="14">
        <v>200</v>
      </c>
      <c r="C1850" s="15">
        <v>42569</v>
      </c>
      <c r="D1850" s="16">
        <v>0.31388888888888888</v>
      </c>
      <c r="E1850" s="14">
        <v>70</v>
      </c>
      <c r="F1850" s="14">
        <v>9</v>
      </c>
      <c r="G1850" s="17">
        <v>0.29404561585875588</v>
      </c>
      <c r="H1850" s="1" t="s">
        <v>143</v>
      </c>
      <c r="I1850" s="14"/>
    </row>
    <row r="1851" spans="1:9" x14ac:dyDescent="0.25">
      <c r="A1851" s="14">
        <v>2016</v>
      </c>
      <c r="B1851" s="14">
        <v>200</v>
      </c>
      <c r="C1851" s="15">
        <v>42569</v>
      </c>
      <c r="D1851" s="16">
        <v>0.32083333333333336</v>
      </c>
      <c r="E1851" s="14">
        <v>70</v>
      </c>
      <c r="F1851" s="14">
        <v>10</v>
      </c>
      <c r="G1851" s="17">
        <v>0.34082684774346</v>
      </c>
      <c r="H1851" s="1" t="s">
        <v>143</v>
      </c>
      <c r="I1851" s="14"/>
    </row>
    <row r="1852" spans="1:9" x14ac:dyDescent="0.25">
      <c r="A1852" s="14">
        <v>2016</v>
      </c>
      <c r="B1852" s="14">
        <v>200</v>
      </c>
      <c r="C1852" s="15">
        <v>42569</v>
      </c>
      <c r="D1852" s="16">
        <v>0.40625</v>
      </c>
      <c r="E1852" s="14">
        <v>70</v>
      </c>
      <c r="F1852" s="14">
        <v>11</v>
      </c>
      <c r="G1852" s="17">
        <v>0.31426481691318259</v>
      </c>
      <c r="H1852" s="1" t="s">
        <v>144</v>
      </c>
      <c r="I1852" s="14"/>
    </row>
    <row r="1853" spans="1:9" x14ac:dyDescent="0.25">
      <c r="A1853" s="14">
        <v>2016</v>
      </c>
      <c r="B1853" s="14">
        <v>200</v>
      </c>
      <c r="C1853" s="15">
        <v>42569</v>
      </c>
      <c r="D1853" s="16">
        <v>0.41388888888888892</v>
      </c>
      <c r="E1853" s="14">
        <v>70</v>
      </c>
      <c r="F1853" s="14">
        <v>12</v>
      </c>
      <c r="G1853" s="17">
        <v>0.31263903743995008</v>
      </c>
      <c r="H1853" s="1" t="s">
        <v>144</v>
      </c>
      <c r="I1853" s="14"/>
    </row>
    <row r="1854" spans="1:9" x14ac:dyDescent="0.25">
      <c r="A1854" s="14">
        <v>2016</v>
      </c>
      <c r="B1854" s="14">
        <v>200</v>
      </c>
      <c r="C1854" s="15">
        <v>42569</v>
      </c>
      <c r="D1854" s="16">
        <v>0.42152777777777778</v>
      </c>
      <c r="E1854" s="14">
        <v>70</v>
      </c>
      <c r="F1854" s="14">
        <v>13</v>
      </c>
      <c r="G1854" s="17">
        <v>0.29951831014189062</v>
      </c>
      <c r="H1854" s="1" t="s">
        <v>144</v>
      </c>
      <c r="I1854" s="14"/>
    </row>
    <row r="1855" spans="1:9" x14ac:dyDescent="0.25">
      <c r="A1855" s="14">
        <v>2016</v>
      </c>
      <c r="B1855" s="14">
        <v>200</v>
      </c>
      <c r="C1855" s="15">
        <v>42569</v>
      </c>
      <c r="D1855" s="16">
        <v>0.39930555555555558</v>
      </c>
      <c r="E1855" s="14">
        <v>70</v>
      </c>
      <c r="F1855" s="14">
        <v>14</v>
      </c>
      <c r="G1855" s="17">
        <v>0.30318203853227371</v>
      </c>
      <c r="H1855" s="1" t="s">
        <v>144</v>
      </c>
      <c r="I1855" s="14"/>
    </row>
    <row r="1856" spans="1:9" x14ac:dyDescent="0.25">
      <c r="A1856" s="14">
        <v>2016</v>
      </c>
      <c r="B1856" s="14">
        <v>200</v>
      </c>
      <c r="C1856" s="15">
        <v>42569</v>
      </c>
      <c r="D1856" s="16">
        <v>0.39166666666666666</v>
      </c>
      <c r="E1856" s="14">
        <v>70</v>
      </c>
      <c r="F1856" s="14">
        <v>15</v>
      </c>
      <c r="G1856" s="17">
        <v>0.28548165074623538</v>
      </c>
      <c r="H1856" s="1" t="s">
        <v>1</v>
      </c>
      <c r="I1856" s="14"/>
    </row>
    <row r="1857" spans="1:9" x14ac:dyDescent="0.25">
      <c r="A1857" s="14">
        <v>2016</v>
      </c>
      <c r="B1857" s="14">
        <v>200</v>
      </c>
      <c r="C1857" s="15">
        <v>42569</v>
      </c>
      <c r="D1857" s="16">
        <v>0.38680555555555557</v>
      </c>
      <c r="E1857" s="14">
        <v>70</v>
      </c>
      <c r="F1857" s="14">
        <v>16</v>
      </c>
      <c r="G1857" s="17">
        <v>0.29267171771236222</v>
      </c>
      <c r="H1857" s="1" t="s">
        <v>1</v>
      </c>
      <c r="I1857" s="14"/>
    </row>
    <row r="1858" spans="1:9" x14ac:dyDescent="0.25">
      <c r="A1858" s="14">
        <v>2016</v>
      </c>
      <c r="B1858" s="14">
        <v>200</v>
      </c>
      <c r="C1858" s="15">
        <v>42569</v>
      </c>
      <c r="D1858" s="16">
        <v>0.37847222222222227</v>
      </c>
      <c r="E1858" s="14">
        <v>70</v>
      </c>
      <c r="F1858" s="14">
        <v>17</v>
      </c>
      <c r="G1858" s="17">
        <v>0.32427137507941639</v>
      </c>
      <c r="H1858" s="1" t="s">
        <v>144</v>
      </c>
      <c r="I1858" s="14"/>
    </row>
    <row r="1859" spans="1:9" x14ac:dyDescent="0.25">
      <c r="A1859" s="14">
        <v>2016</v>
      </c>
      <c r="B1859" s="14">
        <v>200</v>
      </c>
      <c r="C1859" s="15">
        <v>42569</v>
      </c>
      <c r="D1859" s="16">
        <v>0.37083333333333335</v>
      </c>
      <c r="E1859" s="14">
        <v>70</v>
      </c>
      <c r="F1859" s="14">
        <v>18</v>
      </c>
      <c r="G1859" s="17">
        <v>0.30892951244468719</v>
      </c>
      <c r="H1859" s="1" t="s">
        <v>144</v>
      </c>
      <c r="I1859" s="14"/>
    </row>
    <row r="1860" spans="1:9" x14ac:dyDescent="0.25">
      <c r="A1860" s="14">
        <v>2016</v>
      </c>
      <c r="B1860" s="14">
        <v>200</v>
      </c>
      <c r="C1860" s="15">
        <v>42569</v>
      </c>
      <c r="D1860" s="16">
        <v>0.36388888888888887</v>
      </c>
      <c r="E1860" s="14">
        <v>70</v>
      </c>
      <c r="F1860" s="14">
        <v>19</v>
      </c>
      <c r="G1860" s="17">
        <v>0.28754249796582587</v>
      </c>
      <c r="H1860" s="1" t="s">
        <v>144</v>
      </c>
      <c r="I1860" s="14"/>
    </row>
    <row r="1861" spans="1:9" x14ac:dyDescent="0.25">
      <c r="A1861" s="14">
        <v>2016</v>
      </c>
      <c r="B1861" s="14">
        <v>200</v>
      </c>
      <c r="C1861" s="15">
        <v>42569</v>
      </c>
      <c r="D1861" s="16">
        <v>0.35625000000000001</v>
      </c>
      <c r="E1861" s="14">
        <v>70</v>
      </c>
      <c r="F1861" s="14">
        <v>20</v>
      </c>
      <c r="G1861" s="17">
        <v>0.29791542897109802</v>
      </c>
      <c r="H1861" s="1" t="s">
        <v>144</v>
      </c>
      <c r="I1861" s="14"/>
    </row>
    <row r="1862" spans="1:9" x14ac:dyDescent="0.25">
      <c r="A1862" s="14">
        <v>2016</v>
      </c>
      <c r="B1862" s="14">
        <v>200</v>
      </c>
      <c r="C1862" s="15">
        <v>42569</v>
      </c>
      <c r="D1862" s="16">
        <v>0.25694444444444448</v>
      </c>
      <c r="E1862" s="14">
        <v>50</v>
      </c>
      <c r="F1862" s="14">
        <v>1</v>
      </c>
      <c r="G1862" s="17">
        <v>0.30801358034709142</v>
      </c>
      <c r="H1862" s="1" t="s">
        <v>143</v>
      </c>
      <c r="I1862" s="14"/>
    </row>
    <row r="1863" spans="1:9" x14ac:dyDescent="0.25">
      <c r="A1863" s="14">
        <v>2016</v>
      </c>
      <c r="B1863" s="14">
        <v>200</v>
      </c>
      <c r="C1863" s="15">
        <v>42569</v>
      </c>
      <c r="D1863" s="16">
        <v>0.26458333333333334</v>
      </c>
      <c r="E1863" s="14">
        <v>50</v>
      </c>
      <c r="F1863" s="14">
        <v>2</v>
      </c>
      <c r="G1863" s="17">
        <v>0.32509571396725262</v>
      </c>
      <c r="H1863" s="1" t="s">
        <v>143</v>
      </c>
      <c r="I1863" s="14"/>
    </row>
    <row r="1864" spans="1:9" x14ac:dyDescent="0.25">
      <c r="A1864" s="14">
        <v>2016</v>
      </c>
      <c r="B1864" s="14">
        <v>200</v>
      </c>
      <c r="C1864" s="15">
        <v>42569</v>
      </c>
      <c r="D1864" s="16">
        <v>0.2722222222222222</v>
      </c>
      <c r="E1864" s="14">
        <v>50</v>
      </c>
      <c r="F1864" s="14">
        <v>3</v>
      </c>
      <c r="G1864" s="17">
        <v>0.31131093589843617</v>
      </c>
      <c r="H1864" s="1" t="s">
        <v>143</v>
      </c>
      <c r="I1864" s="14"/>
    </row>
    <row r="1865" spans="1:9" x14ac:dyDescent="0.25">
      <c r="A1865" s="14">
        <v>2016</v>
      </c>
      <c r="B1865" s="14">
        <v>200</v>
      </c>
      <c r="C1865" s="15">
        <v>42569</v>
      </c>
      <c r="D1865" s="16">
        <v>0.27916666666666667</v>
      </c>
      <c r="E1865" s="14">
        <v>50</v>
      </c>
      <c r="F1865" s="14">
        <v>4</v>
      </c>
      <c r="G1865" s="17">
        <v>0.29608356477590647</v>
      </c>
      <c r="H1865" s="1" t="s">
        <v>143</v>
      </c>
      <c r="I1865" s="14"/>
    </row>
    <row r="1866" spans="1:9" x14ac:dyDescent="0.25">
      <c r="A1866" s="14">
        <v>2016</v>
      </c>
      <c r="B1866" s="14">
        <v>200</v>
      </c>
      <c r="C1866" s="15">
        <v>42569</v>
      </c>
      <c r="D1866" s="16">
        <v>0.28680555555555554</v>
      </c>
      <c r="E1866" s="14">
        <v>50</v>
      </c>
      <c r="F1866" s="14">
        <v>5</v>
      </c>
      <c r="G1866" s="17">
        <v>0.28348949843396459</v>
      </c>
      <c r="H1866" s="1" t="s">
        <v>0</v>
      </c>
      <c r="I1866" s="14"/>
    </row>
    <row r="1867" spans="1:9" x14ac:dyDescent="0.25">
      <c r="A1867" s="14">
        <v>2016</v>
      </c>
      <c r="B1867" s="14">
        <v>200</v>
      </c>
      <c r="C1867" s="15">
        <v>42569</v>
      </c>
      <c r="D1867" s="16">
        <v>0.29236111111111113</v>
      </c>
      <c r="E1867" s="14">
        <v>50</v>
      </c>
      <c r="F1867" s="14">
        <v>6</v>
      </c>
      <c r="G1867" s="17">
        <v>0.28644337944871096</v>
      </c>
      <c r="H1867" s="1" t="s">
        <v>0</v>
      </c>
      <c r="I1867" s="14"/>
    </row>
    <row r="1868" spans="1:9" x14ac:dyDescent="0.25">
      <c r="A1868" s="14">
        <v>2016</v>
      </c>
      <c r="B1868" s="14">
        <v>200</v>
      </c>
      <c r="C1868" s="15">
        <v>42569</v>
      </c>
      <c r="D1868" s="16">
        <v>0.3</v>
      </c>
      <c r="E1868" s="14">
        <v>50</v>
      </c>
      <c r="F1868" s="14">
        <v>7</v>
      </c>
      <c r="G1868" s="17">
        <v>0.31474568126442037</v>
      </c>
      <c r="H1868" s="1" t="s">
        <v>143</v>
      </c>
      <c r="I1868" s="14"/>
    </row>
    <row r="1869" spans="1:9" x14ac:dyDescent="0.25">
      <c r="A1869" s="14">
        <v>2016</v>
      </c>
      <c r="B1869" s="14">
        <v>200</v>
      </c>
      <c r="C1869" s="15">
        <v>42569</v>
      </c>
      <c r="D1869" s="16">
        <v>0.30694444444444441</v>
      </c>
      <c r="E1869" s="14">
        <v>50</v>
      </c>
      <c r="F1869" s="14">
        <v>8</v>
      </c>
      <c r="G1869" s="17">
        <v>0.29583168344906763</v>
      </c>
      <c r="H1869" s="1" t="s">
        <v>143</v>
      </c>
      <c r="I1869" s="14"/>
    </row>
    <row r="1870" spans="1:9" x14ac:dyDescent="0.25">
      <c r="A1870" s="14">
        <v>2016</v>
      </c>
      <c r="B1870" s="14">
        <v>200</v>
      </c>
      <c r="C1870" s="15">
        <v>42569</v>
      </c>
      <c r="D1870" s="16">
        <v>0.31388888888888888</v>
      </c>
      <c r="E1870" s="14">
        <v>50</v>
      </c>
      <c r="F1870" s="14">
        <v>9</v>
      </c>
      <c r="G1870" s="17">
        <v>0.29248853129284308</v>
      </c>
      <c r="H1870" s="1" t="s">
        <v>143</v>
      </c>
      <c r="I1870" s="14"/>
    </row>
    <row r="1871" spans="1:9" x14ac:dyDescent="0.25">
      <c r="A1871" s="14">
        <v>2016</v>
      </c>
      <c r="B1871" s="14">
        <v>200</v>
      </c>
      <c r="C1871" s="15">
        <v>42569</v>
      </c>
      <c r="D1871" s="16">
        <v>0.32083333333333336</v>
      </c>
      <c r="E1871" s="14">
        <v>50</v>
      </c>
      <c r="F1871" s="14">
        <v>10</v>
      </c>
      <c r="G1871" s="17">
        <v>0.33899498354826846</v>
      </c>
      <c r="H1871" s="1" t="s">
        <v>143</v>
      </c>
      <c r="I1871" s="14"/>
    </row>
    <row r="1872" spans="1:9" x14ac:dyDescent="0.25">
      <c r="A1872" s="14">
        <v>2016</v>
      </c>
      <c r="B1872" s="14">
        <v>200</v>
      </c>
      <c r="C1872" s="15">
        <v>42569</v>
      </c>
      <c r="D1872" s="16">
        <v>0.40625</v>
      </c>
      <c r="E1872" s="14">
        <v>50</v>
      </c>
      <c r="F1872" s="14">
        <v>11</v>
      </c>
      <c r="G1872" s="17">
        <v>0.31408163049366344</v>
      </c>
      <c r="H1872" s="1" t="s">
        <v>144</v>
      </c>
      <c r="I1872" s="14"/>
    </row>
    <row r="1873" spans="1:9" x14ac:dyDescent="0.25">
      <c r="A1873" s="14">
        <v>2016</v>
      </c>
      <c r="B1873" s="14">
        <v>200</v>
      </c>
      <c r="C1873" s="15">
        <v>42569</v>
      </c>
      <c r="D1873" s="16">
        <v>0.41388888888888892</v>
      </c>
      <c r="E1873" s="14">
        <v>50</v>
      </c>
      <c r="F1873" s="14">
        <v>12</v>
      </c>
      <c r="G1873" s="17">
        <v>0.31117354608379688</v>
      </c>
      <c r="H1873" s="1" t="s">
        <v>144</v>
      </c>
      <c r="I1873" s="14"/>
    </row>
    <row r="1874" spans="1:9" x14ac:dyDescent="0.25">
      <c r="A1874" s="14">
        <v>2016</v>
      </c>
      <c r="B1874" s="14">
        <v>200</v>
      </c>
      <c r="C1874" s="15">
        <v>42569</v>
      </c>
      <c r="D1874" s="16">
        <v>0.42152777777777778</v>
      </c>
      <c r="E1874" s="14">
        <v>50</v>
      </c>
      <c r="F1874" s="14">
        <v>13</v>
      </c>
      <c r="G1874" s="17">
        <v>0.27400960122384838</v>
      </c>
      <c r="H1874" s="1" t="s">
        <v>144</v>
      </c>
      <c r="I1874" s="14"/>
    </row>
    <row r="1875" spans="1:9" x14ac:dyDescent="0.25">
      <c r="A1875" s="14">
        <v>2016</v>
      </c>
      <c r="B1875" s="14">
        <v>200</v>
      </c>
      <c r="C1875" s="15">
        <v>42569</v>
      </c>
      <c r="D1875" s="16">
        <v>0.39930555555555558</v>
      </c>
      <c r="E1875" s="14">
        <v>50</v>
      </c>
      <c r="F1875" s="14">
        <v>14</v>
      </c>
      <c r="G1875" s="17">
        <v>0.27547509258000158</v>
      </c>
      <c r="H1875" s="1" t="s">
        <v>144</v>
      </c>
      <c r="I1875" s="14"/>
    </row>
    <row r="1876" spans="1:9" x14ac:dyDescent="0.25">
      <c r="A1876" s="14">
        <v>2016</v>
      </c>
      <c r="B1876" s="14">
        <v>200</v>
      </c>
      <c r="C1876" s="15">
        <v>42569</v>
      </c>
      <c r="D1876" s="16">
        <v>0.39166666666666666</v>
      </c>
      <c r="E1876" s="14">
        <v>50</v>
      </c>
      <c r="F1876" s="14">
        <v>15</v>
      </c>
      <c r="G1876" s="17">
        <v>0.2884584300634217</v>
      </c>
      <c r="H1876" s="1" t="s">
        <v>1</v>
      </c>
      <c r="I1876" s="14"/>
    </row>
    <row r="1877" spans="1:9" x14ac:dyDescent="0.25">
      <c r="A1877" s="14">
        <v>2016</v>
      </c>
      <c r="B1877" s="14">
        <v>200</v>
      </c>
      <c r="C1877" s="15">
        <v>42569</v>
      </c>
      <c r="D1877" s="16">
        <v>0.38680555555555557</v>
      </c>
      <c r="E1877" s="14">
        <v>50</v>
      </c>
      <c r="F1877" s="14">
        <v>16</v>
      </c>
      <c r="G1877" s="17">
        <v>0.28225299010221033</v>
      </c>
      <c r="H1877" s="1" t="s">
        <v>1</v>
      </c>
      <c r="I1877" s="14"/>
    </row>
    <row r="1878" spans="1:9" x14ac:dyDescent="0.25">
      <c r="A1878" s="14">
        <v>2016</v>
      </c>
      <c r="B1878" s="14">
        <v>200</v>
      </c>
      <c r="C1878" s="15">
        <v>42569</v>
      </c>
      <c r="D1878" s="16">
        <v>0.37847222222222227</v>
      </c>
      <c r="E1878" s="14">
        <v>50</v>
      </c>
      <c r="F1878" s="14">
        <v>17</v>
      </c>
      <c r="G1878" s="17">
        <v>0.32624062908924734</v>
      </c>
      <c r="H1878" s="1" t="s">
        <v>144</v>
      </c>
      <c r="I1878" s="14"/>
    </row>
    <row r="1879" spans="1:9" x14ac:dyDescent="0.25">
      <c r="A1879" s="14">
        <v>2016</v>
      </c>
      <c r="B1879" s="14">
        <v>200</v>
      </c>
      <c r="C1879" s="15">
        <v>42569</v>
      </c>
      <c r="D1879" s="16">
        <v>0.37083333333333335</v>
      </c>
      <c r="E1879" s="14">
        <v>50</v>
      </c>
      <c r="F1879" s="14">
        <v>18</v>
      </c>
      <c r="G1879" s="17">
        <v>0.30274697078591573</v>
      </c>
      <c r="H1879" s="1" t="s">
        <v>144</v>
      </c>
      <c r="I1879" s="14"/>
    </row>
    <row r="1880" spans="1:9" x14ac:dyDescent="0.25">
      <c r="A1880" s="14">
        <v>2016</v>
      </c>
      <c r="B1880" s="14">
        <v>200</v>
      </c>
      <c r="C1880" s="15">
        <v>42569</v>
      </c>
      <c r="D1880" s="16">
        <v>0.36388888888888887</v>
      </c>
      <c r="E1880" s="14">
        <v>50</v>
      </c>
      <c r="F1880" s="14">
        <v>19</v>
      </c>
      <c r="G1880" s="17">
        <v>0.2983962933223358</v>
      </c>
      <c r="H1880" s="1" t="s">
        <v>144</v>
      </c>
      <c r="I1880" s="14"/>
    </row>
    <row r="1881" spans="1:9" x14ac:dyDescent="0.25">
      <c r="A1881" s="14">
        <v>2016</v>
      </c>
      <c r="B1881" s="14">
        <v>200</v>
      </c>
      <c r="C1881" s="15">
        <v>42569</v>
      </c>
      <c r="D1881" s="16">
        <v>0.35625000000000001</v>
      </c>
      <c r="E1881" s="14">
        <v>50</v>
      </c>
      <c r="F1881" s="14">
        <v>20</v>
      </c>
      <c r="G1881" s="17">
        <v>0.31964591798655773</v>
      </c>
      <c r="H1881" s="1" t="s">
        <v>144</v>
      </c>
      <c r="I1881" s="14"/>
    </row>
    <row r="1882" spans="1:9" x14ac:dyDescent="0.25">
      <c r="A1882" s="14">
        <v>2016</v>
      </c>
      <c r="B1882" s="14">
        <v>200</v>
      </c>
      <c r="C1882" s="15">
        <v>42569</v>
      </c>
      <c r="D1882" s="16">
        <v>0.25694444444444448</v>
      </c>
      <c r="E1882" s="14">
        <v>30</v>
      </c>
      <c r="F1882" s="14">
        <v>1</v>
      </c>
      <c r="G1882" s="17">
        <v>0.25869063689155902</v>
      </c>
      <c r="H1882" s="1" t="s">
        <v>143</v>
      </c>
      <c r="I1882" s="14"/>
    </row>
    <row r="1883" spans="1:9" x14ac:dyDescent="0.25">
      <c r="A1883" s="14">
        <v>2016</v>
      </c>
      <c r="B1883" s="14">
        <v>200</v>
      </c>
      <c r="C1883" s="15">
        <v>42569</v>
      </c>
      <c r="D1883" s="16">
        <v>0.26458333333333334</v>
      </c>
      <c r="E1883" s="14">
        <v>30</v>
      </c>
      <c r="F1883" s="14">
        <v>2</v>
      </c>
      <c r="G1883" s="17">
        <v>0.27657421109711655</v>
      </c>
      <c r="H1883" s="1" t="s">
        <v>143</v>
      </c>
      <c r="I1883" s="14"/>
    </row>
    <row r="1884" spans="1:9" x14ac:dyDescent="0.25">
      <c r="A1884" s="14">
        <v>2016</v>
      </c>
      <c r="B1884" s="14">
        <v>200</v>
      </c>
      <c r="C1884" s="15">
        <v>42569</v>
      </c>
      <c r="D1884" s="16">
        <v>0.2722222222222222</v>
      </c>
      <c r="E1884" s="14">
        <v>30</v>
      </c>
      <c r="F1884" s="14">
        <v>3</v>
      </c>
      <c r="G1884" s="17">
        <v>0.24840929909604648</v>
      </c>
      <c r="H1884" s="1" t="s">
        <v>143</v>
      </c>
      <c r="I1884" s="14"/>
    </row>
    <row r="1885" spans="1:9" x14ac:dyDescent="0.25">
      <c r="A1885" s="14">
        <v>2016</v>
      </c>
      <c r="B1885" s="14">
        <v>200</v>
      </c>
      <c r="C1885" s="15">
        <v>42569</v>
      </c>
      <c r="D1885" s="16">
        <v>0.27916666666666667</v>
      </c>
      <c r="E1885" s="14">
        <v>30</v>
      </c>
      <c r="F1885" s="14">
        <v>4</v>
      </c>
      <c r="G1885" s="17">
        <v>0.25369880695966207</v>
      </c>
      <c r="H1885" s="1" t="s">
        <v>143</v>
      </c>
      <c r="I1885" s="14"/>
    </row>
    <row r="1886" spans="1:9" x14ac:dyDescent="0.25">
      <c r="A1886" s="14">
        <v>2016</v>
      </c>
      <c r="B1886" s="14">
        <v>200</v>
      </c>
      <c r="C1886" s="15">
        <v>42569</v>
      </c>
      <c r="D1886" s="16">
        <v>0.28680555555555554</v>
      </c>
      <c r="E1886" s="14">
        <v>30</v>
      </c>
      <c r="F1886" s="14">
        <v>5</v>
      </c>
      <c r="G1886" s="17">
        <v>0.26741489012115877</v>
      </c>
      <c r="H1886" s="1" t="s">
        <v>0</v>
      </c>
      <c r="I1886" s="14"/>
    </row>
    <row r="1887" spans="1:9" x14ac:dyDescent="0.25">
      <c r="A1887" s="14">
        <v>2016</v>
      </c>
      <c r="B1887" s="14">
        <v>200</v>
      </c>
      <c r="C1887" s="15">
        <v>42569</v>
      </c>
      <c r="D1887" s="16">
        <v>0.29236111111111113</v>
      </c>
      <c r="E1887" s="14">
        <v>30</v>
      </c>
      <c r="F1887" s="14">
        <v>6</v>
      </c>
      <c r="G1887" s="17">
        <v>0.26757517823823801</v>
      </c>
      <c r="H1887" s="1" t="s">
        <v>0</v>
      </c>
      <c r="I1887" s="14"/>
    </row>
    <row r="1888" spans="1:9" x14ac:dyDescent="0.25">
      <c r="A1888" s="14">
        <v>2016</v>
      </c>
      <c r="B1888" s="14">
        <v>200</v>
      </c>
      <c r="C1888" s="15">
        <v>42569</v>
      </c>
      <c r="D1888" s="16">
        <v>0.3</v>
      </c>
      <c r="E1888" s="14">
        <v>30</v>
      </c>
      <c r="F1888" s="14">
        <v>7</v>
      </c>
      <c r="G1888" s="17">
        <v>0.26924675431635031</v>
      </c>
      <c r="H1888" s="1" t="s">
        <v>143</v>
      </c>
      <c r="I1888" s="14"/>
    </row>
    <row r="1889" spans="1:9" x14ac:dyDescent="0.25">
      <c r="A1889" s="14">
        <v>2016</v>
      </c>
      <c r="B1889" s="14">
        <v>200</v>
      </c>
      <c r="C1889" s="15">
        <v>42569</v>
      </c>
      <c r="D1889" s="16">
        <v>0.30694444444444441</v>
      </c>
      <c r="E1889" s="14">
        <v>30</v>
      </c>
      <c r="F1889" s="14">
        <v>8</v>
      </c>
      <c r="G1889" s="17">
        <v>0.26979631357490774</v>
      </c>
      <c r="H1889" s="1" t="s">
        <v>143</v>
      </c>
      <c r="I1889" s="14"/>
    </row>
    <row r="1890" spans="1:9" x14ac:dyDescent="0.25">
      <c r="A1890" s="14">
        <v>2016</v>
      </c>
      <c r="B1890" s="14">
        <v>200</v>
      </c>
      <c r="C1890" s="15">
        <v>42569</v>
      </c>
      <c r="D1890" s="16">
        <v>0.31388888888888888</v>
      </c>
      <c r="E1890" s="14">
        <v>30</v>
      </c>
      <c r="F1890" s="14">
        <v>9</v>
      </c>
      <c r="G1890" s="17">
        <v>0.24087575759332119</v>
      </c>
      <c r="H1890" s="1" t="s">
        <v>143</v>
      </c>
      <c r="I1890" s="14"/>
    </row>
    <row r="1891" spans="1:9" x14ac:dyDescent="0.25">
      <c r="A1891" s="14">
        <v>2016</v>
      </c>
      <c r="B1891" s="14">
        <v>200</v>
      </c>
      <c r="C1891" s="15">
        <v>42569</v>
      </c>
      <c r="D1891" s="16">
        <v>0.32083333333333336</v>
      </c>
      <c r="E1891" s="14">
        <v>30</v>
      </c>
      <c r="F1891" s="14">
        <v>10</v>
      </c>
      <c r="G1891" s="17">
        <v>0.30325073343959341</v>
      </c>
      <c r="H1891" s="1" t="s">
        <v>143</v>
      </c>
      <c r="I1891" s="14"/>
    </row>
    <row r="1892" spans="1:9" x14ac:dyDescent="0.25">
      <c r="A1892" s="14">
        <v>2016</v>
      </c>
      <c r="B1892" s="14">
        <v>200</v>
      </c>
      <c r="C1892" s="15">
        <v>42569</v>
      </c>
      <c r="D1892" s="16">
        <v>0.40625</v>
      </c>
      <c r="E1892" s="14">
        <v>30</v>
      </c>
      <c r="F1892" s="14">
        <v>11</v>
      </c>
      <c r="G1892" s="17">
        <v>0.23913548660788925</v>
      </c>
      <c r="H1892" s="1" t="s">
        <v>144</v>
      </c>
      <c r="I1892" s="14"/>
    </row>
    <row r="1893" spans="1:9" x14ac:dyDescent="0.25">
      <c r="A1893" s="14">
        <v>2016</v>
      </c>
      <c r="B1893" s="14">
        <v>200</v>
      </c>
      <c r="C1893" s="15">
        <v>42569</v>
      </c>
      <c r="D1893" s="16">
        <v>0.41388888888888892</v>
      </c>
      <c r="E1893" s="14">
        <v>30</v>
      </c>
      <c r="F1893" s="14">
        <v>12</v>
      </c>
      <c r="G1893" s="17">
        <v>0.201925745143061</v>
      </c>
      <c r="H1893" s="1" t="s">
        <v>144</v>
      </c>
      <c r="I1893" s="14"/>
    </row>
    <row r="1894" spans="1:9" x14ac:dyDescent="0.25">
      <c r="A1894" s="14">
        <v>2016</v>
      </c>
      <c r="B1894" s="14">
        <v>200</v>
      </c>
      <c r="C1894" s="15">
        <v>42569</v>
      </c>
      <c r="D1894" s="16">
        <v>0.42152777777777778</v>
      </c>
      <c r="E1894" s="14">
        <v>30</v>
      </c>
      <c r="F1894" s="14">
        <v>13</v>
      </c>
      <c r="G1894" s="17">
        <v>0.17394401956151012</v>
      </c>
      <c r="H1894" s="1" t="s">
        <v>144</v>
      </c>
      <c r="I1894" s="14"/>
    </row>
    <row r="1895" spans="1:9" x14ac:dyDescent="0.25">
      <c r="A1895" s="14">
        <v>2016</v>
      </c>
      <c r="B1895" s="14">
        <v>200</v>
      </c>
      <c r="C1895" s="15">
        <v>42569</v>
      </c>
      <c r="D1895" s="16">
        <v>0.39930555555555558</v>
      </c>
      <c r="E1895" s="14">
        <v>30</v>
      </c>
      <c r="F1895" s="14">
        <v>14</v>
      </c>
      <c r="G1895" s="17">
        <v>0.16347949534647838</v>
      </c>
      <c r="H1895" s="1" t="s">
        <v>144</v>
      </c>
      <c r="I1895" s="14"/>
    </row>
    <row r="1896" spans="1:9" x14ac:dyDescent="0.25">
      <c r="A1896" s="14">
        <v>2016</v>
      </c>
      <c r="B1896" s="14">
        <v>200</v>
      </c>
      <c r="C1896" s="15">
        <v>42569</v>
      </c>
      <c r="D1896" s="16">
        <v>0.39166666666666666</v>
      </c>
      <c r="E1896" s="14">
        <v>30</v>
      </c>
      <c r="F1896" s="14">
        <v>15</v>
      </c>
      <c r="G1896" s="17">
        <v>0.27206324551645733</v>
      </c>
      <c r="H1896" s="1" t="s">
        <v>1</v>
      </c>
      <c r="I1896" s="14"/>
    </row>
    <row r="1897" spans="1:9" x14ac:dyDescent="0.25">
      <c r="A1897" s="14">
        <v>2016</v>
      </c>
      <c r="B1897" s="14">
        <v>200</v>
      </c>
      <c r="C1897" s="15">
        <v>42569</v>
      </c>
      <c r="D1897" s="16">
        <v>0.38680555555555557</v>
      </c>
      <c r="E1897" s="14">
        <v>30</v>
      </c>
      <c r="F1897" s="14">
        <v>16</v>
      </c>
      <c r="G1897" s="17">
        <v>0.27368902498968983</v>
      </c>
      <c r="H1897" s="1" t="s">
        <v>1</v>
      </c>
      <c r="I1897" s="14"/>
    </row>
    <row r="1898" spans="1:9" x14ac:dyDescent="0.25">
      <c r="A1898" s="14">
        <v>2016</v>
      </c>
      <c r="B1898" s="14">
        <v>200</v>
      </c>
      <c r="C1898" s="15">
        <v>42569</v>
      </c>
      <c r="D1898" s="16">
        <v>0.37847222222222227</v>
      </c>
      <c r="E1898" s="14">
        <v>30</v>
      </c>
      <c r="F1898" s="14">
        <v>17</v>
      </c>
      <c r="G1898" s="17">
        <v>0.2950302428636713</v>
      </c>
      <c r="H1898" s="1" t="s">
        <v>144</v>
      </c>
      <c r="I1898" s="14"/>
    </row>
    <row r="1899" spans="1:9" x14ac:dyDescent="0.25">
      <c r="A1899" s="14">
        <v>2016</v>
      </c>
      <c r="B1899" s="14">
        <v>200</v>
      </c>
      <c r="C1899" s="15">
        <v>42569</v>
      </c>
      <c r="D1899" s="16">
        <v>0.37083333333333335</v>
      </c>
      <c r="E1899" s="14">
        <v>30</v>
      </c>
      <c r="F1899" s="14">
        <v>18</v>
      </c>
      <c r="G1899" s="17">
        <v>0.26038511127211122</v>
      </c>
      <c r="H1899" s="1" t="s">
        <v>144</v>
      </c>
      <c r="I1899" s="14"/>
    </row>
    <row r="1900" spans="1:9" x14ac:dyDescent="0.25">
      <c r="A1900" s="14">
        <v>2016</v>
      </c>
      <c r="B1900" s="14">
        <v>200</v>
      </c>
      <c r="C1900" s="15">
        <v>42569</v>
      </c>
      <c r="D1900" s="16">
        <v>0.36388888888888887</v>
      </c>
      <c r="E1900" s="14">
        <v>30</v>
      </c>
      <c r="F1900" s="14">
        <v>19</v>
      </c>
      <c r="G1900" s="17">
        <v>0.2441273165397862</v>
      </c>
      <c r="H1900" s="1" t="s">
        <v>144</v>
      </c>
      <c r="I1900" s="14"/>
    </row>
    <row r="1901" spans="1:9" x14ac:dyDescent="0.25">
      <c r="A1901" s="14">
        <v>2016</v>
      </c>
      <c r="B1901" s="14">
        <v>200</v>
      </c>
      <c r="C1901" s="15">
        <v>42569</v>
      </c>
      <c r="D1901" s="16">
        <v>0.35625000000000001</v>
      </c>
      <c r="E1901" s="14">
        <v>30</v>
      </c>
      <c r="F1901" s="14">
        <v>20</v>
      </c>
      <c r="G1901" s="17">
        <v>0.26798734768215615</v>
      </c>
      <c r="H1901" s="1" t="s">
        <v>144</v>
      </c>
      <c r="I1901" s="14"/>
    </row>
    <row r="1902" spans="1:9" x14ac:dyDescent="0.25">
      <c r="A1902" s="14">
        <v>2016</v>
      </c>
      <c r="B1902" s="14">
        <v>200</v>
      </c>
      <c r="C1902" s="15">
        <v>42569</v>
      </c>
      <c r="D1902" s="16">
        <v>0.25694444444444448</v>
      </c>
      <c r="E1902" s="14">
        <v>10</v>
      </c>
      <c r="F1902" s="14">
        <v>1</v>
      </c>
      <c r="G1902" s="17">
        <v>0.17761947885016216</v>
      </c>
      <c r="H1902" s="1" t="s">
        <v>143</v>
      </c>
      <c r="I1902" s="14"/>
    </row>
    <row r="1903" spans="1:9" x14ac:dyDescent="0.25">
      <c r="A1903" s="14">
        <v>2016</v>
      </c>
      <c r="B1903" s="14">
        <v>200</v>
      </c>
      <c r="C1903" s="15">
        <v>42569</v>
      </c>
      <c r="D1903" s="16">
        <v>0.26458333333333334</v>
      </c>
      <c r="E1903" s="14">
        <v>10</v>
      </c>
      <c r="F1903" s="14">
        <v>2</v>
      </c>
      <c r="G1903" s="17">
        <v>0.14556733456312626</v>
      </c>
      <c r="H1903" s="1" t="s">
        <v>143</v>
      </c>
      <c r="I1903" s="14"/>
    </row>
    <row r="1904" spans="1:9" x14ac:dyDescent="0.25">
      <c r="A1904" s="14">
        <v>2016</v>
      </c>
      <c r="B1904" s="14">
        <v>200</v>
      </c>
      <c r="C1904" s="15">
        <v>42569</v>
      </c>
      <c r="D1904" s="16">
        <v>0.2722222222222222</v>
      </c>
      <c r="E1904" s="14">
        <v>10</v>
      </c>
      <c r="F1904" s="14">
        <v>3</v>
      </c>
      <c r="G1904" s="17">
        <v>0.16917965629702286</v>
      </c>
      <c r="H1904" s="1" t="s">
        <v>143</v>
      </c>
      <c r="I1904" s="14"/>
    </row>
    <row r="1905" spans="1:9" x14ac:dyDescent="0.25">
      <c r="A1905" s="14">
        <v>2016</v>
      </c>
      <c r="B1905" s="14">
        <v>200</v>
      </c>
      <c r="C1905" s="15">
        <v>42569</v>
      </c>
      <c r="D1905" s="16">
        <v>0.27916666666666667</v>
      </c>
      <c r="E1905" s="14">
        <v>10</v>
      </c>
      <c r="F1905" s="14">
        <v>4</v>
      </c>
      <c r="G1905" s="17">
        <v>0.15370025447796962</v>
      </c>
      <c r="H1905" s="1" t="s">
        <v>143</v>
      </c>
      <c r="I1905" s="14"/>
    </row>
    <row r="1906" spans="1:9" x14ac:dyDescent="0.25">
      <c r="A1906" s="14">
        <v>2016</v>
      </c>
      <c r="B1906" s="14">
        <v>200</v>
      </c>
      <c r="C1906" s="15">
        <v>42569</v>
      </c>
      <c r="D1906" s="16">
        <v>0.28680555555555554</v>
      </c>
      <c r="E1906" s="14">
        <v>10</v>
      </c>
      <c r="F1906" s="14">
        <v>5</v>
      </c>
      <c r="G1906" s="17">
        <v>0.15517722342476903</v>
      </c>
      <c r="H1906" s="1" t="s">
        <v>0</v>
      </c>
      <c r="I1906" s="14"/>
    </row>
    <row r="1907" spans="1:9" x14ac:dyDescent="0.25">
      <c r="A1907" s="14">
        <v>2016</v>
      </c>
      <c r="B1907" s="14">
        <v>200</v>
      </c>
      <c r="C1907" s="15">
        <v>42569</v>
      </c>
      <c r="D1907" s="16">
        <v>0.29236111111111113</v>
      </c>
      <c r="E1907" s="14">
        <v>10</v>
      </c>
      <c r="F1907" s="14">
        <v>6</v>
      </c>
      <c r="G1907" s="17">
        <v>0.1887255180734978</v>
      </c>
      <c r="H1907" s="1" t="s">
        <v>0</v>
      </c>
      <c r="I1907" s="14"/>
    </row>
    <row r="1908" spans="1:9" x14ac:dyDescent="0.25">
      <c r="A1908" s="14">
        <v>2016</v>
      </c>
      <c r="B1908" s="14">
        <v>200</v>
      </c>
      <c r="C1908" s="15">
        <v>42569</v>
      </c>
      <c r="D1908" s="16">
        <v>0.3</v>
      </c>
      <c r="E1908" s="14">
        <v>10</v>
      </c>
      <c r="F1908" s="14">
        <v>7</v>
      </c>
      <c r="G1908" s="17">
        <v>0.19557328319047673</v>
      </c>
      <c r="H1908" s="1" t="s">
        <v>143</v>
      </c>
      <c r="I1908" s="14"/>
    </row>
    <row r="1909" spans="1:9" x14ac:dyDescent="0.25">
      <c r="A1909" s="14">
        <v>2016</v>
      </c>
      <c r="B1909" s="14">
        <v>200</v>
      </c>
      <c r="C1909" s="15">
        <v>42569</v>
      </c>
      <c r="D1909" s="16">
        <v>0.30694444444444441</v>
      </c>
      <c r="E1909" s="14">
        <v>10</v>
      </c>
      <c r="F1909" s="14">
        <v>8</v>
      </c>
      <c r="G1909" s="17">
        <v>0.16616817415874363</v>
      </c>
      <c r="H1909" s="1" t="s">
        <v>143</v>
      </c>
      <c r="I1909" s="14"/>
    </row>
    <row r="1910" spans="1:9" x14ac:dyDescent="0.25">
      <c r="A1910" s="14">
        <v>2016</v>
      </c>
      <c r="B1910" s="14">
        <v>200</v>
      </c>
      <c r="C1910" s="15">
        <v>42569</v>
      </c>
      <c r="D1910" s="16">
        <v>0.31388888888888888</v>
      </c>
      <c r="E1910" s="14">
        <v>10</v>
      </c>
      <c r="F1910" s="14">
        <v>9</v>
      </c>
      <c r="G1910" s="17">
        <v>0.15542658181838448</v>
      </c>
      <c r="H1910" s="1" t="s">
        <v>143</v>
      </c>
      <c r="I1910" s="14"/>
    </row>
    <row r="1911" spans="1:9" x14ac:dyDescent="0.25">
      <c r="A1911" s="14">
        <v>2016</v>
      </c>
      <c r="B1911" s="14">
        <v>200</v>
      </c>
      <c r="C1911" s="15">
        <v>42569</v>
      </c>
      <c r="D1911" s="16">
        <v>0.32083333333333336</v>
      </c>
      <c r="E1911" s="14">
        <v>10</v>
      </c>
      <c r="F1911" s="14">
        <v>10</v>
      </c>
      <c r="G1911" s="17">
        <v>0.19453748678622779</v>
      </c>
      <c r="H1911" s="1" t="s">
        <v>143</v>
      </c>
      <c r="I1911" s="14"/>
    </row>
    <row r="1912" spans="1:9" x14ac:dyDescent="0.25">
      <c r="A1912" s="14">
        <v>2016</v>
      </c>
      <c r="B1912" s="14">
        <v>200</v>
      </c>
      <c r="C1912" s="15">
        <v>42569</v>
      </c>
      <c r="D1912" s="16">
        <v>0.40625</v>
      </c>
      <c r="E1912" s="14">
        <v>10</v>
      </c>
      <c r="F1912" s="14">
        <v>11</v>
      </c>
      <c r="G1912" s="17">
        <v>0.13281169365894982</v>
      </c>
      <c r="H1912" s="1" t="s">
        <v>144</v>
      </c>
      <c r="I1912" s="14"/>
    </row>
    <row r="1913" spans="1:9" x14ac:dyDescent="0.25">
      <c r="A1913" s="14">
        <v>2016</v>
      </c>
      <c r="B1913" s="14">
        <v>200</v>
      </c>
      <c r="C1913" s="15">
        <v>42569</v>
      </c>
      <c r="D1913" s="16">
        <v>0.41388888888888892</v>
      </c>
      <c r="E1913" s="14">
        <v>10</v>
      </c>
      <c r="F1913" s="14">
        <v>12</v>
      </c>
      <c r="G1913" s="17">
        <v>0.13597662711637704</v>
      </c>
      <c r="H1913" s="1" t="s">
        <v>144</v>
      </c>
      <c r="I1913" s="14"/>
    </row>
    <row r="1914" spans="1:9" x14ac:dyDescent="0.25">
      <c r="A1914" s="14">
        <v>2016</v>
      </c>
      <c r="B1914" s="14">
        <v>200</v>
      </c>
      <c r="C1914" s="15">
        <v>42569</v>
      </c>
      <c r="D1914" s="16">
        <v>0.42152777777777778</v>
      </c>
      <c r="E1914" s="14">
        <v>10</v>
      </c>
      <c r="F1914" s="14">
        <v>13</v>
      </c>
      <c r="G1914" s="17">
        <v>0.1550429535205145</v>
      </c>
      <c r="H1914" s="1" t="s">
        <v>144</v>
      </c>
      <c r="I1914" s="14"/>
    </row>
    <row r="1915" spans="1:9" x14ac:dyDescent="0.25">
      <c r="A1915" s="14">
        <v>2016</v>
      </c>
      <c r="B1915" s="14">
        <v>200</v>
      </c>
      <c r="C1915" s="15">
        <v>42569</v>
      </c>
      <c r="D1915" s="16">
        <v>0.39930555555555558</v>
      </c>
      <c r="E1915" s="14">
        <v>10</v>
      </c>
      <c r="F1915" s="14">
        <v>14</v>
      </c>
      <c r="G1915" s="17">
        <v>0.1417118701695331</v>
      </c>
      <c r="H1915" s="1" t="s">
        <v>144</v>
      </c>
      <c r="I1915" s="14"/>
    </row>
    <row r="1916" spans="1:9" x14ac:dyDescent="0.25">
      <c r="A1916" s="14">
        <v>2016</v>
      </c>
      <c r="B1916" s="14">
        <v>200</v>
      </c>
      <c r="C1916" s="15">
        <v>42569</v>
      </c>
      <c r="D1916" s="16">
        <v>0.39166666666666666</v>
      </c>
      <c r="E1916" s="14">
        <v>10</v>
      </c>
      <c r="F1916" s="14">
        <v>15</v>
      </c>
      <c r="G1916" s="17">
        <v>0.16553518746725815</v>
      </c>
      <c r="H1916" s="1" t="s">
        <v>1</v>
      </c>
      <c r="I1916" s="14"/>
    </row>
    <row r="1917" spans="1:9" x14ac:dyDescent="0.25">
      <c r="A1917" s="14">
        <v>2016</v>
      </c>
      <c r="B1917" s="14">
        <v>200</v>
      </c>
      <c r="C1917" s="15">
        <v>42569</v>
      </c>
      <c r="D1917" s="16">
        <v>0.38680555555555557</v>
      </c>
      <c r="E1917" s="14">
        <v>10</v>
      </c>
      <c r="F1917" s="14">
        <v>16</v>
      </c>
      <c r="G1917" s="17">
        <v>0.20875091522231015</v>
      </c>
      <c r="H1917" s="1" t="s">
        <v>1</v>
      </c>
      <c r="I1917" s="14"/>
    </row>
    <row r="1918" spans="1:9" x14ac:dyDescent="0.25">
      <c r="A1918" s="14">
        <v>2016</v>
      </c>
      <c r="B1918" s="14">
        <v>200</v>
      </c>
      <c r="C1918" s="15">
        <v>42569</v>
      </c>
      <c r="D1918" s="16">
        <v>0.37847222222222227</v>
      </c>
      <c r="E1918" s="14">
        <v>10</v>
      </c>
      <c r="F1918" s="14">
        <v>17</v>
      </c>
      <c r="G1918" s="17">
        <v>0.17683304083952872</v>
      </c>
      <c r="H1918" s="1" t="s">
        <v>144</v>
      </c>
      <c r="I1918" s="14"/>
    </row>
    <row r="1919" spans="1:9" x14ac:dyDescent="0.25">
      <c r="A1919" s="14">
        <v>2016</v>
      </c>
      <c r="B1919" s="14">
        <v>200</v>
      </c>
      <c r="C1919" s="15">
        <v>42569</v>
      </c>
      <c r="D1919" s="16">
        <v>0.37083333333333335</v>
      </c>
      <c r="E1919" s="14">
        <v>10</v>
      </c>
      <c r="F1919" s="14">
        <v>18</v>
      </c>
      <c r="G1919" s="17">
        <v>0.15770917019071079</v>
      </c>
      <c r="H1919" s="1" t="s">
        <v>144</v>
      </c>
      <c r="I1919" s="14"/>
    </row>
    <row r="1920" spans="1:9" x14ac:dyDescent="0.25">
      <c r="A1920" s="14">
        <v>2016</v>
      </c>
      <c r="B1920" s="14">
        <v>200</v>
      </c>
      <c r="C1920" s="15">
        <v>42569</v>
      </c>
      <c r="D1920" s="16">
        <v>0.36388888888888887</v>
      </c>
      <c r="E1920" s="14">
        <v>10</v>
      </c>
      <c r="F1920" s="14">
        <v>19</v>
      </c>
      <c r="G1920" s="17">
        <v>0.15592529860561544</v>
      </c>
      <c r="H1920" s="1" t="s">
        <v>144</v>
      </c>
      <c r="I1920" s="14"/>
    </row>
    <row r="1921" spans="1:9" x14ac:dyDescent="0.25">
      <c r="A1921" s="14">
        <v>2016</v>
      </c>
      <c r="B1921" s="14">
        <v>200</v>
      </c>
      <c r="C1921" s="15">
        <v>42569</v>
      </c>
      <c r="D1921" s="16">
        <v>0.35625000000000001</v>
      </c>
      <c r="E1921" s="14">
        <v>10</v>
      </c>
      <c r="F1921" s="14">
        <v>20</v>
      </c>
      <c r="G1921" s="17">
        <v>0.15920532055240366</v>
      </c>
      <c r="H1921" s="1" t="s">
        <v>144</v>
      </c>
      <c r="I1921" s="14"/>
    </row>
    <row r="1922" spans="1:9" x14ac:dyDescent="0.25">
      <c r="A1922" s="14">
        <v>2016</v>
      </c>
      <c r="B1922" s="14">
        <v>208</v>
      </c>
      <c r="C1922" s="15">
        <v>42577</v>
      </c>
      <c r="D1922" s="16">
        <v>0.25763888888888892</v>
      </c>
      <c r="E1922" s="14">
        <v>230</v>
      </c>
      <c r="F1922" s="14">
        <v>1</v>
      </c>
      <c r="G1922" s="17">
        <v>0.29976427938963635</v>
      </c>
      <c r="H1922" s="1" t="s">
        <v>143</v>
      </c>
      <c r="I1922" s="14"/>
    </row>
    <row r="1923" spans="1:9" x14ac:dyDescent="0.25">
      <c r="A1923" s="14">
        <v>2016</v>
      </c>
      <c r="B1923" s="14">
        <v>208</v>
      </c>
      <c r="C1923" s="15">
        <v>42577</v>
      </c>
      <c r="D1923" s="16">
        <v>0.26458333333333334</v>
      </c>
      <c r="E1923" s="14">
        <v>230</v>
      </c>
      <c r="F1923" s="14">
        <v>2</v>
      </c>
      <c r="G1923" s="17">
        <v>0.29955016983403371</v>
      </c>
      <c r="H1923" s="1" t="s">
        <v>143</v>
      </c>
      <c r="I1923" s="14"/>
    </row>
    <row r="1924" spans="1:9" x14ac:dyDescent="0.25">
      <c r="A1924" s="14">
        <v>2016</v>
      </c>
      <c r="B1924" s="14">
        <v>208</v>
      </c>
      <c r="C1924" s="15">
        <v>42577</v>
      </c>
      <c r="D1924" s="16">
        <v>0.27430555555555552</v>
      </c>
      <c r="E1924" s="14">
        <v>230</v>
      </c>
      <c r="F1924" s="14">
        <v>3</v>
      </c>
      <c r="G1924" s="17">
        <v>0.28430946237613836</v>
      </c>
      <c r="H1924" s="1" t="s">
        <v>143</v>
      </c>
      <c r="I1924" s="14"/>
    </row>
    <row r="1925" spans="1:9" x14ac:dyDescent="0.25">
      <c r="A1925" s="14">
        <v>2016</v>
      </c>
      <c r="B1925" s="14">
        <v>208</v>
      </c>
      <c r="C1925" s="15">
        <v>42577</v>
      </c>
      <c r="D1925" s="16">
        <v>0.28055555555555556</v>
      </c>
      <c r="E1925" s="14">
        <v>230</v>
      </c>
      <c r="F1925" s="14">
        <v>4</v>
      </c>
      <c r="G1925" s="17">
        <v>0.28378392073965919</v>
      </c>
      <c r="H1925" s="1" t="s">
        <v>143</v>
      </c>
      <c r="I1925" s="14"/>
    </row>
    <row r="1926" spans="1:9" x14ac:dyDescent="0.25">
      <c r="A1926" s="14">
        <v>2016</v>
      </c>
      <c r="B1926" s="14">
        <v>208</v>
      </c>
      <c r="C1926" s="15">
        <v>42577</v>
      </c>
      <c r="D1926" s="16">
        <v>0.28819444444444448</v>
      </c>
      <c r="E1926" s="14">
        <v>230</v>
      </c>
      <c r="F1926" s="14">
        <v>5</v>
      </c>
      <c r="G1926" s="17" t="e">
        <v>#N/A</v>
      </c>
      <c r="H1926" s="1" t="s">
        <v>0</v>
      </c>
      <c r="I1926" s="14"/>
    </row>
    <row r="1927" spans="1:9" x14ac:dyDescent="0.25">
      <c r="A1927" s="14">
        <v>2016</v>
      </c>
      <c r="B1927" s="14">
        <v>208</v>
      </c>
      <c r="C1927" s="15">
        <v>42577</v>
      </c>
      <c r="D1927" s="16">
        <v>0.29166666666666669</v>
      </c>
      <c r="E1927" s="14">
        <v>230</v>
      </c>
      <c r="F1927" s="14">
        <v>6</v>
      </c>
      <c r="G1927" s="17" t="e">
        <v>#N/A</v>
      </c>
      <c r="H1927" s="1" t="s">
        <v>0</v>
      </c>
      <c r="I1927" s="14"/>
    </row>
    <row r="1928" spans="1:9" x14ac:dyDescent="0.25">
      <c r="A1928" s="14">
        <v>2016</v>
      </c>
      <c r="B1928" s="14">
        <v>208</v>
      </c>
      <c r="C1928" s="15">
        <v>42577</v>
      </c>
      <c r="D1928" s="16">
        <v>0.30555555555555552</v>
      </c>
      <c r="E1928" s="14">
        <v>230</v>
      </c>
      <c r="F1928" s="14">
        <v>7</v>
      </c>
      <c r="G1928" s="17">
        <v>0.27728277605136153</v>
      </c>
      <c r="H1928" s="1" t="s">
        <v>143</v>
      </c>
      <c r="I1928" s="14"/>
    </row>
    <row r="1929" spans="1:9" x14ac:dyDescent="0.25">
      <c r="A1929" s="14">
        <v>2016</v>
      </c>
      <c r="B1929" s="14">
        <v>208</v>
      </c>
      <c r="C1929" s="15">
        <v>42577</v>
      </c>
      <c r="D1929" s="16">
        <v>0.30624999999999997</v>
      </c>
      <c r="E1929" s="14">
        <v>230</v>
      </c>
      <c r="F1929" s="14">
        <v>8</v>
      </c>
      <c r="G1929" s="17">
        <v>0.30675203670430357</v>
      </c>
      <c r="H1929" s="1" t="s">
        <v>143</v>
      </c>
      <c r="I1929" s="14"/>
    </row>
    <row r="1930" spans="1:9" x14ac:dyDescent="0.25">
      <c r="A1930" s="14">
        <v>2016</v>
      </c>
      <c r="B1930" s="14">
        <v>208</v>
      </c>
      <c r="C1930" s="15">
        <v>42577</v>
      </c>
      <c r="D1930" s="16">
        <v>0.31319444444444444</v>
      </c>
      <c r="E1930" s="14">
        <v>230</v>
      </c>
      <c r="F1930" s="14">
        <v>9</v>
      </c>
      <c r="G1930" s="17">
        <v>0.30412432852190779</v>
      </c>
      <c r="H1930" s="1" t="s">
        <v>143</v>
      </c>
      <c r="I1930" s="14"/>
    </row>
    <row r="1931" spans="1:9" x14ac:dyDescent="0.25">
      <c r="A1931" s="14">
        <v>2016</v>
      </c>
      <c r="B1931" s="14">
        <v>208</v>
      </c>
      <c r="C1931" s="15">
        <v>42577</v>
      </c>
      <c r="D1931" s="16">
        <v>0.31944444444444448</v>
      </c>
      <c r="E1931" s="14">
        <v>230</v>
      </c>
      <c r="F1931" s="14">
        <v>10</v>
      </c>
      <c r="G1931" s="17">
        <v>0.26867946481714727</v>
      </c>
      <c r="H1931" s="1" t="s">
        <v>143</v>
      </c>
      <c r="I1931" s="14"/>
    </row>
    <row r="1932" spans="1:9" x14ac:dyDescent="0.25">
      <c r="A1932" s="14">
        <v>2016</v>
      </c>
      <c r="B1932" s="14">
        <v>208</v>
      </c>
      <c r="C1932" s="15">
        <v>42577</v>
      </c>
      <c r="D1932" s="16">
        <v>0.3888888888888889</v>
      </c>
      <c r="E1932" s="14">
        <v>230</v>
      </c>
      <c r="F1932" s="14">
        <v>11</v>
      </c>
      <c r="G1932" s="17">
        <v>0.29497601114615962</v>
      </c>
      <c r="H1932" s="1" t="s">
        <v>144</v>
      </c>
      <c r="I1932" s="14"/>
    </row>
    <row r="1933" spans="1:9" x14ac:dyDescent="0.25">
      <c r="A1933" s="14">
        <v>2016</v>
      </c>
      <c r="B1933" s="14">
        <v>208</v>
      </c>
      <c r="C1933" s="15">
        <v>42577</v>
      </c>
      <c r="D1933" s="16">
        <v>0.40277777777777773</v>
      </c>
      <c r="E1933" s="14">
        <v>230</v>
      </c>
      <c r="F1933" s="14">
        <v>12</v>
      </c>
      <c r="G1933" s="17">
        <v>0.29762318383361014</v>
      </c>
      <c r="H1933" s="1" t="s">
        <v>144</v>
      </c>
      <c r="I1933" s="14"/>
    </row>
    <row r="1934" spans="1:9" x14ac:dyDescent="0.25">
      <c r="A1934" s="14">
        <v>2016</v>
      </c>
      <c r="B1934" s="14">
        <v>208</v>
      </c>
      <c r="C1934" s="15">
        <v>42577</v>
      </c>
      <c r="D1934" s="16">
        <v>0.41180555555555554</v>
      </c>
      <c r="E1934" s="14">
        <v>230</v>
      </c>
      <c r="F1934" s="14">
        <v>13</v>
      </c>
      <c r="G1934" s="17">
        <v>0.29028506542795685</v>
      </c>
      <c r="H1934" s="1" t="s">
        <v>144</v>
      </c>
      <c r="I1934" s="14"/>
    </row>
    <row r="1935" spans="1:9" x14ac:dyDescent="0.25">
      <c r="A1935" s="14">
        <v>2016</v>
      </c>
      <c r="B1935" s="14">
        <v>208</v>
      </c>
      <c r="C1935" s="15">
        <v>42577</v>
      </c>
      <c r="D1935" s="16">
        <v>0.38194444444444442</v>
      </c>
      <c r="E1935" s="14">
        <v>230</v>
      </c>
      <c r="F1935" s="14">
        <v>14</v>
      </c>
      <c r="G1935" s="17">
        <v>0.28491286203283661</v>
      </c>
      <c r="H1935" s="1" t="s">
        <v>144</v>
      </c>
      <c r="I1935" s="14"/>
    </row>
    <row r="1936" spans="1:9" x14ac:dyDescent="0.25">
      <c r="A1936" s="14">
        <v>2016</v>
      </c>
      <c r="B1936" s="14">
        <v>208</v>
      </c>
      <c r="C1936" s="15">
        <v>42577</v>
      </c>
      <c r="D1936" s="16">
        <v>0.41944444444444445</v>
      </c>
      <c r="E1936" s="14">
        <v>230</v>
      </c>
      <c r="F1936" s="14">
        <v>15</v>
      </c>
      <c r="G1936" s="17" t="e">
        <v>#N/A</v>
      </c>
      <c r="H1936" s="1" t="s">
        <v>1</v>
      </c>
      <c r="I1936" s="14"/>
    </row>
    <row r="1937" spans="1:9" x14ac:dyDescent="0.25">
      <c r="A1937" s="14">
        <v>2016</v>
      </c>
      <c r="B1937" s="14">
        <v>208</v>
      </c>
      <c r="C1937" s="15">
        <v>42577</v>
      </c>
      <c r="D1937" s="16">
        <v>0.42499999999999999</v>
      </c>
      <c r="E1937" s="14">
        <v>230</v>
      </c>
      <c r="F1937" s="14">
        <v>16</v>
      </c>
      <c r="G1937" s="17" t="e">
        <v>#N/A</v>
      </c>
      <c r="H1937" s="1" t="s">
        <v>1</v>
      </c>
      <c r="I1937" s="14"/>
    </row>
    <row r="1938" spans="1:9" x14ac:dyDescent="0.25">
      <c r="A1938" s="14">
        <v>2016</v>
      </c>
      <c r="B1938" s="14">
        <v>208</v>
      </c>
      <c r="C1938" s="15">
        <v>42577</v>
      </c>
      <c r="D1938" s="16">
        <v>0.43402777777777773</v>
      </c>
      <c r="E1938" s="14">
        <v>230</v>
      </c>
      <c r="F1938" s="14">
        <v>17</v>
      </c>
      <c r="G1938" s="17">
        <v>0.29367188930748916</v>
      </c>
      <c r="H1938" s="1" t="s">
        <v>144</v>
      </c>
      <c r="I1938" s="14"/>
    </row>
    <row r="1939" spans="1:9" x14ac:dyDescent="0.25">
      <c r="A1939" s="14">
        <v>2016</v>
      </c>
      <c r="B1939" s="14">
        <v>208</v>
      </c>
      <c r="C1939" s="15">
        <v>42577</v>
      </c>
      <c r="D1939" s="16">
        <v>0.37847222222222227</v>
      </c>
      <c r="E1939" s="14">
        <v>230</v>
      </c>
      <c r="F1939" s="14">
        <v>18</v>
      </c>
      <c r="G1939" s="17">
        <v>0.2967472811061449</v>
      </c>
      <c r="H1939" s="1" t="s">
        <v>144</v>
      </c>
      <c r="I1939" s="14"/>
    </row>
    <row r="1940" spans="1:9" x14ac:dyDescent="0.25">
      <c r="A1940" s="14">
        <v>2016</v>
      </c>
      <c r="B1940" s="14">
        <v>208</v>
      </c>
      <c r="C1940" s="15">
        <v>42577</v>
      </c>
      <c r="D1940" s="16">
        <v>0.37152777777777773</v>
      </c>
      <c r="E1940" s="14">
        <v>230</v>
      </c>
      <c r="F1940" s="14">
        <v>19</v>
      </c>
      <c r="G1940" s="17">
        <v>0.28995416884202552</v>
      </c>
      <c r="H1940" s="1" t="s">
        <v>144</v>
      </c>
      <c r="I1940" s="14"/>
    </row>
    <row r="1941" spans="1:9" x14ac:dyDescent="0.25">
      <c r="A1941" s="14">
        <v>2016</v>
      </c>
      <c r="B1941" s="14">
        <v>208</v>
      </c>
      <c r="C1941" s="15">
        <v>42577</v>
      </c>
      <c r="D1941" s="16">
        <v>0.35486111111111113</v>
      </c>
      <c r="E1941" s="14">
        <v>230</v>
      </c>
      <c r="F1941" s="14">
        <v>20</v>
      </c>
      <c r="G1941" s="17">
        <v>0.30289806470345643</v>
      </c>
      <c r="H1941" s="1" t="s">
        <v>144</v>
      </c>
      <c r="I1941" s="14"/>
    </row>
    <row r="1942" spans="1:9" x14ac:dyDescent="0.25">
      <c r="A1942" s="14">
        <v>2016</v>
      </c>
      <c r="B1942" s="14">
        <v>208</v>
      </c>
      <c r="C1942" s="15">
        <v>42577</v>
      </c>
      <c r="D1942" s="16">
        <v>0.25763888888888892</v>
      </c>
      <c r="E1942" s="14">
        <v>210</v>
      </c>
      <c r="F1942" s="14">
        <v>1</v>
      </c>
      <c r="G1942" s="17">
        <v>0.30548684387574265</v>
      </c>
      <c r="H1942" s="1" t="s">
        <v>143</v>
      </c>
      <c r="I1942" s="14"/>
    </row>
    <row r="1943" spans="1:9" x14ac:dyDescent="0.25">
      <c r="A1943" s="14">
        <v>2016</v>
      </c>
      <c r="B1943" s="14">
        <v>208</v>
      </c>
      <c r="C1943" s="15">
        <v>42577</v>
      </c>
      <c r="D1943" s="16">
        <v>0.26458333333333334</v>
      </c>
      <c r="E1943" s="14">
        <v>210</v>
      </c>
      <c r="F1943" s="14">
        <v>2</v>
      </c>
      <c r="G1943" s="17">
        <v>0.30139929781423813</v>
      </c>
      <c r="H1943" s="1" t="s">
        <v>143</v>
      </c>
      <c r="I1943" s="14"/>
    </row>
    <row r="1944" spans="1:9" x14ac:dyDescent="0.25">
      <c r="A1944" s="14">
        <v>2016</v>
      </c>
      <c r="B1944" s="14">
        <v>208</v>
      </c>
      <c r="C1944" s="15">
        <v>42577</v>
      </c>
      <c r="D1944" s="16">
        <v>0.27430555555555552</v>
      </c>
      <c r="E1944" s="14">
        <v>210</v>
      </c>
      <c r="F1944" s="14">
        <v>3</v>
      </c>
      <c r="G1944" s="17">
        <v>0.27512221599028058</v>
      </c>
      <c r="H1944" s="1" t="s">
        <v>143</v>
      </c>
      <c r="I1944" s="14"/>
    </row>
    <row r="1945" spans="1:9" x14ac:dyDescent="0.25">
      <c r="A1945" s="14">
        <v>2016</v>
      </c>
      <c r="B1945" s="14">
        <v>208</v>
      </c>
      <c r="C1945" s="15">
        <v>42577</v>
      </c>
      <c r="D1945" s="16">
        <v>0.28055555555555556</v>
      </c>
      <c r="E1945" s="14">
        <v>210</v>
      </c>
      <c r="F1945" s="14">
        <v>4</v>
      </c>
      <c r="G1945" s="17">
        <v>0.28964273676114899</v>
      </c>
      <c r="H1945" s="1" t="s">
        <v>143</v>
      </c>
      <c r="I1945" s="14"/>
    </row>
    <row r="1946" spans="1:9" x14ac:dyDescent="0.25">
      <c r="A1946" s="14">
        <v>2016</v>
      </c>
      <c r="B1946" s="14">
        <v>208</v>
      </c>
      <c r="C1946" s="15">
        <v>42577</v>
      </c>
      <c r="D1946" s="16">
        <v>0.28819444444444448</v>
      </c>
      <c r="E1946" s="14">
        <v>210</v>
      </c>
      <c r="F1946" s="14">
        <v>5</v>
      </c>
      <c r="G1946" s="17" t="e">
        <v>#N/A</v>
      </c>
      <c r="H1946" s="1" t="s">
        <v>0</v>
      </c>
      <c r="I1946" s="14"/>
    </row>
    <row r="1947" spans="1:9" x14ac:dyDescent="0.25">
      <c r="A1947" s="14">
        <v>2016</v>
      </c>
      <c r="B1947" s="14">
        <v>208</v>
      </c>
      <c r="C1947" s="15">
        <v>42577</v>
      </c>
      <c r="D1947" s="16">
        <v>0.29166666666666669</v>
      </c>
      <c r="E1947" s="14">
        <v>210</v>
      </c>
      <c r="F1947" s="14">
        <v>6</v>
      </c>
      <c r="G1947" s="17" t="e">
        <v>#N/A</v>
      </c>
      <c r="H1947" s="1" t="s">
        <v>0</v>
      </c>
      <c r="I1947" s="14"/>
    </row>
    <row r="1948" spans="1:9" x14ac:dyDescent="0.25">
      <c r="A1948" s="14">
        <v>2016</v>
      </c>
      <c r="B1948" s="14">
        <v>208</v>
      </c>
      <c r="C1948" s="15">
        <v>42577</v>
      </c>
      <c r="D1948" s="16">
        <v>0.30555555555555552</v>
      </c>
      <c r="E1948" s="14">
        <v>210</v>
      </c>
      <c r="F1948" s="14">
        <v>7</v>
      </c>
      <c r="G1948" s="17">
        <v>0.2793265490821138</v>
      </c>
      <c r="H1948" s="1" t="s">
        <v>143</v>
      </c>
      <c r="I1948" s="14"/>
    </row>
    <row r="1949" spans="1:9" x14ac:dyDescent="0.25">
      <c r="A1949" s="14">
        <v>2016</v>
      </c>
      <c r="B1949" s="14">
        <v>208</v>
      </c>
      <c r="C1949" s="15">
        <v>42577</v>
      </c>
      <c r="D1949" s="16">
        <v>0.30624999999999997</v>
      </c>
      <c r="E1949" s="14">
        <v>210</v>
      </c>
      <c r="F1949" s="14">
        <v>8</v>
      </c>
      <c r="G1949" s="17">
        <v>0.30200269747093644</v>
      </c>
      <c r="H1949" s="1" t="s">
        <v>143</v>
      </c>
      <c r="I1949" s="14"/>
    </row>
    <row r="1950" spans="1:9" x14ac:dyDescent="0.25">
      <c r="A1950" s="14">
        <v>2016</v>
      </c>
      <c r="B1950" s="14">
        <v>208</v>
      </c>
      <c r="C1950" s="15">
        <v>42577</v>
      </c>
      <c r="D1950" s="16">
        <v>0.31319444444444444</v>
      </c>
      <c r="E1950" s="14">
        <v>210</v>
      </c>
      <c r="F1950" s="14">
        <v>9</v>
      </c>
      <c r="G1950" s="17">
        <v>0.29410010841869438</v>
      </c>
      <c r="H1950" s="1" t="s">
        <v>143</v>
      </c>
      <c r="I1950" s="14"/>
    </row>
    <row r="1951" spans="1:9" x14ac:dyDescent="0.25">
      <c r="A1951" s="14">
        <v>2016</v>
      </c>
      <c r="B1951" s="14">
        <v>208</v>
      </c>
      <c r="C1951" s="15">
        <v>42577</v>
      </c>
      <c r="D1951" s="16">
        <v>0.31944444444444448</v>
      </c>
      <c r="E1951" s="14">
        <v>210</v>
      </c>
      <c r="F1951" s="14">
        <v>10</v>
      </c>
      <c r="G1951" s="17">
        <v>0.26747266550375076</v>
      </c>
      <c r="H1951" s="1" t="s">
        <v>143</v>
      </c>
      <c r="I1951" s="14"/>
    </row>
    <row r="1952" spans="1:9" x14ac:dyDescent="0.25">
      <c r="A1952" s="14">
        <v>2016</v>
      </c>
      <c r="B1952" s="14">
        <v>208</v>
      </c>
      <c r="C1952" s="15">
        <v>42577</v>
      </c>
      <c r="D1952" s="16">
        <v>0.3888888888888889</v>
      </c>
      <c r="E1952" s="14">
        <v>210</v>
      </c>
      <c r="F1952" s="14">
        <v>11</v>
      </c>
      <c r="G1952" s="17">
        <v>0.30184698143049821</v>
      </c>
      <c r="H1952" s="1" t="s">
        <v>144</v>
      </c>
      <c r="I1952" s="14"/>
    </row>
    <row r="1953" spans="1:9" x14ac:dyDescent="0.25">
      <c r="A1953" s="14">
        <v>2016</v>
      </c>
      <c r="B1953" s="14">
        <v>208</v>
      </c>
      <c r="C1953" s="15">
        <v>42577</v>
      </c>
      <c r="D1953" s="16">
        <v>0.40277777777777773</v>
      </c>
      <c r="E1953" s="14">
        <v>210</v>
      </c>
      <c r="F1953" s="14">
        <v>12</v>
      </c>
      <c r="G1953" s="17">
        <v>0.30967171246252106</v>
      </c>
      <c r="H1953" s="1" t="s">
        <v>144</v>
      </c>
      <c r="I1953" s="14"/>
    </row>
    <row r="1954" spans="1:9" x14ac:dyDescent="0.25">
      <c r="A1954" s="14">
        <v>2016</v>
      </c>
      <c r="B1954" s="14">
        <v>208</v>
      </c>
      <c r="C1954" s="15">
        <v>42577</v>
      </c>
      <c r="D1954" s="16">
        <v>0.41180555555555554</v>
      </c>
      <c r="E1954" s="14">
        <v>210</v>
      </c>
      <c r="F1954" s="14">
        <v>13</v>
      </c>
      <c r="G1954" s="17">
        <v>0.29657210056065186</v>
      </c>
      <c r="H1954" s="1" t="s">
        <v>144</v>
      </c>
      <c r="I1954" s="14"/>
    </row>
    <row r="1955" spans="1:9" x14ac:dyDescent="0.25">
      <c r="A1955" s="14">
        <v>2016</v>
      </c>
      <c r="B1955" s="14">
        <v>208</v>
      </c>
      <c r="C1955" s="15">
        <v>42577</v>
      </c>
      <c r="D1955" s="16">
        <v>0.38194444444444442</v>
      </c>
      <c r="E1955" s="14">
        <v>210</v>
      </c>
      <c r="F1955" s="14">
        <v>14</v>
      </c>
      <c r="G1955" s="17">
        <v>0.27455774534369187</v>
      </c>
      <c r="H1955" s="1" t="s">
        <v>144</v>
      </c>
      <c r="I1955" s="14"/>
    </row>
    <row r="1956" spans="1:9" x14ac:dyDescent="0.25">
      <c r="A1956" s="14">
        <v>2016</v>
      </c>
      <c r="B1956" s="14">
        <v>208</v>
      </c>
      <c r="C1956" s="15">
        <v>42577</v>
      </c>
      <c r="D1956" s="16">
        <v>0.41944444444444445</v>
      </c>
      <c r="E1956" s="14">
        <v>210</v>
      </c>
      <c r="F1956" s="14">
        <v>15</v>
      </c>
      <c r="G1956" s="17" t="e">
        <v>#N/A</v>
      </c>
      <c r="H1956" s="1" t="s">
        <v>1</v>
      </c>
      <c r="I1956" s="14"/>
    </row>
    <row r="1957" spans="1:9" x14ac:dyDescent="0.25">
      <c r="A1957" s="14">
        <v>2016</v>
      </c>
      <c r="B1957" s="14">
        <v>208</v>
      </c>
      <c r="C1957" s="15">
        <v>42577</v>
      </c>
      <c r="D1957" s="16">
        <v>0.42499999999999999</v>
      </c>
      <c r="E1957" s="14">
        <v>210</v>
      </c>
      <c r="F1957" s="14">
        <v>16</v>
      </c>
      <c r="G1957" s="17" t="e">
        <v>#N/A</v>
      </c>
      <c r="H1957" s="1" t="s">
        <v>1</v>
      </c>
      <c r="I1957" s="14"/>
    </row>
    <row r="1958" spans="1:9" x14ac:dyDescent="0.25">
      <c r="A1958" s="14">
        <v>2016</v>
      </c>
      <c r="B1958" s="14">
        <v>208</v>
      </c>
      <c r="C1958" s="15">
        <v>42577</v>
      </c>
      <c r="D1958" s="16">
        <v>0.43402777777777773</v>
      </c>
      <c r="E1958" s="14">
        <v>210</v>
      </c>
      <c r="F1958" s="14">
        <v>17</v>
      </c>
      <c r="G1958" s="17">
        <v>0.30538952135046871</v>
      </c>
      <c r="H1958" s="1" t="s">
        <v>144</v>
      </c>
      <c r="I1958" s="14"/>
    </row>
    <row r="1959" spans="1:9" x14ac:dyDescent="0.25">
      <c r="A1959" s="14">
        <v>2016</v>
      </c>
      <c r="B1959" s="14">
        <v>208</v>
      </c>
      <c r="C1959" s="15">
        <v>42577</v>
      </c>
      <c r="D1959" s="16">
        <v>0.37847222222222227</v>
      </c>
      <c r="E1959" s="14">
        <v>210</v>
      </c>
      <c r="F1959" s="14">
        <v>18</v>
      </c>
      <c r="G1959" s="17">
        <v>0.30073750464237547</v>
      </c>
      <c r="H1959" s="1" t="s">
        <v>144</v>
      </c>
      <c r="I1959" s="14"/>
    </row>
    <row r="1960" spans="1:9" x14ac:dyDescent="0.25">
      <c r="A1960" s="14">
        <v>2016</v>
      </c>
      <c r="B1960" s="14">
        <v>208</v>
      </c>
      <c r="C1960" s="15">
        <v>42577</v>
      </c>
      <c r="D1960" s="16">
        <v>0.37152777777777773</v>
      </c>
      <c r="E1960" s="14">
        <v>210</v>
      </c>
      <c r="F1960" s="14">
        <v>19</v>
      </c>
      <c r="G1960" s="17">
        <v>0.29624120397472059</v>
      </c>
      <c r="H1960" s="1" t="s">
        <v>144</v>
      </c>
      <c r="I1960" s="14"/>
    </row>
    <row r="1961" spans="1:9" x14ac:dyDescent="0.25">
      <c r="A1961" s="14">
        <v>2016</v>
      </c>
      <c r="B1961" s="14">
        <v>208</v>
      </c>
      <c r="C1961" s="15">
        <v>42577</v>
      </c>
      <c r="D1961" s="16">
        <v>0.35486111111111113</v>
      </c>
      <c r="E1961" s="14">
        <v>210</v>
      </c>
      <c r="F1961" s="14">
        <v>20</v>
      </c>
      <c r="G1961" s="17">
        <v>0.29664995858087101</v>
      </c>
      <c r="H1961" s="1" t="s">
        <v>144</v>
      </c>
      <c r="I1961" s="14"/>
    </row>
    <row r="1962" spans="1:9" x14ac:dyDescent="0.25">
      <c r="A1962" s="14">
        <v>2016</v>
      </c>
      <c r="B1962" s="14">
        <v>208</v>
      </c>
      <c r="C1962" s="15">
        <v>42577</v>
      </c>
      <c r="D1962" s="16">
        <v>0.25763888888888892</v>
      </c>
      <c r="E1962" s="14">
        <v>190</v>
      </c>
      <c r="F1962" s="14">
        <v>1</v>
      </c>
      <c r="G1962" s="17">
        <v>0.29265973504464038</v>
      </c>
      <c r="H1962" s="1" t="s">
        <v>143</v>
      </c>
      <c r="I1962" s="14"/>
    </row>
    <row r="1963" spans="1:9" x14ac:dyDescent="0.25">
      <c r="A1963" s="14">
        <v>2016</v>
      </c>
      <c r="B1963" s="14">
        <v>208</v>
      </c>
      <c r="C1963" s="15">
        <v>42577</v>
      </c>
      <c r="D1963" s="16">
        <v>0.26458333333333334</v>
      </c>
      <c r="E1963" s="14">
        <v>190</v>
      </c>
      <c r="F1963" s="14">
        <v>2</v>
      </c>
      <c r="G1963" s="17">
        <v>0.2872875316495202</v>
      </c>
      <c r="H1963" s="1" t="s">
        <v>143</v>
      </c>
      <c r="I1963" s="14"/>
    </row>
    <row r="1964" spans="1:9" x14ac:dyDescent="0.25">
      <c r="A1964" s="14">
        <v>2016</v>
      </c>
      <c r="B1964" s="14">
        <v>208</v>
      </c>
      <c r="C1964" s="15">
        <v>42577</v>
      </c>
      <c r="D1964" s="16">
        <v>0.27430555555555552</v>
      </c>
      <c r="E1964" s="14">
        <v>190</v>
      </c>
      <c r="F1964" s="14">
        <v>3</v>
      </c>
      <c r="G1964" s="17">
        <v>0.29592977189384406</v>
      </c>
      <c r="H1964" s="1" t="s">
        <v>143</v>
      </c>
      <c r="I1964" s="14"/>
    </row>
    <row r="1965" spans="1:9" x14ac:dyDescent="0.25">
      <c r="A1965" s="14">
        <v>2016</v>
      </c>
      <c r="B1965" s="14">
        <v>208</v>
      </c>
      <c r="C1965" s="15">
        <v>42577</v>
      </c>
      <c r="D1965" s="16">
        <v>0.28055555555555556</v>
      </c>
      <c r="E1965" s="14">
        <v>190</v>
      </c>
      <c r="F1965" s="14">
        <v>4</v>
      </c>
      <c r="G1965" s="17">
        <v>0.2974285387830623</v>
      </c>
      <c r="H1965" s="1" t="s">
        <v>143</v>
      </c>
      <c r="I1965" s="14"/>
    </row>
    <row r="1966" spans="1:9" x14ac:dyDescent="0.25">
      <c r="A1966" s="14">
        <v>2016</v>
      </c>
      <c r="B1966" s="14">
        <v>208</v>
      </c>
      <c r="C1966" s="15">
        <v>42577</v>
      </c>
      <c r="D1966" s="16">
        <v>0.28819444444444448</v>
      </c>
      <c r="E1966" s="14">
        <v>190</v>
      </c>
      <c r="F1966" s="14">
        <v>5</v>
      </c>
      <c r="G1966" s="17">
        <v>0.3391993666306275</v>
      </c>
      <c r="H1966" s="1" t="s">
        <v>0</v>
      </c>
      <c r="I1966" s="14"/>
    </row>
    <row r="1967" spans="1:9" x14ac:dyDescent="0.25">
      <c r="A1967" s="14">
        <v>2016</v>
      </c>
      <c r="B1967" s="14">
        <v>208</v>
      </c>
      <c r="C1967" s="15">
        <v>42577</v>
      </c>
      <c r="D1967" s="16">
        <v>0.29166666666666669</v>
      </c>
      <c r="E1967" s="14">
        <v>190</v>
      </c>
      <c r="F1967" s="14">
        <v>6</v>
      </c>
      <c r="G1967" s="17">
        <v>0.36185605051439534</v>
      </c>
      <c r="H1967" s="1" t="s">
        <v>0</v>
      </c>
      <c r="I1967" s="14"/>
    </row>
    <row r="1968" spans="1:9" x14ac:dyDescent="0.25">
      <c r="A1968" s="14">
        <v>2016</v>
      </c>
      <c r="B1968" s="14">
        <v>208</v>
      </c>
      <c r="C1968" s="15">
        <v>42577</v>
      </c>
      <c r="D1968" s="16">
        <v>0.30555555555555552</v>
      </c>
      <c r="E1968" s="14">
        <v>190</v>
      </c>
      <c r="F1968" s="14">
        <v>7</v>
      </c>
      <c r="G1968" s="17">
        <v>0.28236301187065999</v>
      </c>
      <c r="H1968" s="1" t="s">
        <v>143</v>
      </c>
      <c r="I1968" s="14"/>
    </row>
    <row r="1969" spans="1:9" x14ac:dyDescent="0.25">
      <c r="A1969" s="14">
        <v>2016</v>
      </c>
      <c r="B1969" s="14">
        <v>208</v>
      </c>
      <c r="C1969" s="15">
        <v>42577</v>
      </c>
      <c r="D1969" s="16">
        <v>0.30624999999999997</v>
      </c>
      <c r="E1969" s="14">
        <v>190</v>
      </c>
      <c r="F1969" s="14">
        <v>8</v>
      </c>
      <c r="G1969" s="17">
        <v>0.29581298486351532</v>
      </c>
      <c r="H1969" s="1" t="s">
        <v>143</v>
      </c>
      <c r="I1969" s="14"/>
    </row>
    <row r="1970" spans="1:9" x14ac:dyDescent="0.25">
      <c r="A1970" s="14">
        <v>2016</v>
      </c>
      <c r="B1970" s="14">
        <v>208</v>
      </c>
      <c r="C1970" s="15">
        <v>42577</v>
      </c>
      <c r="D1970" s="16">
        <v>0.31319444444444444</v>
      </c>
      <c r="E1970" s="14">
        <v>190</v>
      </c>
      <c r="F1970" s="14">
        <v>9</v>
      </c>
      <c r="G1970" s="17">
        <v>0.28921451764994371</v>
      </c>
      <c r="H1970" s="1" t="s">
        <v>143</v>
      </c>
      <c r="I1970" s="14"/>
    </row>
    <row r="1971" spans="1:9" x14ac:dyDescent="0.25">
      <c r="A1971" s="14">
        <v>2016</v>
      </c>
      <c r="B1971" s="14">
        <v>208</v>
      </c>
      <c r="C1971" s="15">
        <v>42577</v>
      </c>
      <c r="D1971" s="16">
        <v>0.31944444444444448</v>
      </c>
      <c r="E1971" s="14">
        <v>190</v>
      </c>
      <c r="F1971" s="14">
        <v>10</v>
      </c>
      <c r="G1971" s="17">
        <v>0.29264027053958563</v>
      </c>
      <c r="H1971" s="1" t="s">
        <v>143</v>
      </c>
      <c r="I1971" s="14"/>
    </row>
    <row r="1972" spans="1:9" x14ac:dyDescent="0.25">
      <c r="A1972" s="14">
        <v>2016</v>
      </c>
      <c r="B1972" s="14">
        <v>208</v>
      </c>
      <c r="C1972" s="15">
        <v>42577</v>
      </c>
      <c r="D1972" s="16">
        <v>0.3888888888888889</v>
      </c>
      <c r="E1972" s="14">
        <v>190</v>
      </c>
      <c r="F1972" s="14">
        <v>11</v>
      </c>
      <c r="G1972" s="17">
        <v>0.3092045643412063</v>
      </c>
      <c r="H1972" s="1" t="s">
        <v>144</v>
      </c>
      <c r="I1972" s="14"/>
    </row>
    <row r="1973" spans="1:9" x14ac:dyDescent="0.25">
      <c r="A1973" s="14">
        <v>2016</v>
      </c>
      <c r="B1973" s="14">
        <v>208</v>
      </c>
      <c r="C1973" s="15">
        <v>42577</v>
      </c>
      <c r="D1973" s="16">
        <v>0.40277777777777773</v>
      </c>
      <c r="E1973" s="14">
        <v>190</v>
      </c>
      <c r="F1973" s="14">
        <v>12</v>
      </c>
      <c r="G1973" s="17">
        <v>0.31720447591872225</v>
      </c>
      <c r="H1973" s="1" t="s">
        <v>144</v>
      </c>
      <c r="I1973" s="14"/>
    </row>
    <row r="1974" spans="1:9" x14ac:dyDescent="0.25">
      <c r="A1974" s="14">
        <v>2016</v>
      </c>
      <c r="B1974" s="14">
        <v>208</v>
      </c>
      <c r="C1974" s="15">
        <v>42577</v>
      </c>
      <c r="D1974" s="16">
        <v>0.41180555555555554</v>
      </c>
      <c r="E1974" s="14">
        <v>190</v>
      </c>
      <c r="F1974" s="14">
        <v>13</v>
      </c>
      <c r="G1974" s="17">
        <v>0.29468404357033789</v>
      </c>
      <c r="H1974" s="1" t="s">
        <v>144</v>
      </c>
      <c r="I1974" s="14"/>
    </row>
    <row r="1975" spans="1:9" x14ac:dyDescent="0.25">
      <c r="A1975" s="14">
        <v>2016</v>
      </c>
      <c r="B1975" s="14">
        <v>208</v>
      </c>
      <c r="C1975" s="15">
        <v>42577</v>
      </c>
      <c r="D1975" s="16">
        <v>0.38194444444444442</v>
      </c>
      <c r="E1975" s="14">
        <v>190</v>
      </c>
      <c r="F1975" s="14">
        <v>14</v>
      </c>
      <c r="G1975" s="17">
        <v>0.30114625924852595</v>
      </c>
      <c r="H1975" s="1" t="s">
        <v>144</v>
      </c>
      <c r="I1975" s="14"/>
    </row>
    <row r="1976" spans="1:9" x14ac:dyDescent="0.25">
      <c r="A1976" s="14">
        <v>2016</v>
      </c>
      <c r="B1976" s="14">
        <v>208</v>
      </c>
      <c r="C1976" s="15">
        <v>42577</v>
      </c>
      <c r="D1976" s="16">
        <v>0.41944444444444445</v>
      </c>
      <c r="E1976" s="14">
        <v>190</v>
      </c>
      <c r="F1976" s="14">
        <v>15</v>
      </c>
      <c r="G1976" s="17">
        <v>0.35237683655271579</v>
      </c>
      <c r="H1976" s="1" t="s">
        <v>1</v>
      </c>
      <c r="I1976" s="14"/>
    </row>
    <row r="1977" spans="1:9" x14ac:dyDescent="0.25">
      <c r="A1977" s="14">
        <v>2016</v>
      </c>
      <c r="B1977" s="14">
        <v>208</v>
      </c>
      <c r="C1977" s="15">
        <v>42577</v>
      </c>
      <c r="D1977" s="16">
        <v>0.42499999999999999</v>
      </c>
      <c r="E1977" s="14">
        <v>190</v>
      </c>
      <c r="F1977" s="14">
        <v>16</v>
      </c>
      <c r="G1977" s="17">
        <v>0.33842078642843615</v>
      </c>
      <c r="H1977" s="1" t="s">
        <v>1</v>
      </c>
      <c r="I1977" s="14"/>
    </row>
    <row r="1978" spans="1:9" x14ac:dyDescent="0.25">
      <c r="A1978" s="14">
        <v>2016</v>
      </c>
      <c r="B1978" s="14">
        <v>208</v>
      </c>
      <c r="C1978" s="15">
        <v>42577</v>
      </c>
      <c r="D1978" s="16">
        <v>0.43402777777777773</v>
      </c>
      <c r="E1978" s="14">
        <v>190</v>
      </c>
      <c r="F1978" s="14">
        <v>17</v>
      </c>
      <c r="G1978" s="17">
        <v>0.31570570902950396</v>
      </c>
      <c r="H1978" s="1" t="s">
        <v>144</v>
      </c>
      <c r="I1978" s="14"/>
    </row>
    <row r="1979" spans="1:9" x14ac:dyDescent="0.25">
      <c r="A1979" s="14">
        <v>2016</v>
      </c>
      <c r="B1979" s="14">
        <v>208</v>
      </c>
      <c r="C1979" s="15">
        <v>42577</v>
      </c>
      <c r="D1979" s="16">
        <v>0.37847222222222227</v>
      </c>
      <c r="E1979" s="14">
        <v>190</v>
      </c>
      <c r="F1979" s="14">
        <v>18</v>
      </c>
      <c r="G1979" s="17">
        <v>0.3084649131491245</v>
      </c>
      <c r="H1979" s="1" t="s">
        <v>144</v>
      </c>
      <c r="I1979" s="14"/>
    </row>
    <row r="1980" spans="1:9" x14ac:dyDescent="0.25">
      <c r="A1980" s="14">
        <v>2016</v>
      </c>
      <c r="B1980" s="14">
        <v>208</v>
      </c>
      <c r="C1980" s="15">
        <v>42577</v>
      </c>
      <c r="D1980" s="16">
        <v>0.37152777777777773</v>
      </c>
      <c r="E1980" s="14">
        <v>190</v>
      </c>
      <c r="F1980" s="14">
        <v>19</v>
      </c>
      <c r="G1980" s="17">
        <v>0.30429950906740083</v>
      </c>
      <c r="H1980" s="1" t="s">
        <v>144</v>
      </c>
      <c r="I1980" s="14"/>
    </row>
    <row r="1981" spans="1:9" x14ac:dyDescent="0.25">
      <c r="A1981" s="14">
        <v>2016</v>
      </c>
      <c r="B1981" s="14">
        <v>208</v>
      </c>
      <c r="C1981" s="15">
        <v>42577</v>
      </c>
      <c r="D1981" s="16">
        <v>0.35486111111111113</v>
      </c>
      <c r="E1981" s="14">
        <v>190</v>
      </c>
      <c r="F1981" s="14">
        <v>20</v>
      </c>
      <c r="G1981" s="17">
        <v>0.3062459595728792</v>
      </c>
      <c r="H1981" s="1" t="s">
        <v>144</v>
      </c>
      <c r="I1981" s="14"/>
    </row>
    <row r="1982" spans="1:9" x14ac:dyDescent="0.25">
      <c r="A1982" s="14">
        <v>2016</v>
      </c>
      <c r="B1982" s="14">
        <v>208</v>
      </c>
      <c r="C1982" s="15">
        <v>42577</v>
      </c>
      <c r="D1982" s="16">
        <v>0.25763888888888892</v>
      </c>
      <c r="E1982" s="14">
        <v>170</v>
      </c>
      <c r="F1982" s="14">
        <v>1</v>
      </c>
      <c r="G1982" s="17">
        <v>0.28380338524471399</v>
      </c>
      <c r="H1982" s="1" t="s">
        <v>143</v>
      </c>
      <c r="I1982" s="14"/>
    </row>
    <row r="1983" spans="1:9" x14ac:dyDescent="0.25">
      <c r="A1983" s="14">
        <v>2016</v>
      </c>
      <c r="B1983" s="14">
        <v>208</v>
      </c>
      <c r="C1983" s="15">
        <v>42577</v>
      </c>
      <c r="D1983" s="16">
        <v>0.26458333333333334</v>
      </c>
      <c r="E1983" s="14">
        <v>170</v>
      </c>
      <c r="F1983" s="14">
        <v>2</v>
      </c>
      <c r="G1983" s="17">
        <v>0.27358452009095269</v>
      </c>
      <c r="H1983" s="1" t="s">
        <v>143</v>
      </c>
      <c r="I1983" s="14"/>
    </row>
    <row r="1984" spans="1:9" x14ac:dyDescent="0.25">
      <c r="A1984" s="14">
        <v>2016</v>
      </c>
      <c r="B1984" s="14">
        <v>208</v>
      </c>
      <c r="C1984" s="15">
        <v>42577</v>
      </c>
      <c r="D1984" s="16">
        <v>0.27430555555555552</v>
      </c>
      <c r="E1984" s="14">
        <v>170</v>
      </c>
      <c r="F1984" s="14">
        <v>3</v>
      </c>
      <c r="G1984" s="17">
        <v>0.28833861492247853</v>
      </c>
      <c r="H1984" s="1" t="s">
        <v>143</v>
      </c>
      <c r="I1984" s="14"/>
    </row>
    <row r="1985" spans="1:9" x14ac:dyDescent="0.25">
      <c r="A1985" s="14">
        <v>2016</v>
      </c>
      <c r="B1985" s="14">
        <v>208</v>
      </c>
      <c r="C1985" s="15">
        <v>42577</v>
      </c>
      <c r="D1985" s="16">
        <v>0.28055555555555556</v>
      </c>
      <c r="E1985" s="14">
        <v>170</v>
      </c>
      <c r="F1985" s="14">
        <v>4</v>
      </c>
      <c r="G1985" s="17">
        <v>0.29413903742880393</v>
      </c>
      <c r="H1985" s="1" t="s">
        <v>143</v>
      </c>
      <c r="I1985" s="14"/>
    </row>
    <row r="1986" spans="1:9" x14ac:dyDescent="0.25">
      <c r="A1986" s="14">
        <v>2016</v>
      </c>
      <c r="B1986" s="14">
        <v>208</v>
      </c>
      <c r="C1986" s="15">
        <v>42577</v>
      </c>
      <c r="D1986" s="16">
        <v>0.28819444444444448</v>
      </c>
      <c r="E1986" s="14">
        <v>170</v>
      </c>
      <c r="F1986" s="14">
        <v>5</v>
      </c>
      <c r="G1986" s="17">
        <v>0.33367144719506897</v>
      </c>
      <c r="H1986" s="1" t="s">
        <v>0</v>
      </c>
      <c r="I1986" s="14"/>
    </row>
    <row r="1987" spans="1:9" x14ac:dyDescent="0.25">
      <c r="A1987" s="14">
        <v>2016</v>
      </c>
      <c r="B1987" s="14">
        <v>208</v>
      </c>
      <c r="C1987" s="15">
        <v>42577</v>
      </c>
      <c r="D1987" s="16">
        <v>0.29166666666666669</v>
      </c>
      <c r="E1987" s="14">
        <v>170</v>
      </c>
      <c r="F1987" s="14">
        <v>6</v>
      </c>
      <c r="G1987" s="17">
        <v>0.34577836933914424</v>
      </c>
      <c r="H1987" s="1" t="s">
        <v>0</v>
      </c>
      <c r="I1987" s="14"/>
    </row>
    <row r="1988" spans="1:9" x14ac:dyDescent="0.25">
      <c r="A1988" s="14">
        <v>2016</v>
      </c>
      <c r="B1988" s="14">
        <v>208</v>
      </c>
      <c r="C1988" s="15">
        <v>42577</v>
      </c>
      <c r="D1988" s="16">
        <v>0.30555555555555552</v>
      </c>
      <c r="E1988" s="14">
        <v>170</v>
      </c>
      <c r="F1988" s="14">
        <v>7</v>
      </c>
      <c r="G1988" s="17">
        <v>0.2967862101162545</v>
      </c>
      <c r="H1988" s="1" t="s">
        <v>143</v>
      </c>
      <c r="I1988" s="14"/>
    </row>
    <row r="1989" spans="1:9" x14ac:dyDescent="0.25">
      <c r="A1989" s="14">
        <v>2016</v>
      </c>
      <c r="B1989" s="14">
        <v>208</v>
      </c>
      <c r="C1989" s="15">
        <v>42577</v>
      </c>
      <c r="D1989" s="16">
        <v>0.30624999999999997</v>
      </c>
      <c r="E1989" s="14">
        <v>170</v>
      </c>
      <c r="F1989" s="14">
        <v>8</v>
      </c>
      <c r="G1989" s="17">
        <v>0.30690775274474186</v>
      </c>
      <c r="H1989" s="1" t="s">
        <v>143</v>
      </c>
      <c r="I1989" s="14"/>
    </row>
    <row r="1990" spans="1:9" x14ac:dyDescent="0.25">
      <c r="A1990" s="14">
        <v>2016</v>
      </c>
      <c r="B1990" s="14">
        <v>208</v>
      </c>
      <c r="C1990" s="15">
        <v>42577</v>
      </c>
      <c r="D1990" s="16">
        <v>0.31319444444444444</v>
      </c>
      <c r="E1990" s="14">
        <v>170</v>
      </c>
      <c r="F1990" s="14">
        <v>9</v>
      </c>
      <c r="G1990" s="17">
        <v>0.30245038108719641</v>
      </c>
      <c r="H1990" s="1" t="s">
        <v>143</v>
      </c>
      <c r="I1990" s="14"/>
    </row>
    <row r="1991" spans="1:9" x14ac:dyDescent="0.25">
      <c r="A1991" s="14">
        <v>2016</v>
      </c>
      <c r="B1991" s="14">
        <v>208</v>
      </c>
      <c r="C1991" s="15">
        <v>42577</v>
      </c>
      <c r="D1991" s="16">
        <v>0.31944444444444448</v>
      </c>
      <c r="E1991" s="14">
        <v>170</v>
      </c>
      <c r="F1991" s="14">
        <v>10</v>
      </c>
      <c r="G1991" s="17">
        <v>0.30947706741197328</v>
      </c>
      <c r="H1991" s="1" t="s">
        <v>143</v>
      </c>
      <c r="I1991" s="14"/>
    </row>
    <row r="1992" spans="1:9" x14ac:dyDescent="0.25">
      <c r="A1992" s="14">
        <v>2016</v>
      </c>
      <c r="B1992" s="14">
        <v>208</v>
      </c>
      <c r="C1992" s="15">
        <v>42577</v>
      </c>
      <c r="D1992" s="16">
        <v>0.3888888888888889</v>
      </c>
      <c r="E1992" s="14">
        <v>170</v>
      </c>
      <c r="F1992" s="14">
        <v>11</v>
      </c>
      <c r="G1992" s="17">
        <v>0.32279078886944507</v>
      </c>
      <c r="H1992" s="1" t="s">
        <v>144</v>
      </c>
      <c r="I1992" s="14"/>
    </row>
    <row r="1993" spans="1:9" x14ac:dyDescent="0.25">
      <c r="A1993" s="14">
        <v>2016</v>
      </c>
      <c r="B1993" s="14">
        <v>208</v>
      </c>
      <c r="C1993" s="15">
        <v>42577</v>
      </c>
      <c r="D1993" s="16">
        <v>0.40277777777777773</v>
      </c>
      <c r="E1993" s="14">
        <v>170</v>
      </c>
      <c r="F1993" s="14">
        <v>12</v>
      </c>
      <c r="G1993" s="17">
        <v>0.33801203182228567</v>
      </c>
      <c r="H1993" s="1" t="s">
        <v>144</v>
      </c>
      <c r="I1993" s="14"/>
    </row>
    <row r="1994" spans="1:9" x14ac:dyDescent="0.25">
      <c r="A1994" s="14">
        <v>2016</v>
      </c>
      <c r="B1994" s="14">
        <v>208</v>
      </c>
      <c r="C1994" s="15">
        <v>42577</v>
      </c>
      <c r="D1994" s="16">
        <v>0.41180555555555554</v>
      </c>
      <c r="E1994" s="14">
        <v>170</v>
      </c>
      <c r="F1994" s="14">
        <v>13</v>
      </c>
      <c r="G1994" s="17">
        <v>0.30651846264364618</v>
      </c>
      <c r="H1994" s="1" t="s">
        <v>144</v>
      </c>
      <c r="I1994" s="14"/>
    </row>
    <row r="1995" spans="1:9" x14ac:dyDescent="0.25">
      <c r="A1995" s="14">
        <v>2016</v>
      </c>
      <c r="B1995" s="14">
        <v>208</v>
      </c>
      <c r="C1995" s="15">
        <v>42577</v>
      </c>
      <c r="D1995" s="16">
        <v>0.38194444444444442</v>
      </c>
      <c r="E1995" s="14">
        <v>170</v>
      </c>
      <c r="F1995" s="14">
        <v>14</v>
      </c>
      <c r="G1995" s="17">
        <v>0.31901467488881707</v>
      </c>
      <c r="H1995" s="1" t="s">
        <v>144</v>
      </c>
      <c r="I1995" s="14"/>
    </row>
    <row r="1996" spans="1:9" x14ac:dyDescent="0.25">
      <c r="A1996" s="14">
        <v>2016</v>
      </c>
      <c r="B1996" s="14">
        <v>208</v>
      </c>
      <c r="C1996" s="15">
        <v>42577</v>
      </c>
      <c r="D1996" s="16">
        <v>0.41944444444444445</v>
      </c>
      <c r="E1996" s="14">
        <v>170</v>
      </c>
      <c r="F1996" s="14">
        <v>15</v>
      </c>
      <c r="G1996" s="17">
        <v>0.33546218166010905</v>
      </c>
      <c r="H1996" s="1" t="s">
        <v>1</v>
      </c>
      <c r="I1996" s="14"/>
    </row>
    <row r="1997" spans="1:9" x14ac:dyDescent="0.25">
      <c r="A1997" s="14">
        <v>2016</v>
      </c>
      <c r="B1997" s="14">
        <v>208</v>
      </c>
      <c r="C1997" s="15">
        <v>42577</v>
      </c>
      <c r="D1997" s="16">
        <v>0.42499999999999999</v>
      </c>
      <c r="E1997" s="14">
        <v>170</v>
      </c>
      <c r="F1997" s="14">
        <v>16</v>
      </c>
      <c r="G1997" s="17">
        <v>0.32927246905268792</v>
      </c>
      <c r="H1997" s="1" t="s">
        <v>1</v>
      </c>
      <c r="I1997" s="14"/>
    </row>
    <row r="1998" spans="1:9" x14ac:dyDescent="0.25">
      <c r="A1998" s="14">
        <v>2016</v>
      </c>
      <c r="B1998" s="14">
        <v>208</v>
      </c>
      <c r="C1998" s="15">
        <v>42577</v>
      </c>
      <c r="D1998" s="16">
        <v>0.43402777777777773</v>
      </c>
      <c r="E1998" s="14">
        <v>170</v>
      </c>
      <c r="F1998" s="14">
        <v>17</v>
      </c>
      <c r="G1998" s="17">
        <v>0.3157251735345587</v>
      </c>
      <c r="H1998" s="1" t="s">
        <v>144</v>
      </c>
      <c r="I1998" s="14"/>
    </row>
    <row r="1999" spans="1:9" x14ac:dyDescent="0.25">
      <c r="A1999" s="14">
        <v>2016</v>
      </c>
      <c r="B1999" s="14">
        <v>208</v>
      </c>
      <c r="C1999" s="15">
        <v>42577</v>
      </c>
      <c r="D1999" s="16">
        <v>0.37847222222222227</v>
      </c>
      <c r="E1999" s="14">
        <v>170</v>
      </c>
      <c r="F1999" s="14">
        <v>18</v>
      </c>
      <c r="G1999" s="17">
        <v>0.32728708953710001</v>
      </c>
      <c r="H1999" s="1" t="s">
        <v>144</v>
      </c>
      <c r="I1999" s="14"/>
    </row>
    <row r="2000" spans="1:9" x14ac:dyDescent="0.25">
      <c r="A2000" s="14">
        <v>2016</v>
      </c>
      <c r="B2000" s="14">
        <v>208</v>
      </c>
      <c r="C2000" s="15">
        <v>42577</v>
      </c>
      <c r="D2000" s="16">
        <v>0.37152777777777773</v>
      </c>
      <c r="E2000" s="14">
        <v>170</v>
      </c>
      <c r="F2000" s="14">
        <v>19</v>
      </c>
      <c r="G2000" s="17">
        <v>0.31303907183699864</v>
      </c>
      <c r="H2000" s="1" t="s">
        <v>144</v>
      </c>
      <c r="I2000" s="14"/>
    </row>
    <row r="2001" spans="1:9" x14ac:dyDescent="0.25">
      <c r="A2001" s="14">
        <v>2016</v>
      </c>
      <c r="B2001" s="14">
        <v>208</v>
      </c>
      <c r="C2001" s="15">
        <v>42577</v>
      </c>
      <c r="D2001" s="16">
        <v>0.35486111111111113</v>
      </c>
      <c r="E2001" s="14">
        <v>170</v>
      </c>
      <c r="F2001" s="14">
        <v>20</v>
      </c>
      <c r="G2001" s="17">
        <v>0.31924824894947446</v>
      </c>
      <c r="H2001" s="1" t="s">
        <v>144</v>
      </c>
      <c r="I2001" s="14"/>
    </row>
    <row r="2002" spans="1:9" x14ac:dyDescent="0.25">
      <c r="A2002" s="14">
        <v>2016</v>
      </c>
      <c r="B2002" s="14">
        <v>208</v>
      </c>
      <c r="C2002" s="15">
        <v>42577</v>
      </c>
      <c r="D2002" s="16">
        <v>0.25763888888888892</v>
      </c>
      <c r="E2002" s="14">
        <v>150</v>
      </c>
      <c r="F2002" s="14">
        <v>1</v>
      </c>
      <c r="G2002" s="17">
        <v>0.34188546832818761</v>
      </c>
      <c r="H2002" s="1" t="s">
        <v>143</v>
      </c>
      <c r="I2002" s="14"/>
    </row>
    <row r="2003" spans="1:9" x14ac:dyDescent="0.25">
      <c r="A2003" s="14">
        <v>2016</v>
      </c>
      <c r="B2003" s="14">
        <v>208</v>
      </c>
      <c r="C2003" s="15">
        <v>42577</v>
      </c>
      <c r="D2003" s="16">
        <v>0.26458333333333334</v>
      </c>
      <c r="E2003" s="14">
        <v>150</v>
      </c>
      <c r="F2003" s="14">
        <v>2</v>
      </c>
      <c r="G2003" s="17">
        <v>0.33162767416431671</v>
      </c>
      <c r="H2003" s="1" t="s">
        <v>143</v>
      </c>
      <c r="I2003" s="14"/>
    </row>
    <row r="2004" spans="1:9" x14ac:dyDescent="0.25">
      <c r="A2004" s="14">
        <v>2016</v>
      </c>
      <c r="B2004" s="14">
        <v>208</v>
      </c>
      <c r="C2004" s="15">
        <v>42577</v>
      </c>
      <c r="D2004" s="16">
        <v>0.27430555555555552</v>
      </c>
      <c r="E2004" s="14">
        <v>150</v>
      </c>
      <c r="F2004" s="14">
        <v>3</v>
      </c>
      <c r="G2004" s="17">
        <v>0.31482980630203866</v>
      </c>
      <c r="H2004" s="1" t="s">
        <v>143</v>
      </c>
      <c r="I2004" s="14"/>
    </row>
    <row r="2005" spans="1:9" x14ac:dyDescent="0.25">
      <c r="A2005" s="14">
        <v>2016</v>
      </c>
      <c r="B2005" s="14">
        <v>208</v>
      </c>
      <c r="C2005" s="15">
        <v>42577</v>
      </c>
      <c r="D2005" s="16">
        <v>0.28055555555555556</v>
      </c>
      <c r="E2005" s="14">
        <v>150</v>
      </c>
      <c r="F2005" s="14">
        <v>4</v>
      </c>
      <c r="G2005" s="17">
        <v>0.30171072989511472</v>
      </c>
      <c r="H2005" s="1" t="s">
        <v>143</v>
      </c>
      <c r="I2005" s="14"/>
    </row>
    <row r="2006" spans="1:9" x14ac:dyDescent="0.25">
      <c r="A2006" s="14">
        <v>2016</v>
      </c>
      <c r="B2006" s="14">
        <v>208</v>
      </c>
      <c r="C2006" s="15">
        <v>42577</v>
      </c>
      <c r="D2006" s="16">
        <v>0.28819444444444448</v>
      </c>
      <c r="E2006" s="14">
        <v>150</v>
      </c>
      <c r="F2006" s="14">
        <v>5</v>
      </c>
      <c r="G2006" s="17">
        <v>0.36508715835348932</v>
      </c>
      <c r="H2006" s="1" t="s">
        <v>0</v>
      </c>
      <c r="I2006" s="14"/>
    </row>
    <row r="2007" spans="1:9" x14ac:dyDescent="0.25">
      <c r="A2007" s="14">
        <v>2016</v>
      </c>
      <c r="B2007" s="14">
        <v>208</v>
      </c>
      <c r="C2007" s="15">
        <v>42577</v>
      </c>
      <c r="D2007" s="16">
        <v>0.29166666666666669</v>
      </c>
      <c r="E2007" s="14">
        <v>150</v>
      </c>
      <c r="F2007" s="14">
        <v>6</v>
      </c>
      <c r="G2007" s="17">
        <v>0.34758856830923912</v>
      </c>
      <c r="H2007" s="1" t="s">
        <v>0</v>
      </c>
      <c r="I2007" s="14"/>
    </row>
    <row r="2008" spans="1:9" x14ac:dyDescent="0.25">
      <c r="A2008" s="14">
        <v>2016</v>
      </c>
      <c r="B2008" s="14">
        <v>208</v>
      </c>
      <c r="C2008" s="15">
        <v>42577</v>
      </c>
      <c r="D2008" s="16">
        <v>0.30555555555555552</v>
      </c>
      <c r="E2008" s="14">
        <v>150</v>
      </c>
      <c r="F2008" s="14">
        <v>7</v>
      </c>
      <c r="G2008" s="17">
        <v>0.32530171002151209</v>
      </c>
      <c r="H2008" s="1" t="s">
        <v>143</v>
      </c>
      <c r="I2008" s="14"/>
    </row>
    <row r="2009" spans="1:9" x14ac:dyDescent="0.25">
      <c r="A2009" s="14">
        <v>2016</v>
      </c>
      <c r="B2009" s="14">
        <v>208</v>
      </c>
      <c r="C2009" s="15">
        <v>42577</v>
      </c>
      <c r="D2009" s="16">
        <v>0.30624999999999997</v>
      </c>
      <c r="E2009" s="14">
        <v>150</v>
      </c>
      <c r="F2009" s="14">
        <v>8</v>
      </c>
      <c r="G2009" s="17">
        <v>0.34172975228774932</v>
      </c>
      <c r="H2009" s="1" t="s">
        <v>143</v>
      </c>
      <c r="I2009" s="14"/>
    </row>
    <row r="2010" spans="1:9" x14ac:dyDescent="0.25">
      <c r="A2010" s="14">
        <v>2016</v>
      </c>
      <c r="B2010" s="14">
        <v>208</v>
      </c>
      <c r="C2010" s="15">
        <v>42577</v>
      </c>
      <c r="D2010" s="16">
        <v>0.31319444444444444</v>
      </c>
      <c r="E2010" s="14">
        <v>150</v>
      </c>
      <c r="F2010" s="14">
        <v>9</v>
      </c>
      <c r="G2010" s="17">
        <v>0.32931139806279752</v>
      </c>
      <c r="H2010" s="1" t="s">
        <v>143</v>
      </c>
      <c r="I2010" s="14"/>
    </row>
    <row r="2011" spans="1:9" x14ac:dyDescent="0.25">
      <c r="A2011" s="14">
        <v>2016</v>
      </c>
      <c r="B2011" s="14">
        <v>208</v>
      </c>
      <c r="C2011" s="15">
        <v>42577</v>
      </c>
      <c r="D2011" s="16">
        <v>0.31944444444444448</v>
      </c>
      <c r="E2011" s="14">
        <v>150</v>
      </c>
      <c r="F2011" s="14">
        <v>10</v>
      </c>
      <c r="G2011" s="17">
        <v>0.34299494511631023</v>
      </c>
      <c r="H2011" s="1" t="s">
        <v>143</v>
      </c>
      <c r="I2011" s="14"/>
    </row>
    <row r="2012" spans="1:9" x14ac:dyDescent="0.25">
      <c r="A2012" s="14">
        <v>2016</v>
      </c>
      <c r="B2012" s="14">
        <v>208</v>
      </c>
      <c r="C2012" s="15">
        <v>42577</v>
      </c>
      <c r="D2012" s="16">
        <v>0.3888888888888889</v>
      </c>
      <c r="E2012" s="14">
        <v>150</v>
      </c>
      <c r="F2012" s="14">
        <v>11</v>
      </c>
      <c r="G2012" s="17">
        <v>0.33254250590189155</v>
      </c>
      <c r="H2012" s="1" t="s">
        <v>144</v>
      </c>
      <c r="I2012" s="14"/>
    </row>
    <row r="2013" spans="1:9" x14ac:dyDescent="0.25">
      <c r="A2013" s="14">
        <v>2016</v>
      </c>
      <c r="B2013" s="14">
        <v>208</v>
      </c>
      <c r="C2013" s="15">
        <v>42577</v>
      </c>
      <c r="D2013" s="16">
        <v>0.40277777777777773</v>
      </c>
      <c r="E2013" s="14">
        <v>150</v>
      </c>
      <c r="F2013" s="14">
        <v>12</v>
      </c>
      <c r="G2013" s="17">
        <v>0.32738441206237395</v>
      </c>
      <c r="H2013" s="1" t="s">
        <v>144</v>
      </c>
      <c r="I2013" s="14"/>
    </row>
    <row r="2014" spans="1:9" x14ac:dyDescent="0.25">
      <c r="A2014" s="14">
        <v>2016</v>
      </c>
      <c r="B2014" s="14">
        <v>208</v>
      </c>
      <c r="C2014" s="15">
        <v>42577</v>
      </c>
      <c r="D2014" s="16">
        <v>0.41180555555555554</v>
      </c>
      <c r="E2014" s="14">
        <v>150</v>
      </c>
      <c r="F2014" s="14">
        <v>13</v>
      </c>
      <c r="G2014" s="17">
        <v>0.30607077902738616</v>
      </c>
      <c r="H2014" s="1" t="s">
        <v>144</v>
      </c>
      <c r="I2014" s="14"/>
    </row>
    <row r="2015" spans="1:9" x14ac:dyDescent="0.25">
      <c r="A2015" s="14">
        <v>2016</v>
      </c>
      <c r="B2015" s="14">
        <v>208</v>
      </c>
      <c r="C2015" s="15">
        <v>42577</v>
      </c>
      <c r="D2015" s="16">
        <v>0.38194444444444442</v>
      </c>
      <c r="E2015" s="14">
        <v>150</v>
      </c>
      <c r="F2015" s="14">
        <v>14</v>
      </c>
      <c r="G2015" s="17">
        <v>0.30455254763311307</v>
      </c>
      <c r="H2015" s="1" t="s">
        <v>144</v>
      </c>
      <c r="I2015" s="14"/>
    </row>
    <row r="2016" spans="1:9" x14ac:dyDescent="0.25">
      <c r="A2016" s="14">
        <v>2016</v>
      </c>
      <c r="B2016" s="14">
        <v>208</v>
      </c>
      <c r="C2016" s="15">
        <v>42577</v>
      </c>
      <c r="D2016" s="16">
        <v>0.41944444444444445</v>
      </c>
      <c r="E2016" s="14">
        <v>150</v>
      </c>
      <c r="F2016" s="14">
        <v>15</v>
      </c>
      <c r="G2016" s="17">
        <v>0.34848393554175916</v>
      </c>
      <c r="H2016" s="1" t="s">
        <v>1</v>
      </c>
      <c r="I2016" s="14"/>
    </row>
    <row r="2017" spans="1:9" x14ac:dyDescent="0.25">
      <c r="A2017" s="14">
        <v>2016</v>
      </c>
      <c r="B2017" s="14">
        <v>208</v>
      </c>
      <c r="C2017" s="15">
        <v>42577</v>
      </c>
      <c r="D2017" s="16">
        <v>0.42499999999999999</v>
      </c>
      <c r="E2017" s="14">
        <v>150</v>
      </c>
      <c r="F2017" s="14">
        <v>16</v>
      </c>
      <c r="G2017" s="17">
        <v>0.32958390113356445</v>
      </c>
      <c r="H2017" s="1" t="s">
        <v>1</v>
      </c>
      <c r="I2017" s="14"/>
    </row>
    <row r="2018" spans="1:9" x14ac:dyDescent="0.25">
      <c r="A2018" s="14">
        <v>2016</v>
      </c>
      <c r="B2018" s="14">
        <v>208</v>
      </c>
      <c r="C2018" s="15">
        <v>42577</v>
      </c>
      <c r="D2018" s="16">
        <v>0.43402777777777773</v>
      </c>
      <c r="E2018" s="14">
        <v>150</v>
      </c>
      <c r="F2018" s="14">
        <v>17</v>
      </c>
      <c r="G2018" s="17">
        <v>0.31961807454551538</v>
      </c>
      <c r="H2018" s="1" t="s">
        <v>144</v>
      </c>
      <c r="I2018" s="14"/>
    </row>
    <row r="2019" spans="1:9" x14ac:dyDescent="0.25">
      <c r="A2019" s="14">
        <v>2016</v>
      </c>
      <c r="B2019" s="14">
        <v>208</v>
      </c>
      <c r="C2019" s="15">
        <v>42577</v>
      </c>
      <c r="D2019" s="16">
        <v>0.37847222222222227</v>
      </c>
      <c r="E2019" s="14">
        <v>150</v>
      </c>
      <c r="F2019" s="14">
        <v>18</v>
      </c>
      <c r="G2019" s="17">
        <v>0.32975908167905754</v>
      </c>
      <c r="H2019" s="1" t="s">
        <v>144</v>
      </c>
      <c r="I2019" s="14"/>
    </row>
    <row r="2020" spans="1:9" x14ac:dyDescent="0.25">
      <c r="A2020" s="14">
        <v>2016</v>
      </c>
      <c r="B2020" s="14">
        <v>208</v>
      </c>
      <c r="C2020" s="15">
        <v>42577</v>
      </c>
      <c r="D2020" s="16">
        <v>0.37152777777777773</v>
      </c>
      <c r="E2020" s="14">
        <v>150</v>
      </c>
      <c r="F2020" s="14">
        <v>19</v>
      </c>
      <c r="G2020" s="17">
        <v>0.3258856451731556</v>
      </c>
      <c r="H2020" s="1" t="s">
        <v>144</v>
      </c>
      <c r="I2020" s="14"/>
    </row>
    <row r="2021" spans="1:9" x14ac:dyDescent="0.25">
      <c r="A2021" s="14">
        <v>2016</v>
      </c>
      <c r="B2021" s="14">
        <v>208</v>
      </c>
      <c r="C2021" s="15">
        <v>42577</v>
      </c>
      <c r="D2021" s="16">
        <v>0.35486111111111113</v>
      </c>
      <c r="E2021" s="14">
        <v>150</v>
      </c>
      <c r="F2021" s="14">
        <v>20</v>
      </c>
      <c r="G2021" s="17">
        <v>0.3391993666306275</v>
      </c>
      <c r="H2021" s="1" t="s">
        <v>144</v>
      </c>
      <c r="I2021" s="14"/>
    </row>
    <row r="2022" spans="1:9" x14ac:dyDescent="0.25">
      <c r="A2022" s="14">
        <v>2016</v>
      </c>
      <c r="B2022" s="14">
        <v>208</v>
      </c>
      <c r="C2022" s="15">
        <v>42577</v>
      </c>
      <c r="D2022" s="16">
        <v>0.25763888888888892</v>
      </c>
      <c r="E2022" s="14">
        <v>130</v>
      </c>
      <c r="F2022" s="14">
        <v>1</v>
      </c>
      <c r="G2022" s="17">
        <v>0.31732126294905094</v>
      </c>
      <c r="H2022" s="1" t="s">
        <v>143</v>
      </c>
      <c r="I2022" s="14"/>
    </row>
    <row r="2023" spans="1:9" x14ac:dyDescent="0.25">
      <c r="A2023" s="14">
        <v>2016</v>
      </c>
      <c r="B2023" s="14">
        <v>208</v>
      </c>
      <c r="C2023" s="15">
        <v>42577</v>
      </c>
      <c r="D2023" s="16">
        <v>0.26458333333333334</v>
      </c>
      <c r="E2023" s="14">
        <v>130</v>
      </c>
      <c r="F2023" s="14">
        <v>2</v>
      </c>
      <c r="G2023" s="17">
        <v>0.30644060462342704</v>
      </c>
      <c r="H2023" s="1" t="s">
        <v>143</v>
      </c>
      <c r="I2023" s="14"/>
    </row>
    <row r="2024" spans="1:9" x14ac:dyDescent="0.25">
      <c r="A2024" s="14">
        <v>2016</v>
      </c>
      <c r="B2024" s="14">
        <v>208</v>
      </c>
      <c r="C2024" s="15">
        <v>42577</v>
      </c>
      <c r="D2024" s="16">
        <v>0.27430555555555552</v>
      </c>
      <c r="E2024" s="14">
        <v>130</v>
      </c>
      <c r="F2024" s="14">
        <v>3</v>
      </c>
      <c r="G2024" s="17">
        <v>0.30704400428012535</v>
      </c>
      <c r="H2024" s="1" t="s">
        <v>143</v>
      </c>
      <c r="I2024" s="14"/>
    </row>
    <row r="2025" spans="1:9" x14ac:dyDescent="0.25">
      <c r="A2025" s="14">
        <v>2016</v>
      </c>
      <c r="B2025" s="14">
        <v>208</v>
      </c>
      <c r="C2025" s="15">
        <v>42577</v>
      </c>
      <c r="D2025" s="16">
        <v>0.28055555555555556</v>
      </c>
      <c r="E2025" s="14">
        <v>130</v>
      </c>
      <c r="F2025" s="14">
        <v>4</v>
      </c>
      <c r="G2025" s="17">
        <v>0.30556470189596174</v>
      </c>
      <c r="H2025" s="1" t="s">
        <v>143</v>
      </c>
      <c r="I2025" s="14"/>
    </row>
    <row r="2026" spans="1:9" x14ac:dyDescent="0.25">
      <c r="A2026" s="14">
        <v>2016</v>
      </c>
      <c r="B2026" s="14">
        <v>208</v>
      </c>
      <c r="C2026" s="15">
        <v>42577</v>
      </c>
      <c r="D2026" s="16">
        <v>0.28819444444444448</v>
      </c>
      <c r="E2026" s="14">
        <v>130</v>
      </c>
      <c r="F2026" s="14">
        <v>5</v>
      </c>
      <c r="G2026" s="17">
        <v>0.31076172474558894</v>
      </c>
      <c r="H2026" s="1" t="s">
        <v>0</v>
      </c>
      <c r="I2026" s="14"/>
    </row>
    <row r="2027" spans="1:9" x14ac:dyDescent="0.25">
      <c r="A2027" s="14">
        <v>2016</v>
      </c>
      <c r="B2027" s="14">
        <v>208</v>
      </c>
      <c r="C2027" s="15">
        <v>42577</v>
      </c>
      <c r="D2027" s="16">
        <v>0.29166666666666669</v>
      </c>
      <c r="E2027" s="14">
        <v>130</v>
      </c>
      <c r="F2027" s="14">
        <v>6</v>
      </c>
      <c r="G2027" s="17">
        <v>0.30231412955181297</v>
      </c>
      <c r="H2027" s="1" t="s">
        <v>0</v>
      </c>
      <c r="I2027" s="14"/>
    </row>
    <row r="2028" spans="1:9" x14ac:dyDescent="0.25">
      <c r="A2028" s="14">
        <v>2016</v>
      </c>
      <c r="B2028" s="14">
        <v>208</v>
      </c>
      <c r="C2028" s="15">
        <v>42577</v>
      </c>
      <c r="D2028" s="16">
        <v>0.30555555555555552</v>
      </c>
      <c r="E2028" s="14">
        <v>130</v>
      </c>
      <c r="F2028" s="14">
        <v>7</v>
      </c>
      <c r="G2028" s="17">
        <v>0.31130673088712285</v>
      </c>
      <c r="H2028" s="1" t="s">
        <v>143</v>
      </c>
      <c r="I2028" s="14"/>
    </row>
    <row r="2029" spans="1:9" x14ac:dyDescent="0.25">
      <c r="A2029" s="14">
        <v>2016</v>
      </c>
      <c r="B2029" s="14">
        <v>208</v>
      </c>
      <c r="C2029" s="15">
        <v>42577</v>
      </c>
      <c r="D2029" s="16">
        <v>0.30624999999999997</v>
      </c>
      <c r="E2029" s="14">
        <v>130</v>
      </c>
      <c r="F2029" s="14">
        <v>8</v>
      </c>
      <c r="G2029" s="17">
        <v>0.34317012566180333</v>
      </c>
      <c r="H2029" s="1" t="s">
        <v>143</v>
      </c>
      <c r="I2029" s="14"/>
    </row>
    <row r="2030" spans="1:9" x14ac:dyDescent="0.25">
      <c r="A2030" s="14">
        <v>2016</v>
      </c>
      <c r="B2030" s="14">
        <v>208</v>
      </c>
      <c r="C2030" s="15">
        <v>42577</v>
      </c>
      <c r="D2030" s="16">
        <v>0.31319444444444444</v>
      </c>
      <c r="E2030" s="14">
        <v>130</v>
      </c>
      <c r="F2030" s="14">
        <v>9</v>
      </c>
      <c r="G2030" s="17">
        <v>0.30583720496672873</v>
      </c>
      <c r="H2030" s="1" t="s">
        <v>143</v>
      </c>
      <c r="I2030" s="14"/>
    </row>
    <row r="2031" spans="1:9" x14ac:dyDescent="0.25">
      <c r="A2031" s="14">
        <v>2016</v>
      </c>
      <c r="B2031" s="14">
        <v>208</v>
      </c>
      <c r="C2031" s="15">
        <v>42577</v>
      </c>
      <c r="D2031" s="16">
        <v>0.31944444444444448</v>
      </c>
      <c r="E2031" s="14">
        <v>130</v>
      </c>
      <c r="F2031" s="14">
        <v>10</v>
      </c>
      <c r="G2031" s="17">
        <v>0.31650375373675005</v>
      </c>
      <c r="H2031" s="1" t="s">
        <v>143</v>
      </c>
      <c r="I2031" s="14"/>
    </row>
    <row r="2032" spans="1:9" x14ac:dyDescent="0.25">
      <c r="A2032" s="14">
        <v>2016</v>
      </c>
      <c r="B2032" s="14">
        <v>208</v>
      </c>
      <c r="C2032" s="15">
        <v>42577</v>
      </c>
      <c r="D2032" s="16">
        <v>0.3888888888888889</v>
      </c>
      <c r="E2032" s="14">
        <v>130</v>
      </c>
      <c r="F2032" s="14">
        <v>11</v>
      </c>
      <c r="G2032" s="17">
        <v>0.30708293329023489</v>
      </c>
      <c r="H2032" s="1" t="s">
        <v>144</v>
      </c>
      <c r="I2032" s="14"/>
    </row>
    <row r="2033" spans="1:9" x14ac:dyDescent="0.25">
      <c r="A2033" s="14">
        <v>2016</v>
      </c>
      <c r="B2033" s="14">
        <v>208</v>
      </c>
      <c r="C2033" s="15">
        <v>42577</v>
      </c>
      <c r="D2033" s="16">
        <v>0.40277777777777773</v>
      </c>
      <c r="E2033" s="14">
        <v>130</v>
      </c>
      <c r="F2033" s="14">
        <v>12</v>
      </c>
      <c r="G2033" s="17">
        <v>0.29943338280370502</v>
      </c>
      <c r="H2033" s="1" t="s">
        <v>144</v>
      </c>
      <c r="I2033" s="14"/>
    </row>
    <row r="2034" spans="1:9" x14ac:dyDescent="0.25">
      <c r="A2034" s="14">
        <v>2016</v>
      </c>
      <c r="B2034" s="14">
        <v>208</v>
      </c>
      <c r="C2034" s="15">
        <v>42577</v>
      </c>
      <c r="D2034" s="16">
        <v>0.41180555555555554</v>
      </c>
      <c r="E2034" s="14">
        <v>130</v>
      </c>
      <c r="F2034" s="14">
        <v>13</v>
      </c>
      <c r="G2034" s="17">
        <v>0.31307800084710818</v>
      </c>
      <c r="H2034" s="1" t="s">
        <v>144</v>
      </c>
      <c r="I2034" s="14"/>
    </row>
    <row r="2035" spans="1:9" x14ac:dyDescent="0.25">
      <c r="A2035" s="14">
        <v>2016</v>
      </c>
      <c r="B2035" s="14">
        <v>208</v>
      </c>
      <c r="C2035" s="15">
        <v>42577</v>
      </c>
      <c r="D2035" s="16">
        <v>0.38194444444444442</v>
      </c>
      <c r="E2035" s="14">
        <v>130</v>
      </c>
      <c r="F2035" s="14">
        <v>14</v>
      </c>
      <c r="G2035" s="17">
        <v>0.3120853110893142</v>
      </c>
      <c r="H2035" s="1" t="s">
        <v>144</v>
      </c>
      <c r="I2035" s="14"/>
    </row>
    <row r="2036" spans="1:9" x14ac:dyDescent="0.25">
      <c r="A2036" s="14">
        <v>2016</v>
      </c>
      <c r="B2036" s="14">
        <v>208</v>
      </c>
      <c r="C2036" s="15">
        <v>42577</v>
      </c>
      <c r="D2036" s="16">
        <v>0.41944444444444445</v>
      </c>
      <c r="E2036" s="14">
        <v>130</v>
      </c>
      <c r="F2036" s="14">
        <v>15</v>
      </c>
      <c r="G2036" s="17">
        <v>0.30141876231929293</v>
      </c>
      <c r="H2036" s="1" t="s">
        <v>1</v>
      </c>
      <c r="I2036" s="14"/>
    </row>
    <row r="2037" spans="1:9" x14ac:dyDescent="0.25">
      <c r="A2037" s="14">
        <v>2016</v>
      </c>
      <c r="B2037" s="14">
        <v>208</v>
      </c>
      <c r="C2037" s="15">
        <v>42577</v>
      </c>
      <c r="D2037" s="16">
        <v>0.42499999999999999</v>
      </c>
      <c r="E2037" s="14">
        <v>130</v>
      </c>
      <c r="F2037" s="14">
        <v>16</v>
      </c>
      <c r="G2037" s="17">
        <v>0.29754532581339105</v>
      </c>
      <c r="H2037" s="1" t="s">
        <v>1</v>
      </c>
      <c r="I2037" s="14"/>
    </row>
    <row r="2038" spans="1:9" x14ac:dyDescent="0.25">
      <c r="A2038" s="14">
        <v>2016</v>
      </c>
      <c r="B2038" s="14">
        <v>208</v>
      </c>
      <c r="C2038" s="15">
        <v>42577</v>
      </c>
      <c r="D2038" s="16">
        <v>0.43402777777777773</v>
      </c>
      <c r="E2038" s="14">
        <v>130</v>
      </c>
      <c r="F2038" s="14">
        <v>17</v>
      </c>
      <c r="G2038" s="17">
        <v>0.31078118925064374</v>
      </c>
      <c r="H2038" s="1" t="s">
        <v>144</v>
      </c>
      <c r="I2038" s="14"/>
    </row>
    <row r="2039" spans="1:9" x14ac:dyDescent="0.25">
      <c r="A2039" s="14">
        <v>2016</v>
      </c>
      <c r="B2039" s="14">
        <v>208</v>
      </c>
      <c r="C2039" s="15">
        <v>42577</v>
      </c>
      <c r="D2039" s="16">
        <v>0.37847222222222227</v>
      </c>
      <c r="E2039" s="14">
        <v>130</v>
      </c>
      <c r="F2039" s="14">
        <v>18</v>
      </c>
      <c r="G2039" s="17">
        <v>0.3069466817548514</v>
      </c>
      <c r="H2039" s="1" t="s">
        <v>144</v>
      </c>
      <c r="I2039" s="14"/>
    </row>
    <row r="2040" spans="1:9" x14ac:dyDescent="0.25">
      <c r="A2040" s="14">
        <v>2016</v>
      </c>
      <c r="B2040" s="14">
        <v>208</v>
      </c>
      <c r="C2040" s="15">
        <v>42577</v>
      </c>
      <c r="D2040" s="16">
        <v>0.37152777777777773</v>
      </c>
      <c r="E2040" s="14">
        <v>130</v>
      </c>
      <c r="F2040" s="14">
        <v>19</v>
      </c>
      <c r="G2040" s="17">
        <v>0.30307324524894952</v>
      </c>
      <c r="H2040" s="1" t="s">
        <v>144</v>
      </c>
      <c r="I2040" s="14"/>
    </row>
    <row r="2041" spans="1:9" x14ac:dyDescent="0.25">
      <c r="A2041" s="14">
        <v>2016</v>
      </c>
      <c r="B2041" s="14">
        <v>208</v>
      </c>
      <c r="C2041" s="15">
        <v>42577</v>
      </c>
      <c r="D2041" s="16">
        <v>0.35486111111111113</v>
      </c>
      <c r="E2041" s="14">
        <v>130</v>
      </c>
      <c r="F2041" s="14">
        <v>20</v>
      </c>
      <c r="G2041" s="17">
        <v>0.29435314698440657</v>
      </c>
      <c r="H2041" s="1" t="s">
        <v>144</v>
      </c>
      <c r="I2041" s="14"/>
    </row>
    <row r="2042" spans="1:9" x14ac:dyDescent="0.25">
      <c r="A2042" s="14">
        <v>2016</v>
      </c>
      <c r="B2042" s="14">
        <v>208</v>
      </c>
      <c r="C2042" s="15">
        <v>42577</v>
      </c>
      <c r="D2042" s="16">
        <v>0.25763888888888892</v>
      </c>
      <c r="E2042" s="14">
        <v>110</v>
      </c>
      <c r="F2042" s="14">
        <v>1</v>
      </c>
      <c r="G2042" s="17">
        <v>0.34245262721669251</v>
      </c>
      <c r="H2042" s="1" t="s">
        <v>143</v>
      </c>
      <c r="I2042" s="14"/>
    </row>
    <row r="2043" spans="1:9" x14ac:dyDescent="0.25">
      <c r="A2043" s="14">
        <v>2016</v>
      </c>
      <c r="B2043" s="14">
        <v>208</v>
      </c>
      <c r="C2043" s="15">
        <v>42577</v>
      </c>
      <c r="D2043" s="16">
        <v>0.26458333333333334</v>
      </c>
      <c r="E2043" s="14">
        <v>110</v>
      </c>
      <c r="F2043" s="14">
        <v>2</v>
      </c>
      <c r="G2043" s="17">
        <v>0.33475879759688804</v>
      </c>
      <c r="H2043" s="1" t="s">
        <v>143</v>
      </c>
      <c r="I2043" s="14"/>
    </row>
    <row r="2044" spans="1:9" x14ac:dyDescent="0.25">
      <c r="A2044" s="14">
        <v>2016</v>
      </c>
      <c r="B2044" s="14">
        <v>208</v>
      </c>
      <c r="C2044" s="15">
        <v>42577</v>
      </c>
      <c r="D2044" s="16">
        <v>0.27430555555555552</v>
      </c>
      <c r="E2044" s="14">
        <v>110</v>
      </c>
      <c r="F2044" s="14">
        <v>3</v>
      </c>
      <c r="G2044" s="17">
        <v>0.32310356165498177</v>
      </c>
      <c r="H2044" s="1" t="s">
        <v>143</v>
      </c>
      <c r="I2044" s="14"/>
    </row>
    <row r="2045" spans="1:9" x14ac:dyDescent="0.25">
      <c r="A2045" s="14">
        <v>2016</v>
      </c>
      <c r="B2045" s="14">
        <v>208</v>
      </c>
      <c r="C2045" s="15">
        <v>42577</v>
      </c>
      <c r="D2045" s="16">
        <v>0.28055555555555556</v>
      </c>
      <c r="E2045" s="14">
        <v>110</v>
      </c>
      <c r="F2045" s="14">
        <v>4</v>
      </c>
      <c r="G2045" s="17">
        <v>0.33984222073854453</v>
      </c>
      <c r="H2045" s="1" t="s">
        <v>143</v>
      </c>
      <c r="I2045" s="14"/>
    </row>
    <row r="2046" spans="1:9" x14ac:dyDescent="0.25">
      <c r="A2046" s="14">
        <v>2016</v>
      </c>
      <c r="B2046" s="14">
        <v>208</v>
      </c>
      <c r="C2046" s="15">
        <v>42577</v>
      </c>
      <c r="D2046" s="16">
        <v>0.28819444444444448</v>
      </c>
      <c r="E2046" s="14">
        <v>110</v>
      </c>
      <c r="F2046" s="14">
        <v>5</v>
      </c>
      <c r="G2046" s="17">
        <v>0.32191284992810726</v>
      </c>
      <c r="H2046" s="1" t="s">
        <v>0</v>
      </c>
      <c r="I2046" s="14"/>
    </row>
    <row r="2047" spans="1:9" x14ac:dyDescent="0.25">
      <c r="A2047" s="14">
        <v>2016</v>
      </c>
      <c r="B2047" s="14">
        <v>208</v>
      </c>
      <c r="C2047" s="15">
        <v>42577</v>
      </c>
      <c r="D2047" s="16">
        <v>0.29166666666666669</v>
      </c>
      <c r="E2047" s="14">
        <v>110</v>
      </c>
      <c r="F2047" s="14">
        <v>6</v>
      </c>
      <c r="G2047" s="17">
        <v>0.30657098729337812</v>
      </c>
      <c r="H2047" s="1" t="s">
        <v>0</v>
      </c>
      <c r="I2047" s="14"/>
    </row>
    <row r="2048" spans="1:9" x14ac:dyDescent="0.25">
      <c r="A2048" s="14">
        <v>2016</v>
      </c>
      <c r="B2048" s="14">
        <v>208</v>
      </c>
      <c r="C2048" s="15">
        <v>42577</v>
      </c>
      <c r="D2048" s="16">
        <v>0.30555555555555552</v>
      </c>
      <c r="E2048" s="14">
        <v>110</v>
      </c>
      <c r="F2048" s="14">
        <v>7</v>
      </c>
      <c r="G2048" s="17">
        <v>0.33791876333359344</v>
      </c>
      <c r="H2048" s="1" t="s">
        <v>143</v>
      </c>
      <c r="I2048" s="14"/>
    </row>
    <row r="2049" spans="1:9" x14ac:dyDescent="0.25">
      <c r="A2049" s="14">
        <v>2016</v>
      </c>
      <c r="B2049" s="14">
        <v>208</v>
      </c>
      <c r="C2049" s="15">
        <v>42577</v>
      </c>
      <c r="D2049" s="16">
        <v>0.30624999999999997</v>
      </c>
      <c r="E2049" s="14">
        <v>110</v>
      </c>
      <c r="F2049" s="14">
        <v>8</v>
      </c>
      <c r="G2049" s="17">
        <v>0.33654486518719973</v>
      </c>
      <c r="H2049" s="1" t="s">
        <v>143</v>
      </c>
      <c r="I2049" s="14"/>
    </row>
    <row r="2050" spans="1:9" x14ac:dyDescent="0.25">
      <c r="A2050" s="14">
        <v>2016</v>
      </c>
      <c r="B2050" s="14">
        <v>208</v>
      </c>
      <c r="C2050" s="15">
        <v>42577</v>
      </c>
      <c r="D2050" s="16">
        <v>0.31319444444444444</v>
      </c>
      <c r="E2050" s="14">
        <v>110</v>
      </c>
      <c r="F2050" s="14">
        <v>9</v>
      </c>
      <c r="G2050" s="17">
        <v>0.32672149344048512</v>
      </c>
      <c r="H2050" s="1" t="s">
        <v>143</v>
      </c>
      <c r="I2050" s="14"/>
    </row>
    <row r="2051" spans="1:9" x14ac:dyDescent="0.25">
      <c r="A2051" s="14">
        <v>2016</v>
      </c>
      <c r="B2051" s="14">
        <v>208</v>
      </c>
      <c r="C2051" s="15">
        <v>42577</v>
      </c>
      <c r="D2051" s="16">
        <v>0.31944444444444448</v>
      </c>
      <c r="E2051" s="14">
        <v>110</v>
      </c>
      <c r="F2051" s="14">
        <v>10</v>
      </c>
      <c r="G2051" s="17">
        <v>0.33485039080664758</v>
      </c>
      <c r="H2051" s="1" t="s">
        <v>143</v>
      </c>
      <c r="I2051" s="14"/>
    </row>
    <row r="2052" spans="1:9" x14ac:dyDescent="0.25">
      <c r="A2052" s="14">
        <v>2016</v>
      </c>
      <c r="B2052" s="14">
        <v>208</v>
      </c>
      <c r="C2052" s="15">
        <v>42577</v>
      </c>
      <c r="D2052" s="16">
        <v>0.3888888888888889</v>
      </c>
      <c r="E2052" s="14">
        <v>110</v>
      </c>
      <c r="F2052" s="14">
        <v>11</v>
      </c>
      <c r="G2052" s="17">
        <v>0.31884447740116145</v>
      </c>
      <c r="H2052" s="1" t="s">
        <v>144</v>
      </c>
      <c r="I2052" s="14"/>
    </row>
    <row r="2053" spans="1:9" x14ac:dyDescent="0.25">
      <c r="A2053" s="14">
        <v>2016</v>
      </c>
      <c r="B2053" s="14">
        <v>208</v>
      </c>
      <c r="C2053" s="15">
        <v>42577</v>
      </c>
      <c r="D2053" s="16">
        <v>0.40277777777777773</v>
      </c>
      <c r="E2053" s="14">
        <v>110</v>
      </c>
      <c r="F2053" s="14">
        <v>12</v>
      </c>
      <c r="G2053" s="17">
        <v>0.33615559404572154</v>
      </c>
      <c r="H2053" s="1" t="s">
        <v>144</v>
      </c>
      <c r="I2053" s="14"/>
    </row>
    <row r="2054" spans="1:9" x14ac:dyDescent="0.25">
      <c r="A2054" s="14">
        <v>2016</v>
      </c>
      <c r="B2054" s="14">
        <v>208</v>
      </c>
      <c r="C2054" s="15">
        <v>42577</v>
      </c>
      <c r="D2054" s="16">
        <v>0.41180555555555554</v>
      </c>
      <c r="E2054" s="14">
        <v>110</v>
      </c>
      <c r="F2054" s="14">
        <v>13</v>
      </c>
      <c r="G2054" s="17">
        <v>0.32878234066007561</v>
      </c>
      <c r="H2054" s="1" t="s">
        <v>144</v>
      </c>
      <c r="I2054" s="14"/>
    </row>
    <row r="2055" spans="1:9" x14ac:dyDescent="0.25">
      <c r="A2055" s="14">
        <v>2016</v>
      </c>
      <c r="B2055" s="14">
        <v>208</v>
      </c>
      <c r="C2055" s="15">
        <v>42577</v>
      </c>
      <c r="D2055" s="16">
        <v>0.38194444444444442</v>
      </c>
      <c r="E2055" s="14">
        <v>110</v>
      </c>
      <c r="F2055" s="14">
        <v>14</v>
      </c>
      <c r="G2055" s="17">
        <v>0.32466064622089458</v>
      </c>
      <c r="H2055" s="1" t="s">
        <v>144</v>
      </c>
      <c r="I2055" s="14"/>
    </row>
    <row r="2056" spans="1:9" x14ac:dyDescent="0.25">
      <c r="A2056" s="14">
        <v>2016</v>
      </c>
      <c r="B2056" s="14">
        <v>208</v>
      </c>
      <c r="C2056" s="15">
        <v>42577</v>
      </c>
      <c r="D2056" s="16">
        <v>0.41944444444444445</v>
      </c>
      <c r="E2056" s="14">
        <v>110</v>
      </c>
      <c r="F2056" s="14">
        <v>15</v>
      </c>
      <c r="G2056" s="17">
        <v>0.31080717324475854</v>
      </c>
      <c r="H2056" s="1" t="s">
        <v>1</v>
      </c>
      <c r="I2056" s="14"/>
    </row>
    <row r="2057" spans="1:9" x14ac:dyDescent="0.25">
      <c r="A2057" s="14">
        <v>2016</v>
      </c>
      <c r="B2057" s="14">
        <v>208</v>
      </c>
      <c r="C2057" s="15">
        <v>42577</v>
      </c>
      <c r="D2057" s="16">
        <v>0.42499999999999999</v>
      </c>
      <c r="E2057" s="14">
        <v>110</v>
      </c>
      <c r="F2057" s="14">
        <v>16</v>
      </c>
      <c r="G2057" s="17">
        <v>0.31449379993758153</v>
      </c>
      <c r="H2057" s="1" t="s">
        <v>1</v>
      </c>
      <c r="I2057" s="14"/>
    </row>
    <row r="2058" spans="1:9" x14ac:dyDescent="0.25">
      <c r="A2058" s="14">
        <v>2016</v>
      </c>
      <c r="B2058" s="14">
        <v>208</v>
      </c>
      <c r="C2058" s="15">
        <v>42577</v>
      </c>
      <c r="D2058" s="16">
        <v>0.43402777777777773</v>
      </c>
      <c r="E2058" s="14">
        <v>110</v>
      </c>
      <c r="F2058" s="14">
        <v>17</v>
      </c>
      <c r="G2058" s="17">
        <v>0.3359266110213226</v>
      </c>
      <c r="H2058" s="1" t="s">
        <v>144</v>
      </c>
      <c r="I2058" s="14"/>
    </row>
    <row r="2059" spans="1:9" x14ac:dyDescent="0.25">
      <c r="A2059" s="14">
        <v>2016</v>
      </c>
      <c r="B2059" s="14">
        <v>208</v>
      </c>
      <c r="C2059" s="15">
        <v>42577</v>
      </c>
      <c r="D2059" s="16">
        <v>0.37847222222222227</v>
      </c>
      <c r="E2059" s="14">
        <v>110</v>
      </c>
      <c r="F2059" s="14">
        <v>18</v>
      </c>
      <c r="G2059" s="17">
        <v>0.33045391673818786</v>
      </c>
      <c r="H2059" s="1" t="s">
        <v>144</v>
      </c>
      <c r="I2059" s="14"/>
    </row>
    <row r="2060" spans="1:9" x14ac:dyDescent="0.25">
      <c r="A2060" s="14">
        <v>2016</v>
      </c>
      <c r="B2060" s="14">
        <v>208</v>
      </c>
      <c r="C2060" s="15">
        <v>42577</v>
      </c>
      <c r="D2060" s="16">
        <v>0.37152777777777773</v>
      </c>
      <c r="E2060" s="14">
        <v>110</v>
      </c>
      <c r="F2060" s="14">
        <v>19</v>
      </c>
      <c r="G2060" s="17">
        <v>0.3323315775382592</v>
      </c>
      <c r="H2060" s="1" t="s">
        <v>144</v>
      </c>
      <c r="I2060" s="14"/>
    </row>
    <row r="2061" spans="1:9" x14ac:dyDescent="0.25">
      <c r="A2061" s="14">
        <v>2016</v>
      </c>
      <c r="B2061" s="14">
        <v>208</v>
      </c>
      <c r="C2061" s="15">
        <v>42577</v>
      </c>
      <c r="D2061" s="16">
        <v>0.35486111111111113</v>
      </c>
      <c r="E2061" s="14">
        <v>110</v>
      </c>
      <c r="F2061" s="14">
        <v>20</v>
      </c>
      <c r="G2061" s="17">
        <v>0.32637801890388668</v>
      </c>
      <c r="H2061" s="1" t="s">
        <v>144</v>
      </c>
      <c r="I2061" s="14"/>
    </row>
    <row r="2062" spans="1:9" x14ac:dyDescent="0.25">
      <c r="A2062" s="14">
        <v>2016</v>
      </c>
      <c r="B2062" s="14">
        <v>208</v>
      </c>
      <c r="C2062" s="15">
        <v>42577</v>
      </c>
      <c r="D2062" s="16">
        <v>0.25763888888888892</v>
      </c>
      <c r="E2062" s="14">
        <v>90</v>
      </c>
      <c r="F2062" s="14">
        <v>1</v>
      </c>
      <c r="G2062" s="17">
        <v>0.32230212106958545</v>
      </c>
      <c r="H2062" s="1" t="s">
        <v>143</v>
      </c>
      <c r="I2062" s="14"/>
    </row>
    <row r="2063" spans="1:9" x14ac:dyDescent="0.25">
      <c r="A2063" s="14">
        <v>2016</v>
      </c>
      <c r="B2063" s="14">
        <v>208</v>
      </c>
      <c r="C2063" s="15">
        <v>42577</v>
      </c>
      <c r="D2063" s="16">
        <v>0.26458333333333334</v>
      </c>
      <c r="E2063" s="14">
        <v>90</v>
      </c>
      <c r="F2063" s="14">
        <v>2</v>
      </c>
      <c r="G2063" s="17">
        <v>0.33679674651403863</v>
      </c>
      <c r="H2063" s="1" t="s">
        <v>143</v>
      </c>
      <c r="I2063" s="14"/>
    </row>
    <row r="2064" spans="1:9" x14ac:dyDescent="0.25">
      <c r="A2064" s="14">
        <v>2016</v>
      </c>
      <c r="B2064" s="14">
        <v>208</v>
      </c>
      <c r="C2064" s="15">
        <v>42577</v>
      </c>
      <c r="D2064" s="16">
        <v>0.27430555555555552</v>
      </c>
      <c r="E2064" s="14">
        <v>90</v>
      </c>
      <c r="F2064" s="14">
        <v>3</v>
      </c>
      <c r="G2064" s="17">
        <v>0.32404239205501745</v>
      </c>
      <c r="H2064" s="1" t="s">
        <v>143</v>
      </c>
      <c r="I2064" s="14"/>
    </row>
    <row r="2065" spans="1:9" x14ac:dyDescent="0.25">
      <c r="A2065" s="14">
        <v>2016</v>
      </c>
      <c r="B2065" s="14">
        <v>208</v>
      </c>
      <c r="C2065" s="15">
        <v>42577</v>
      </c>
      <c r="D2065" s="16">
        <v>0.28055555555555556</v>
      </c>
      <c r="E2065" s="14">
        <v>90</v>
      </c>
      <c r="F2065" s="14">
        <v>4</v>
      </c>
      <c r="G2065" s="17">
        <v>0.32266849390862379</v>
      </c>
      <c r="H2065" s="1" t="s">
        <v>143</v>
      </c>
      <c r="I2065" s="14"/>
    </row>
    <row r="2066" spans="1:9" x14ac:dyDescent="0.25">
      <c r="A2066" s="14">
        <v>2016</v>
      </c>
      <c r="B2066" s="14">
        <v>208</v>
      </c>
      <c r="C2066" s="15">
        <v>42577</v>
      </c>
      <c r="D2066" s="16">
        <v>0.28819444444444448</v>
      </c>
      <c r="E2066" s="14">
        <v>90</v>
      </c>
      <c r="F2066" s="14">
        <v>5</v>
      </c>
      <c r="G2066" s="17">
        <v>0.29370214132215744</v>
      </c>
      <c r="H2066" s="1" t="s">
        <v>0</v>
      </c>
      <c r="I2066" s="14"/>
    </row>
    <row r="2067" spans="1:9" x14ac:dyDescent="0.25">
      <c r="A2067" s="14">
        <v>2016</v>
      </c>
      <c r="B2067" s="14">
        <v>208</v>
      </c>
      <c r="C2067" s="15">
        <v>42577</v>
      </c>
      <c r="D2067" s="16">
        <v>0.29166666666666669</v>
      </c>
      <c r="E2067" s="14">
        <v>90</v>
      </c>
      <c r="F2067" s="14">
        <v>6</v>
      </c>
      <c r="G2067" s="17">
        <v>0.2796654819265022</v>
      </c>
      <c r="H2067" s="1" t="s">
        <v>0</v>
      </c>
      <c r="I2067" s="14"/>
    </row>
    <row r="2068" spans="1:9" x14ac:dyDescent="0.25">
      <c r="A2068" s="14">
        <v>2016</v>
      </c>
      <c r="B2068" s="14">
        <v>208</v>
      </c>
      <c r="C2068" s="15">
        <v>42577</v>
      </c>
      <c r="D2068" s="16">
        <v>0.30555555555555552</v>
      </c>
      <c r="E2068" s="14">
        <v>90</v>
      </c>
      <c r="F2068" s="14">
        <v>7</v>
      </c>
      <c r="G2068" s="17">
        <v>0.327614527235641</v>
      </c>
      <c r="H2068" s="1" t="s">
        <v>143</v>
      </c>
      <c r="I2068" s="14"/>
    </row>
    <row r="2069" spans="1:9" x14ac:dyDescent="0.25">
      <c r="A2069" s="14">
        <v>2016</v>
      </c>
      <c r="B2069" s="14">
        <v>208</v>
      </c>
      <c r="C2069" s="15">
        <v>42577</v>
      </c>
      <c r="D2069" s="16">
        <v>0.30624999999999997</v>
      </c>
      <c r="E2069" s="14">
        <v>90</v>
      </c>
      <c r="F2069" s="14">
        <v>8</v>
      </c>
      <c r="G2069" s="17">
        <v>0.3238821039379382</v>
      </c>
      <c r="H2069" s="1" t="s">
        <v>143</v>
      </c>
      <c r="I2069" s="14"/>
    </row>
    <row r="2070" spans="1:9" x14ac:dyDescent="0.25">
      <c r="A2070" s="14">
        <v>2016</v>
      </c>
      <c r="B2070" s="14">
        <v>208</v>
      </c>
      <c r="C2070" s="15">
        <v>42577</v>
      </c>
      <c r="D2070" s="16">
        <v>0.31319444444444444</v>
      </c>
      <c r="E2070" s="14">
        <v>90</v>
      </c>
      <c r="F2070" s="14">
        <v>9</v>
      </c>
      <c r="G2070" s="17">
        <v>0.30437275025914823</v>
      </c>
      <c r="H2070" s="1" t="s">
        <v>143</v>
      </c>
      <c r="I2070" s="14"/>
    </row>
    <row r="2071" spans="1:9" x14ac:dyDescent="0.25">
      <c r="A2071" s="14">
        <v>2016</v>
      </c>
      <c r="B2071" s="14">
        <v>208</v>
      </c>
      <c r="C2071" s="15">
        <v>42577</v>
      </c>
      <c r="D2071" s="16">
        <v>0.31944444444444448</v>
      </c>
      <c r="E2071" s="14">
        <v>90</v>
      </c>
      <c r="F2071" s="14">
        <v>10</v>
      </c>
      <c r="G2071" s="17">
        <v>0.33556023818228431</v>
      </c>
      <c r="H2071" s="1" t="s">
        <v>143</v>
      </c>
      <c r="I2071" s="14"/>
    </row>
    <row r="2072" spans="1:9" x14ac:dyDescent="0.25">
      <c r="A2072" s="14">
        <v>2016</v>
      </c>
      <c r="B2072" s="14">
        <v>208</v>
      </c>
      <c r="C2072" s="15">
        <v>42577</v>
      </c>
      <c r="D2072" s="16">
        <v>0.3888888888888889</v>
      </c>
      <c r="E2072" s="14">
        <v>90</v>
      </c>
      <c r="F2072" s="14">
        <v>11</v>
      </c>
      <c r="G2072" s="17">
        <v>0.31099035966427768</v>
      </c>
      <c r="H2072" s="1" t="s">
        <v>144</v>
      </c>
      <c r="I2072" s="14"/>
    </row>
    <row r="2073" spans="1:9" x14ac:dyDescent="0.25">
      <c r="A2073" s="14">
        <v>2016</v>
      </c>
      <c r="B2073" s="14">
        <v>208</v>
      </c>
      <c r="C2073" s="15">
        <v>42577</v>
      </c>
      <c r="D2073" s="16">
        <v>0.40277777777777773</v>
      </c>
      <c r="E2073" s="14">
        <v>90</v>
      </c>
      <c r="F2073" s="14">
        <v>12</v>
      </c>
      <c r="G2073" s="17">
        <v>0.32104271443539134</v>
      </c>
      <c r="H2073" s="1" t="s">
        <v>144</v>
      </c>
      <c r="I2073" s="14"/>
    </row>
    <row r="2074" spans="1:9" x14ac:dyDescent="0.25">
      <c r="A2074" s="14">
        <v>2016</v>
      </c>
      <c r="B2074" s="14">
        <v>208</v>
      </c>
      <c r="C2074" s="15">
        <v>42577</v>
      </c>
      <c r="D2074" s="16">
        <v>0.41180555555555554</v>
      </c>
      <c r="E2074" s="14">
        <v>90</v>
      </c>
      <c r="F2074" s="14">
        <v>13</v>
      </c>
      <c r="G2074" s="17">
        <v>0.31282222385946923</v>
      </c>
      <c r="H2074" s="1" t="s">
        <v>144</v>
      </c>
      <c r="I2074" s="14"/>
    </row>
    <row r="2075" spans="1:9" x14ac:dyDescent="0.25">
      <c r="A2075" s="14">
        <v>2016</v>
      </c>
      <c r="B2075" s="14">
        <v>208</v>
      </c>
      <c r="C2075" s="15">
        <v>42577</v>
      </c>
      <c r="D2075" s="16">
        <v>0.38194444444444442</v>
      </c>
      <c r="E2075" s="14">
        <v>90</v>
      </c>
      <c r="F2075" s="14">
        <v>14</v>
      </c>
      <c r="G2075" s="17">
        <v>0.31284512216190913</v>
      </c>
      <c r="H2075" s="1" t="s">
        <v>144</v>
      </c>
      <c r="I2075" s="14"/>
    </row>
    <row r="2076" spans="1:9" x14ac:dyDescent="0.25">
      <c r="A2076" s="14">
        <v>2016</v>
      </c>
      <c r="B2076" s="14">
        <v>208</v>
      </c>
      <c r="C2076" s="15">
        <v>42577</v>
      </c>
      <c r="D2076" s="16">
        <v>0.41944444444444445</v>
      </c>
      <c r="E2076" s="14">
        <v>90</v>
      </c>
      <c r="F2076" s="14">
        <v>15</v>
      </c>
      <c r="G2076" s="17">
        <v>0.27208614381889723</v>
      </c>
      <c r="H2076" s="1" t="s">
        <v>1</v>
      </c>
      <c r="I2076" s="14"/>
    </row>
    <row r="2077" spans="1:9" x14ac:dyDescent="0.25">
      <c r="A2077" s="14">
        <v>2016</v>
      </c>
      <c r="B2077" s="14">
        <v>208</v>
      </c>
      <c r="C2077" s="15">
        <v>42577</v>
      </c>
      <c r="D2077" s="16">
        <v>0.42499999999999999</v>
      </c>
      <c r="E2077" s="14">
        <v>90</v>
      </c>
      <c r="F2077" s="14">
        <v>16</v>
      </c>
      <c r="G2077" s="17">
        <v>0.29539661570270964</v>
      </c>
      <c r="H2077" s="1" t="s">
        <v>1</v>
      </c>
      <c r="I2077" s="14"/>
    </row>
    <row r="2078" spans="1:9" x14ac:dyDescent="0.25">
      <c r="A2078" s="14">
        <v>2016</v>
      </c>
      <c r="B2078" s="14">
        <v>208</v>
      </c>
      <c r="C2078" s="15">
        <v>42577</v>
      </c>
      <c r="D2078" s="16">
        <v>0.43402777777777773</v>
      </c>
      <c r="E2078" s="14">
        <v>90</v>
      </c>
      <c r="F2078" s="14">
        <v>17</v>
      </c>
      <c r="G2078" s="17">
        <v>0.32800379837711918</v>
      </c>
      <c r="H2078" s="1" t="s">
        <v>144</v>
      </c>
      <c r="I2078" s="14"/>
    </row>
    <row r="2079" spans="1:9" x14ac:dyDescent="0.25">
      <c r="A2079" s="14">
        <v>2016</v>
      </c>
      <c r="B2079" s="14">
        <v>208</v>
      </c>
      <c r="C2079" s="15">
        <v>42577</v>
      </c>
      <c r="D2079" s="16">
        <v>0.37847222222222227</v>
      </c>
      <c r="E2079" s="14">
        <v>90</v>
      </c>
      <c r="F2079" s="14">
        <v>18</v>
      </c>
      <c r="G2079" s="17">
        <v>0.3153410371278576</v>
      </c>
      <c r="H2079" s="1" t="s">
        <v>144</v>
      </c>
      <c r="I2079" s="14"/>
    </row>
    <row r="2080" spans="1:9" x14ac:dyDescent="0.25">
      <c r="A2080" s="14">
        <v>2016</v>
      </c>
      <c r="B2080" s="14">
        <v>208</v>
      </c>
      <c r="C2080" s="15">
        <v>42577</v>
      </c>
      <c r="D2080" s="16">
        <v>0.37152777777777773</v>
      </c>
      <c r="E2080" s="14">
        <v>90</v>
      </c>
      <c r="F2080" s="14">
        <v>19</v>
      </c>
      <c r="G2080" s="17">
        <v>0.30183103868831995</v>
      </c>
      <c r="H2080" s="1" t="s">
        <v>144</v>
      </c>
      <c r="I2080" s="14"/>
    </row>
    <row r="2081" spans="1:9" x14ac:dyDescent="0.25">
      <c r="A2081" s="14">
        <v>2016</v>
      </c>
      <c r="B2081" s="14">
        <v>208</v>
      </c>
      <c r="C2081" s="15">
        <v>42577</v>
      </c>
      <c r="D2081" s="16">
        <v>0.35486111111111113</v>
      </c>
      <c r="E2081" s="14">
        <v>90</v>
      </c>
      <c r="F2081" s="14">
        <v>20</v>
      </c>
      <c r="G2081" s="17">
        <v>0.31005152926424207</v>
      </c>
      <c r="H2081" s="1" t="s">
        <v>144</v>
      </c>
      <c r="I2081" s="14"/>
    </row>
    <row r="2082" spans="1:9" x14ac:dyDescent="0.25">
      <c r="A2082" s="14">
        <v>2016</v>
      </c>
      <c r="B2082" s="14">
        <v>208</v>
      </c>
      <c r="C2082" s="15">
        <v>42577</v>
      </c>
      <c r="D2082" s="16">
        <v>0.25763888888888892</v>
      </c>
      <c r="E2082" s="14">
        <v>70</v>
      </c>
      <c r="F2082" s="14">
        <v>1</v>
      </c>
      <c r="G2082" s="17">
        <v>0.31513495240589856</v>
      </c>
      <c r="H2082" s="1" t="s">
        <v>143</v>
      </c>
      <c r="I2082" s="14"/>
    </row>
    <row r="2083" spans="1:9" x14ac:dyDescent="0.25">
      <c r="A2083" s="14">
        <v>2016</v>
      </c>
      <c r="B2083" s="14">
        <v>208</v>
      </c>
      <c r="C2083" s="15">
        <v>42577</v>
      </c>
      <c r="D2083" s="16">
        <v>0.26458333333333334</v>
      </c>
      <c r="E2083" s="14">
        <v>70</v>
      </c>
      <c r="F2083" s="14">
        <v>2</v>
      </c>
      <c r="G2083" s="17">
        <v>0.33185071318702142</v>
      </c>
      <c r="H2083" s="1" t="s">
        <v>143</v>
      </c>
      <c r="I2083" s="14"/>
    </row>
    <row r="2084" spans="1:9" x14ac:dyDescent="0.25">
      <c r="A2084" s="14">
        <v>2016</v>
      </c>
      <c r="B2084" s="14">
        <v>208</v>
      </c>
      <c r="C2084" s="15">
        <v>42577</v>
      </c>
      <c r="D2084" s="16">
        <v>0.27430555555555552</v>
      </c>
      <c r="E2084" s="14">
        <v>70</v>
      </c>
      <c r="F2084" s="14">
        <v>3</v>
      </c>
      <c r="G2084" s="17">
        <v>0.31176890194723411</v>
      </c>
      <c r="H2084" s="1" t="s">
        <v>143</v>
      </c>
      <c r="I2084" s="14"/>
    </row>
    <row r="2085" spans="1:9" x14ac:dyDescent="0.25">
      <c r="A2085" s="14">
        <v>2016</v>
      </c>
      <c r="B2085" s="14">
        <v>208</v>
      </c>
      <c r="C2085" s="15">
        <v>42577</v>
      </c>
      <c r="D2085" s="16">
        <v>0.28055555555555556</v>
      </c>
      <c r="E2085" s="14">
        <v>70</v>
      </c>
      <c r="F2085" s="14">
        <v>4</v>
      </c>
      <c r="G2085" s="17">
        <v>0.30947907170324462</v>
      </c>
      <c r="H2085" s="1" t="s">
        <v>143</v>
      </c>
      <c r="I2085" s="14"/>
    </row>
    <row r="2086" spans="1:9" x14ac:dyDescent="0.25">
      <c r="A2086" s="14">
        <v>2016</v>
      </c>
      <c r="B2086" s="14">
        <v>208</v>
      </c>
      <c r="C2086" s="15">
        <v>42577</v>
      </c>
      <c r="D2086" s="16">
        <v>0.28819444444444448</v>
      </c>
      <c r="E2086" s="14">
        <v>70</v>
      </c>
      <c r="F2086" s="14">
        <v>5</v>
      </c>
      <c r="G2086" s="17">
        <v>0.28287124426808746</v>
      </c>
      <c r="H2086" s="1" t="s">
        <v>0</v>
      </c>
      <c r="I2086" s="14"/>
    </row>
    <row r="2087" spans="1:9" x14ac:dyDescent="0.25">
      <c r="A2087" s="14">
        <v>2016</v>
      </c>
      <c r="B2087" s="14">
        <v>208</v>
      </c>
      <c r="C2087" s="15">
        <v>42577</v>
      </c>
      <c r="D2087" s="16">
        <v>0.29166666666666669</v>
      </c>
      <c r="E2087" s="14">
        <v>70</v>
      </c>
      <c r="F2087" s="14">
        <v>6</v>
      </c>
      <c r="G2087" s="17">
        <v>0.2814057529119342</v>
      </c>
      <c r="H2087" s="1" t="s">
        <v>0</v>
      </c>
      <c r="I2087" s="14"/>
    </row>
    <row r="2088" spans="1:9" x14ac:dyDescent="0.25">
      <c r="A2088" s="14">
        <v>2016</v>
      </c>
      <c r="B2088" s="14">
        <v>208</v>
      </c>
      <c r="C2088" s="15">
        <v>42577</v>
      </c>
      <c r="D2088" s="16">
        <v>0.30555555555555552</v>
      </c>
      <c r="E2088" s="14">
        <v>70</v>
      </c>
      <c r="F2088" s="14">
        <v>7</v>
      </c>
      <c r="G2088" s="17">
        <v>0.32239371427934504</v>
      </c>
      <c r="H2088" s="1" t="s">
        <v>143</v>
      </c>
      <c r="I2088" s="14"/>
    </row>
    <row r="2089" spans="1:9" x14ac:dyDescent="0.25">
      <c r="A2089" s="14">
        <v>2016</v>
      </c>
      <c r="B2089" s="14">
        <v>208</v>
      </c>
      <c r="C2089" s="15">
        <v>42577</v>
      </c>
      <c r="D2089" s="16">
        <v>0.30624999999999997</v>
      </c>
      <c r="E2089" s="14">
        <v>70</v>
      </c>
      <c r="F2089" s="14">
        <v>8</v>
      </c>
      <c r="G2089" s="17">
        <v>0.30407507232742959</v>
      </c>
      <c r="H2089" s="1" t="s">
        <v>143</v>
      </c>
      <c r="I2089" s="14"/>
    </row>
    <row r="2090" spans="1:9" x14ac:dyDescent="0.25">
      <c r="A2090" s="14">
        <v>2016</v>
      </c>
      <c r="B2090" s="14">
        <v>208</v>
      </c>
      <c r="C2090" s="15">
        <v>42577</v>
      </c>
      <c r="D2090" s="16">
        <v>0.31319444444444444</v>
      </c>
      <c r="E2090" s="14">
        <v>70</v>
      </c>
      <c r="F2090" s="14">
        <v>9</v>
      </c>
      <c r="G2090" s="17">
        <v>0.28500078639499765</v>
      </c>
      <c r="H2090" s="1" t="s">
        <v>143</v>
      </c>
      <c r="I2090" s="14"/>
    </row>
    <row r="2091" spans="1:9" x14ac:dyDescent="0.25">
      <c r="A2091" s="14">
        <v>2016</v>
      </c>
      <c r="B2091" s="14">
        <v>208</v>
      </c>
      <c r="C2091" s="15">
        <v>42577</v>
      </c>
      <c r="D2091" s="16">
        <v>0.31944444444444448</v>
      </c>
      <c r="E2091" s="14">
        <v>70</v>
      </c>
      <c r="F2091" s="14">
        <v>10</v>
      </c>
      <c r="G2091" s="17">
        <v>0.33567472969448381</v>
      </c>
      <c r="H2091" s="1" t="s">
        <v>143</v>
      </c>
      <c r="I2091" s="14"/>
    </row>
    <row r="2092" spans="1:9" x14ac:dyDescent="0.25">
      <c r="A2092" s="14">
        <v>2016</v>
      </c>
      <c r="B2092" s="14">
        <v>208</v>
      </c>
      <c r="C2092" s="15">
        <v>42577</v>
      </c>
      <c r="D2092" s="16">
        <v>0.3888888888888889</v>
      </c>
      <c r="E2092" s="14">
        <v>70</v>
      </c>
      <c r="F2092" s="14">
        <v>11</v>
      </c>
      <c r="G2092" s="17">
        <v>0.30505969933234506</v>
      </c>
      <c r="H2092" s="1" t="s">
        <v>144</v>
      </c>
      <c r="I2092" s="14"/>
    </row>
    <row r="2093" spans="1:9" x14ac:dyDescent="0.25">
      <c r="A2093" s="14">
        <v>2016</v>
      </c>
      <c r="B2093" s="14">
        <v>208</v>
      </c>
      <c r="C2093" s="15">
        <v>42577</v>
      </c>
      <c r="D2093" s="16">
        <v>0.40277777777777773</v>
      </c>
      <c r="E2093" s="14">
        <v>70</v>
      </c>
      <c r="F2093" s="14">
        <v>12</v>
      </c>
      <c r="G2093" s="17">
        <v>0.3052657840543041</v>
      </c>
      <c r="H2093" s="1" t="s">
        <v>144</v>
      </c>
      <c r="I2093" s="14"/>
    </row>
    <row r="2094" spans="1:9" x14ac:dyDescent="0.25">
      <c r="A2094" s="14">
        <v>2016</v>
      </c>
      <c r="B2094" s="14">
        <v>208</v>
      </c>
      <c r="C2094" s="15">
        <v>42577</v>
      </c>
      <c r="D2094" s="16">
        <v>0.41180555555555554</v>
      </c>
      <c r="E2094" s="14">
        <v>70</v>
      </c>
      <c r="F2094" s="14">
        <v>13</v>
      </c>
      <c r="G2094" s="17">
        <v>0.29180158221964625</v>
      </c>
      <c r="H2094" s="1" t="s">
        <v>144</v>
      </c>
      <c r="I2094" s="14"/>
    </row>
    <row r="2095" spans="1:9" x14ac:dyDescent="0.25">
      <c r="A2095" s="14">
        <v>2016</v>
      </c>
      <c r="B2095" s="14">
        <v>208</v>
      </c>
      <c r="C2095" s="15">
        <v>42577</v>
      </c>
      <c r="D2095" s="16">
        <v>0.38194444444444442</v>
      </c>
      <c r="E2095" s="14">
        <v>70</v>
      </c>
      <c r="F2095" s="14">
        <v>14</v>
      </c>
      <c r="G2095" s="17">
        <v>0.30563215689334239</v>
      </c>
      <c r="H2095" s="1" t="s">
        <v>144</v>
      </c>
      <c r="I2095" s="14"/>
    </row>
    <row r="2096" spans="1:9" x14ac:dyDescent="0.25">
      <c r="A2096" s="14">
        <v>2016</v>
      </c>
      <c r="B2096" s="14">
        <v>208</v>
      </c>
      <c r="C2096" s="15">
        <v>42577</v>
      </c>
      <c r="D2096" s="16">
        <v>0.41944444444444445</v>
      </c>
      <c r="E2096" s="14">
        <v>70</v>
      </c>
      <c r="F2096" s="14">
        <v>15</v>
      </c>
      <c r="G2096" s="17">
        <v>0.26533114459912838</v>
      </c>
      <c r="H2096" s="1" t="s">
        <v>1</v>
      </c>
      <c r="I2096" s="14"/>
    </row>
    <row r="2097" spans="1:9" x14ac:dyDescent="0.25">
      <c r="A2097" s="14">
        <v>2016</v>
      </c>
      <c r="B2097" s="14">
        <v>208</v>
      </c>
      <c r="C2097" s="15">
        <v>42577</v>
      </c>
      <c r="D2097" s="16">
        <v>0.42499999999999999</v>
      </c>
      <c r="E2097" s="14">
        <v>70</v>
      </c>
      <c r="F2097" s="14">
        <v>16</v>
      </c>
      <c r="G2097" s="17">
        <v>0.27952809211186291</v>
      </c>
      <c r="H2097" s="1" t="s">
        <v>1</v>
      </c>
      <c r="I2097" s="14"/>
    </row>
    <row r="2098" spans="1:9" x14ac:dyDescent="0.25">
      <c r="A2098" s="14">
        <v>2016</v>
      </c>
      <c r="B2098" s="14">
        <v>208</v>
      </c>
      <c r="C2098" s="15">
        <v>42577</v>
      </c>
      <c r="D2098" s="16">
        <v>0.43402777777777773</v>
      </c>
      <c r="E2098" s="14">
        <v>70</v>
      </c>
      <c r="F2098" s="14">
        <v>17</v>
      </c>
      <c r="G2098" s="17">
        <v>0.31277642725458943</v>
      </c>
      <c r="H2098" s="1" t="s">
        <v>144</v>
      </c>
      <c r="I2098" s="14"/>
    </row>
    <row r="2099" spans="1:9" x14ac:dyDescent="0.25">
      <c r="A2099" s="14">
        <v>2016</v>
      </c>
      <c r="B2099" s="14">
        <v>208</v>
      </c>
      <c r="C2099" s="15">
        <v>42577</v>
      </c>
      <c r="D2099" s="16">
        <v>0.37847222222222227</v>
      </c>
      <c r="E2099" s="14">
        <v>70</v>
      </c>
      <c r="F2099" s="14">
        <v>18</v>
      </c>
      <c r="G2099" s="17">
        <v>0.29173288731232655</v>
      </c>
      <c r="H2099" s="1" t="s">
        <v>144</v>
      </c>
      <c r="I2099" s="14"/>
    </row>
    <row r="2100" spans="1:9" x14ac:dyDescent="0.25">
      <c r="A2100" s="14">
        <v>2016</v>
      </c>
      <c r="B2100" s="14">
        <v>208</v>
      </c>
      <c r="C2100" s="15">
        <v>42577</v>
      </c>
      <c r="D2100" s="16">
        <v>0.37152777777777773</v>
      </c>
      <c r="E2100" s="14">
        <v>70</v>
      </c>
      <c r="F2100" s="14">
        <v>19</v>
      </c>
      <c r="G2100" s="17">
        <v>0.28465731185839921</v>
      </c>
      <c r="H2100" s="1" t="s">
        <v>144</v>
      </c>
      <c r="I2100" s="14"/>
    </row>
    <row r="2101" spans="1:9" x14ac:dyDescent="0.25">
      <c r="A2101" s="14">
        <v>2016</v>
      </c>
      <c r="B2101" s="14">
        <v>208</v>
      </c>
      <c r="C2101" s="15">
        <v>42577</v>
      </c>
      <c r="D2101" s="16">
        <v>0.35486111111111113</v>
      </c>
      <c r="E2101" s="14">
        <v>70</v>
      </c>
      <c r="F2101" s="14">
        <v>20</v>
      </c>
      <c r="G2101" s="17">
        <v>0.29864817464917465</v>
      </c>
      <c r="H2101" s="1" t="s">
        <v>144</v>
      </c>
      <c r="I2101" s="14"/>
    </row>
    <row r="2102" spans="1:9" x14ac:dyDescent="0.25">
      <c r="A2102" s="14">
        <v>2016</v>
      </c>
      <c r="B2102" s="14">
        <v>208</v>
      </c>
      <c r="C2102" s="15">
        <v>42577</v>
      </c>
      <c r="D2102" s="16">
        <v>0.25763888888888892</v>
      </c>
      <c r="E2102" s="14">
        <v>50</v>
      </c>
      <c r="F2102" s="14">
        <v>1</v>
      </c>
      <c r="G2102" s="17">
        <v>0.30954776661056438</v>
      </c>
      <c r="H2102" s="1" t="s">
        <v>143</v>
      </c>
      <c r="I2102" s="14"/>
    </row>
    <row r="2103" spans="1:9" x14ac:dyDescent="0.25">
      <c r="A2103" s="14">
        <v>2016</v>
      </c>
      <c r="B2103" s="14">
        <v>208</v>
      </c>
      <c r="C2103" s="15">
        <v>42577</v>
      </c>
      <c r="D2103" s="16">
        <v>0.26458333333333334</v>
      </c>
      <c r="E2103" s="14">
        <v>50</v>
      </c>
      <c r="F2103" s="14">
        <v>2</v>
      </c>
      <c r="G2103" s="17">
        <v>0.32681308665024467</v>
      </c>
      <c r="H2103" s="1" t="s">
        <v>143</v>
      </c>
      <c r="I2103" s="14"/>
    </row>
    <row r="2104" spans="1:9" x14ac:dyDescent="0.25">
      <c r="A2104" s="14">
        <v>2016</v>
      </c>
      <c r="B2104" s="14">
        <v>208</v>
      </c>
      <c r="C2104" s="15">
        <v>42577</v>
      </c>
      <c r="D2104" s="16">
        <v>0.27430555555555552</v>
      </c>
      <c r="E2104" s="14">
        <v>50</v>
      </c>
      <c r="F2104" s="14">
        <v>3</v>
      </c>
      <c r="G2104" s="17">
        <v>0.30908980056176644</v>
      </c>
      <c r="H2104" s="1" t="s">
        <v>143</v>
      </c>
      <c r="I2104" s="14"/>
    </row>
    <row r="2105" spans="1:9" x14ac:dyDescent="0.25">
      <c r="A2105" s="14">
        <v>2016</v>
      </c>
      <c r="B2105" s="14">
        <v>208</v>
      </c>
      <c r="C2105" s="15">
        <v>42577</v>
      </c>
      <c r="D2105" s="16">
        <v>0.28055555555555556</v>
      </c>
      <c r="E2105" s="14">
        <v>50</v>
      </c>
      <c r="F2105" s="14">
        <v>4</v>
      </c>
      <c r="G2105" s="17">
        <v>0.302037123410279</v>
      </c>
      <c r="H2105" s="1" t="s">
        <v>143</v>
      </c>
      <c r="I2105" s="14"/>
    </row>
    <row r="2106" spans="1:9" x14ac:dyDescent="0.25">
      <c r="A2106" s="14">
        <v>2016</v>
      </c>
      <c r="B2106" s="14">
        <v>208</v>
      </c>
      <c r="C2106" s="15">
        <v>42577</v>
      </c>
      <c r="D2106" s="16">
        <v>0.28819444444444448</v>
      </c>
      <c r="E2106" s="14">
        <v>50</v>
      </c>
      <c r="F2106" s="14">
        <v>5</v>
      </c>
      <c r="G2106" s="17">
        <v>0.28369558315592364</v>
      </c>
      <c r="H2106" s="1" t="s">
        <v>0</v>
      </c>
      <c r="I2106" s="14"/>
    </row>
    <row r="2107" spans="1:9" x14ac:dyDescent="0.25">
      <c r="A2107" s="14">
        <v>2016</v>
      </c>
      <c r="B2107" s="14">
        <v>208</v>
      </c>
      <c r="C2107" s="15">
        <v>42577</v>
      </c>
      <c r="D2107" s="16">
        <v>0.29166666666666669</v>
      </c>
      <c r="E2107" s="14">
        <v>50</v>
      </c>
      <c r="F2107" s="14">
        <v>6</v>
      </c>
      <c r="G2107" s="17">
        <v>0.28048982081433843</v>
      </c>
      <c r="H2107" s="1" t="s">
        <v>0</v>
      </c>
      <c r="I2107" s="14"/>
    </row>
    <row r="2108" spans="1:9" x14ac:dyDescent="0.25">
      <c r="A2108" s="14">
        <v>2016</v>
      </c>
      <c r="B2108" s="14">
        <v>208</v>
      </c>
      <c r="C2108" s="15">
        <v>42577</v>
      </c>
      <c r="D2108" s="16">
        <v>0.30555555555555552</v>
      </c>
      <c r="E2108" s="14">
        <v>50</v>
      </c>
      <c r="F2108" s="14">
        <v>7</v>
      </c>
      <c r="G2108" s="17">
        <v>0.31192919006431336</v>
      </c>
      <c r="H2108" s="1" t="s">
        <v>143</v>
      </c>
      <c r="I2108" s="14"/>
    </row>
    <row r="2109" spans="1:9" x14ac:dyDescent="0.25">
      <c r="A2109" s="14">
        <v>2016</v>
      </c>
      <c r="B2109" s="14">
        <v>208</v>
      </c>
      <c r="C2109" s="15">
        <v>42577</v>
      </c>
      <c r="D2109" s="16">
        <v>0.30624999999999997</v>
      </c>
      <c r="E2109" s="14">
        <v>50</v>
      </c>
      <c r="F2109" s="14">
        <v>8</v>
      </c>
      <c r="G2109" s="17">
        <v>0.29551110721490914</v>
      </c>
      <c r="H2109" s="1" t="s">
        <v>143</v>
      </c>
      <c r="I2109" s="14"/>
    </row>
    <row r="2110" spans="1:9" x14ac:dyDescent="0.25">
      <c r="A2110" s="14">
        <v>2016</v>
      </c>
      <c r="B2110" s="14">
        <v>208</v>
      </c>
      <c r="C2110" s="15">
        <v>42577</v>
      </c>
      <c r="D2110" s="16">
        <v>0.31319444444444444</v>
      </c>
      <c r="E2110" s="14">
        <v>50</v>
      </c>
      <c r="F2110" s="14">
        <v>9</v>
      </c>
      <c r="G2110" s="17">
        <v>0.29161839580012711</v>
      </c>
      <c r="H2110" s="1" t="s">
        <v>143</v>
      </c>
      <c r="I2110" s="14"/>
    </row>
    <row r="2111" spans="1:9" x14ac:dyDescent="0.25">
      <c r="A2111" s="14">
        <v>2016</v>
      </c>
      <c r="B2111" s="14">
        <v>208</v>
      </c>
      <c r="C2111" s="15">
        <v>42577</v>
      </c>
      <c r="D2111" s="16">
        <v>0.31944444444444448</v>
      </c>
      <c r="E2111" s="14">
        <v>50</v>
      </c>
      <c r="F2111" s="14">
        <v>10</v>
      </c>
      <c r="G2111" s="17">
        <v>0.33331620454317468</v>
      </c>
      <c r="H2111" s="1" t="s">
        <v>143</v>
      </c>
      <c r="I2111" s="14"/>
    </row>
    <row r="2112" spans="1:9" x14ac:dyDescent="0.25">
      <c r="A2112" s="14">
        <v>2016</v>
      </c>
      <c r="B2112" s="14">
        <v>208</v>
      </c>
      <c r="C2112" s="15">
        <v>42577</v>
      </c>
      <c r="D2112" s="16">
        <v>0.3888888888888889</v>
      </c>
      <c r="E2112" s="14">
        <v>50</v>
      </c>
      <c r="F2112" s="14">
        <v>11</v>
      </c>
      <c r="G2112" s="17">
        <v>0.30515129254210466</v>
      </c>
      <c r="H2112" s="1" t="s">
        <v>144</v>
      </c>
      <c r="I2112" s="14"/>
    </row>
    <row r="2113" spans="1:9" x14ac:dyDescent="0.25">
      <c r="A2113" s="14">
        <v>2016</v>
      </c>
      <c r="B2113" s="14">
        <v>208</v>
      </c>
      <c r="C2113" s="15">
        <v>42577</v>
      </c>
      <c r="D2113" s="16">
        <v>0.40277777777777773</v>
      </c>
      <c r="E2113" s="14">
        <v>50</v>
      </c>
      <c r="F2113" s="14">
        <v>12</v>
      </c>
      <c r="G2113" s="17">
        <v>0.30874632602516805</v>
      </c>
      <c r="H2113" s="1" t="s">
        <v>144</v>
      </c>
      <c r="I2113" s="14"/>
    </row>
    <row r="2114" spans="1:9" x14ac:dyDescent="0.25">
      <c r="A2114" s="14">
        <v>2016</v>
      </c>
      <c r="B2114" s="14">
        <v>208</v>
      </c>
      <c r="C2114" s="15">
        <v>42577</v>
      </c>
      <c r="D2114" s="16">
        <v>0.41180555555555554</v>
      </c>
      <c r="E2114" s="14">
        <v>50</v>
      </c>
      <c r="F2114" s="14">
        <v>13</v>
      </c>
      <c r="G2114" s="17">
        <v>0.27492553332144415</v>
      </c>
      <c r="H2114" s="1" t="s">
        <v>144</v>
      </c>
      <c r="I2114" s="14"/>
    </row>
    <row r="2115" spans="1:9" x14ac:dyDescent="0.25">
      <c r="A2115" s="14">
        <v>2016</v>
      </c>
      <c r="B2115" s="14">
        <v>208</v>
      </c>
      <c r="C2115" s="15">
        <v>42577</v>
      </c>
      <c r="D2115" s="16">
        <v>0.38194444444444442</v>
      </c>
      <c r="E2115" s="14">
        <v>50</v>
      </c>
      <c r="F2115" s="14">
        <v>14</v>
      </c>
      <c r="G2115" s="17">
        <v>0.28133705800461456</v>
      </c>
      <c r="H2115" s="1" t="s">
        <v>144</v>
      </c>
      <c r="I2115" s="14"/>
    </row>
    <row r="2116" spans="1:9" x14ac:dyDescent="0.25">
      <c r="A2116" s="14">
        <v>2016</v>
      </c>
      <c r="B2116" s="14">
        <v>208</v>
      </c>
      <c r="C2116" s="15">
        <v>42577</v>
      </c>
      <c r="D2116" s="16">
        <v>0.41944444444444445</v>
      </c>
      <c r="E2116" s="14">
        <v>50</v>
      </c>
      <c r="F2116" s="14">
        <v>15</v>
      </c>
      <c r="G2116" s="17">
        <v>0.27904722776062507</v>
      </c>
      <c r="H2116" s="1" t="s">
        <v>1</v>
      </c>
      <c r="I2116" s="14"/>
    </row>
    <row r="2117" spans="1:9" x14ac:dyDescent="0.25">
      <c r="A2117" s="14">
        <v>2016</v>
      </c>
      <c r="B2117" s="14">
        <v>208</v>
      </c>
      <c r="C2117" s="15">
        <v>42577</v>
      </c>
      <c r="D2117" s="16">
        <v>0.42499999999999999</v>
      </c>
      <c r="E2117" s="14">
        <v>50</v>
      </c>
      <c r="F2117" s="14">
        <v>16</v>
      </c>
      <c r="G2117" s="17">
        <v>0.28310022729248635</v>
      </c>
      <c r="H2117" s="1" t="s">
        <v>1</v>
      </c>
      <c r="I2117" s="14"/>
    </row>
    <row r="2118" spans="1:9" x14ac:dyDescent="0.25">
      <c r="A2118" s="14">
        <v>2016</v>
      </c>
      <c r="B2118" s="14">
        <v>208</v>
      </c>
      <c r="C2118" s="15">
        <v>42577</v>
      </c>
      <c r="D2118" s="16">
        <v>0.43402777777777773</v>
      </c>
      <c r="E2118" s="14">
        <v>50</v>
      </c>
      <c r="F2118" s="14">
        <v>17</v>
      </c>
      <c r="G2118" s="17">
        <v>0.31831781644504387</v>
      </c>
      <c r="H2118" s="1" t="s">
        <v>144</v>
      </c>
      <c r="I2118" s="14"/>
    </row>
    <row r="2119" spans="1:9" x14ac:dyDescent="0.25">
      <c r="A2119" s="14">
        <v>2016</v>
      </c>
      <c r="B2119" s="14">
        <v>208</v>
      </c>
      <c r="C2119" s="15">
        <v>42577</v>
      </c>
      <c r="D2119" s="16">
        <v>0.37847222222222227</v>
      </c>
      <c r="E2119" s="14">
        <v>50</v>
      </c>
      <c r="F2119" s="14">
        <v>18</v>
      </c>
      <c r="G2119" s="17">
        <v>0.30050293714680609</v>
      </c>
      <c r="H2119" s="1" t="s">
        <v>144</v>
      </c>
      <c r="I2119" s="14"/>
    </row>
    <row r="2120" spans="1:9" x14ac:dyDescent="0.25">
      <c r="A2120" s="14">
        <v>2016</v>
      </c>
      <c r="B2120" s="14">
        <v>208</v>
      </c>
      <c r="C2120" s="15">
        <v>42577</v>
      </c>
      <c r="D2120" s="16">
        <v>0.37152777777777773</v>
      </c>
      <c r="E2120" s="14">
        <v>50</v>
      </c>
      <c r="F2120" s="14">
        <v>19</v>
      </c>
      <c r="G2120" s="17">
        <v>0.29986178467848906</v>
      </c>
      <c r="H2120" s="1" t="s">
        <v>144</v>
      </c>
      <c r="I2120" s="14"/>
    </row>
    <row r="2121" spans="1:9" x14ac:dyDescent="0.25">
      <c r="A2121" s="14">
        <v>2016</v>
      </c>
      <c r="B2121" s="14">
        <v>208</v>
      </c>
      <c r="C2121" s="15">
        <v>42577</v>
      </c>
      <c r="D2121" s="16">
        <v>0.35486111111111113</v>
      </c>
      <c r="E2121" s="14">
        <v>50</v>
      </c>
      <c r="F2121" s="14">
        <v>20</v>
      </c>
      <c r="G2121" s="17">
        <v>0.31696681660109011</v>
      </c>
      <c r="H2121" s="1" t="s">
        <v>144</v>
      </c>
      <c r="I2121" s="14"/>
    </row>
    <row r="2122" spans="1:9" x14ac:dyDescent="0.25">
      <c r="A2122" s="14">
        <v>2016</v>
      </c>
      <c r="B2122" s="14">
        <v>208</v>
      </c>
      <c r="C2122" s="15">
        <v>42577</v>
      </c>
      <c r="D2122" s="16">
        <v>0.25763888888888892</v>
      </c>
      <c r="E2122" s="14">
        <v>30</v>
      </c>
      <c r="F2122" s="14">
        <v>1</v>
      </c>
      <c r="G2122" s="17">
        <v>0.24733307888137146</v>
      </c>
      <c r="H2122" s="1" t="s">
        <v>143</v>
      </c>
      <c r="I2122" s="14"/>
    </row>
    <row r="2123" spans="1:9" x14ac:dyDescent="0.25">
      <c r="A2123" s="14">
        <v>2016</v>
      </c>
      <c r="B2123" s="14">
        <v>208</v>
      </c>
      <c r="C2123" s="15">
        <v>42577</v>
      </c>
      <c r="D2123" s="16">
        <v>0.26458333333333334</v>
      </c>
      <c r="E2123" s="14">
        <v>30</v>
      </c>
      <c r="F2123" s="14">
        <v>2</v>
      </c>
      <c r="G2123" s="17">
        <v>0.27222353363353657</v>
      </c>
      <c r="H2123" s="1" t="s">
        <v>143</v>
      </c>
      <c r="I2123" s="14"/>
    </row>
    <row r="2124" spans="1:9" x14ac:dyDescent="0.25">
      <c r="A2124" s="14">
        <v>2016</v>
      </c>
      <c r="B2124" s="14">
        <v>208</v>
      </c>
      <c r="C2124" s="15">
        <v>42577</v>
      </c>
      <c r="D2124" s="16">
        <v>0.27430555555555552</v>
      </c>
      <c r="E2124" s="14">
        <v>30</v>
      </c>
      <c r="F2124" s="14">
        <v>3</v>
      </c>
      <c r="G2124" s="17">
        <v>0.24506614693982187</v>
      </c>
      <c r="H2124" s="1" t="s">
        <v>143</v>
      </c>
      <c r="I2124" s="14"/>
    </row>
    <row r="2125" spans="1:9" x14ac:dyDescent="0.25">
      <c r="A2125" s="14">
        <v>2016</v>
      </c>
      <c r="B2125" s="14">
        <v>208</v>
      </c>
      <c r="C2125" s="15">
        <v>42577</v>
      </c>
      <c r="D2125" s="16">
        <v>0.28055555555555556</v>
      </c>
      <c r="E2125" s="14">
        <v>30</v>
      </c>
      <c r="F2125" s="14">
        <v>4</v>
      </c>
      <c r="G2125" s="17">
        <v>0.25044724801319707</v>
      </c>
      <c r="H2125" s="1" t="s">
        <v>143</v>
      </c>
      <c r="I2125" s="14"/>
    </row>
    <row r="2126" spans="1:9" x14ac:dyDescent="0.25">
      <c r="A2126" s="14">
        <v>2016</v>
      </c>
      <c r="B2126" s="14">
        <v>208</v>
      </c>
      <c r="C2126" s="15">
        <v>42577</v>
      </c>
      <c r="D2126" s="16">
        <v>0.28819444444444448</v>
      </c>
      <c r="E2126" s="14">
        <v>30</v>
      </c>
      <c r="F2126" s="14">
        <v>5</v>
      </c>
      <c r="G2126" s="17">
        <v>0.26716300879431992</v>
      </c>
      <c r="H2126" s="1" t="s">
        <v>0</v>
      </c>
      <c r="I2126" s="14"/>
    </row>
    <row r="2127" spans="1:9" x14ac:dyDescent="0.25">
      <c r="A2127" s="14">
        <v>2016</v>
      </c>
      <c r="B2127" s="14">
        <v>208</v>
      </c>
      <c r="C2127" s="15">
        <v>42577</v>
      </c>
      <c r="D2127" s="16">
        <v>0.29166666666666669</v>
      </c>
      <c r="E2127" s="14">
        <v>30</v>
      </c>
      <c r="F2127" s="14">
        <v>6</v>
      </c>
      <c r="G2127" s="17">
        <v>0.26187350093070433</v>
      </c>
      <c r="H2127" s="1" t="s">
        <v>0</v>
      </c>
      <c r="I2127" s="14"/>
    </row>
    <row r="2128" spans="1:9" x14ac:dyDescent="0.25">
      <c r="A2128" s="14">
        <v>2016</v>
      </c>
      <c r="B2128" s="14">
        <v>208</v>
      </c>
      <c r="C2128" s="15">
        <v>42577</v>
      </c>
      <c r="D2128" s="16">
        <v>0.30555555555555552</v>
      </c>
      <c r="E2128" s="14">
        <v>30</v>
      </c>
      <c r="F2128" s="14">
        <v>7</v>
      </c>
      <c r="G2128" s="17">
        <v>0.25665268797440843</v>
      </c>
      <c r="H2128" s="1" t="s">
        <v>143</v>
      </c>
      <c r="I2128" s="14"/>
    </row>
    <row r="2129" spans="1:9" x14ac:dyDescent="0.25">
      <c r="A2129" s="14">
        <v>2016</v>
      </c>
      <c r="B2129" s="14">
        <v>208</v>
      </c>
      <c r="C2129" s="15">
        <v>42577</v>
      </c>
      <c r="D2129" s="16">
        <v>0.30624999999999997</v>
      </c>
      <c r="E2129" s="14">
        <v>30</v>
      </c>
      <c r="F2129" s="14">
        <v>8</v>
      </c>
      <c r="G2129" s="17">
        <v>0.26166741620874528</v>
      </c>
      <c r="H2129" s="1" t="s">
        <v>143</v>
      </c>
      <c r="I2129" s="14"/>
    </row>
    <row r="2130" spans="1:9" x14ac:dyDescent="0.25">
      <c r="A2130" s="14">
        <v>2016</v>
      </c>
      <c r="B2130" s="14">
        <v>208</v>
      </c>
      <c r="C2130" s="15">
        <v>42577</v>
      </c>
      <c r="D2130" s="16">
        <v>0.31319444444444444</v>
      </c>
      <c r="E2130" s="14">
        <v>30</v>
      </c>
      <c r="F2130" s="14">
        <v>9</v>
      </c>
      <c r="G2130" s="17">
        <v>0.23276975852959864</v>
      </c>
      <c r="H2130" s="1" t="s">
        <v>143</v>
      </c>
      <c r="I2130" s="14"/>
    </row>
    <row r="2131" spans="1:9" x14ac:dyDescent="0.25">
      <c r="A2131" s="14">
        <v>2016</v>
      </c>
      <c r="B2131" s="14">
        <v>208</v>
      </c>
      <c r="C2131" s="15">
        <v>42577</v>
      </c>
      <c r="D2131" s="16">
        <v>0.31944444444444448</v>
      </c>
      <c r="E2131" s="14">
        <v>30</v>
      </c>
      <c r="F2131" s="14">
        <v>10</v>
      </c>
      <c r="G2131" s="17">
        <v>0.29129781956596856</v>
      </c>
      <c r="H2131" s="1" t="s">
        <v>143</v>
      </c>
      <c r="I2131" s="14"/>
    </row>
    <row r="2132" spans="1:9" x14ac:dyDescent="0.25">
      <c r="A2132" s="14">
        <v>2016</v>
      </c>
      <c r="B2132" s="14">
        <v>208</v>
      </c>
      <c r="C2132" s="15">
        <v>42577</v>
      </c>
      <c r="D2132" s="16">
        <v>0.3888888888888889</v>
      </c>
      <c r="E2132" s="14">
        <v>30</v>
      </c>
      <c r="F2132" s="14">
        <v>11</v>
      </c>
      <c r="G2132" s="17">
        <v>0.21987801425593817</v>
      </c>
      <c r="H2132" s="1" t="s">
        <v>144</v>
      </c>
      <c r="I2132" s="14"/>
    </row>
    <row r="2133" spans="1:9" x14ac:dyDescent="0.25">
      <c r="A2133" s="14">
        <v>2016</v>
      </c>
      <c r="B2133" s="14">
        <v>208</v>
      </c>
      <c r="C2133" s="15">
        <v>42577</v>
      </c>
      <c r="D2133" s="16">
        <v>0.40277777777777773</v>
      </c>
      <c r="E2133" s="14">
        <v>30</v>
      </c>
      <c r="F2133" s="14">
        <v>12</v>
      </c>
      <c r="G2133" s="17">
        <v>0.20238371119185883</v>
      </c>
      <c r="H2133" s="1" t="s">
        <v>144</v>
      </c>
      <c r="I2133" s="14"/>
    </row>
    <row r="2134" spans="1:9" x14ac:dyDescent="0.25">
      <c r="A2134" s="14">
        <v>2016</v>
      </c>
      <c r="B2134" s="14">
        <v>208</v>
      </c>
      <c r="C2134" s="15">
        <v>42577</v>
      </c>
      <c r="D2134" s="16">
        <v>0.41180555555555554</v>
      </c>
      <c r="E2134" s="14">
        <v>30</v>
      </c>
      <c r="F2134" s="14">
        <v>13</v>
      </c>
      <c r="G2134" s="17">
        <v>0.17302808746391435</v>
      </c>
      <c r="H2134" s="1" t="s">
        <v>144</v>
      </c>
      <c r="I2134" s="14"/>
    </row>
    <row r="2135" spans="1:9" x14ac:dyDescent="0.25">
      <c r="A2135" s="14">
        <v>2016</v>
      </c>
      <c r="B2135" s="14">
        <v>208</v>
      </c>
      <c r="C2135" s="15">
        <v>42577</v>
      </c>
      <c r="D2135" s="16">
        <v>0.38194444444444442</v>
      </c>
      <c r="E2135" s="14">
        <v>30</v>
      </c>
      <c r="F2135" s="14">
        <v>14</v>
      </c>
      <c r="G2135" s="17">
        <v>0.16583802049778751</v>
      </c>
      <c r="H2135" s="1" t="s">
        <v>144</v>
      </c>
      <c r="I2135" s="14"/>
    </row>
    <row r="2136" spans="1:9" x14ac:dyDescent="0.25">
      <c r="A2136" s="14">
        <v>2016</v>
      </c>
      <c r="B2136" s="14">
        <v>208</v>
      </c>
      <c r="C2136" s="15">
        <v>42577</v>
      </c>
      <c r="D2136" s="16">
        <v>0.41944444444444445</v>
      </c>
      <c r="E2136" s="14">
        <v>30</v>
      </c>
      <c r="F2136" s="14">
        <v>15</v>
      </c>
      <c r="G2136" s="17">
        <v>0.27272729628721426</v>
      </c>
      <c r="H2136" s="1" t="s">
        <v>1</v>
      </c>
      <c r="I2136" s="14"/>
    </row>
    <row r="2137" spans="1:9" x14ac:dyDescent="0.25">
      <c r="A2137" s="14">
        <v>2016</v>
      </c>
      <c r="B2137" s="14">
        <v>208</v>
      </c>
      <c r="C2137" s="15">
        <v>42577</v>
      </c>
      <c r="D2137" s="16">
        <v>0.42499999999999999</v>
      </c>
      <c r="E2137" s="14">
        <v>30</v>
      </c>
      <c r="F2137" s="14">
        <v>16</v>
      </c>
      <c r="G2137" s="17">
        <v>0.2695902288529487</v>
      </c>
      <c r="H2137" s="1" t="s">
        <v>1</v>
      </c>
      <c r="I2137" s="14"/>
    </row>
    <row r="2138" spans="1:9" x14ac:dyDescent="0.25">
      <c r="A2138" s="14">
        <v>2016</v>
      </c>
      <c r="B2138" s="14">
        <v>208</v>
      </c>
      <c r="C2138" s="15">
        <v>42577</v>
      </c>
      <c r="D2138" s="16">
        <v>0.43402777777777773</v>
      </c>
      <c r="E2138" s="14">
        <v>30</v>
      </c>
      <c r="F2138" s="14">
        <v>17</v>
      </c>
      <c r="G2138" s="17">
        <v>0.28293993917540711</v>
      </c>
      <c r="H2138" s="1" t="s">
        <v>144</v>
      </c>
      <c r="I2138" s="14"/>
    </row>
    <row r="2139" spans="1:9" x14ac:dyDescent="0.25">
      <c r="A2139" s="14">
        <v>2016</v>
      </c>
      <c r="B2139" s="14">
        <v>208</v>
      </c>
      <c r="C2139" s="15">
        <v>42577</v>
      </c>
      <c r="D2139" s="16">
        <v>0.37847222222222227</v>
      </c>
      <c r="E2139" s="14">
        <v>30</v>
      </c>
      <c r="F2139" s="14">
        <v>18</v>
      </c>
      <c r="G2139" s="17">
        <v>0.24921073968144275</v>
      </c>
      <c r="H2139" s="1" t="s">
        <v>144</v>
      </c>
      <c r="I2139" s="14"/>
    </row>
    <row r="2140" spans="1:9" x14ac:dyDescent="0.25">
      <c r="A2140" s="14">
        <v>2016</v>
      </c>
      <c r="B2140" s="14">
        <v>208</v>
      </c>
      <c r="C2140" s="15">
        <v>42577</v>
      </c>
      <c r="D2140" s="16">
        <v>0.37152777777777773</v>
      </c>
      <c r="E2140" s="14">
        <v>30</v>
      </c>
      <c r="F2140" s="14">
        <v>19</v>
      </c>
      <c r="G2140" s="17">
        <v>0.24213516422751541</v>
      </c>
      <c r="H2140" s="1" t="s">
        <v>144</v>
      </c>
      <c r="I2140" s="14"/>
    </row>
    <row r="2141" spans="1:9" x14ac:dyDescent="0.25">
      <c r="A2141" s="14">
        <v>2016</v>
      </c>
      <c r="B2141" s="14">
        <v>208</v>
      </c>
      <c r="C2141" s="15">
        <v>42577</v>
      </c>
      <c r="D2141" s="16">
        <v>0.35486111111111113</v>
      </c>
      <c r="E2141" s="14">
        <v>30</v>
      </c>
      <c r="F2141" s="14">
        <v>20</v>
      </c>
      <c r="G2141" s="17">
        <v>0.25278287486206624</v>
      </c>
      <c r="H2141" s="1" t="s">
        <v>144</v>
      </c>
      <c r="I2141" s="14"/>
    </row>
    <row r="2142" spans="1:9" x14ac:dyDescent="0.25">
      <c r="A2142" s="14">
        <v>2016</v>
      </c>
      <c r="B2142" s="14">
        <v>208</v>
      </c>
      <c r="C2142" s="15">
        <v>42577</v>
      </c>
      <c r="D2142" s="16">
        <v>0.25763888888888892</v>
      </c>
      <c r="E2142" s="14">
        <v>10</v>
      </c>
      <c r="F2142" s="14">
        <v>1</v>
      </c>
      <c r="G2142" s="17">
        <v>0.14318883911633246</v>
      </c>
      <c r="H2142" s="1" t="s">
        <v>143</v>
      </c>
      <c r="I2142" s="14"/>
    </row>
    <row r="2143" spans="1:9" x14ac:dyDescent="0.25">
      <c r="A2143" s="14">
        <v>2016</v>
      </c>
      <c r="B2143" s="14">
        <v>208</v>
      </c>
      <c r="C2143" s="15">
        <v>42577</v>
      </c>
      <c r="D2143" s="16">
        <v>0.26458333333333334</v>
      </c>
      <c r="E2143" s="14">
        <v>10</v>
      </c>
      <c r="F2143" s="14">
        <v>2</v>
      </c>
      <c r="G2143" s="17">
        <v>0.13260069809512132</v>
      </c>
      <c r="H2143" s="1" t="s">
        <v>143</v>
      </c>
      <c r="I2143" s="14"/>
    </row>
    <row r="2144" spans="1:9" x14ac:dyDescent="0.25">
      <c r="A2144" s="14">
        <v>2016</v>
      </c>
      <c r="B2144" s="14">
        <v>208</v>
      </c>
      <c r="C2144" s="15">
        <v>42577</v>
      </c>
      <c r="D2144" s="16">
        <v>0.27430555555555552</v>
      </c>
      <c r="E2144" s="14">
        <v>10</v>
      </c>
      <c r="F2144" s="14">
        <v>3</v>
      </c>
      <c r="G2144" s="17">
        <v>0.14063771093549718</v>
      </c>
      <c r="H2144" s="1" t="s">
        <v>143</v>
      </c>
      <c r="I2144" s="14"/>
    </row>
    <row r="2145" spans="1:9" x14ac:dyDescent="0.25">
      <c r="A2145" s="14">
        <v>2016</v>
      </c>
      <c r="B2145" s="14">
        <v>208</v>
      </c>
      <c r="C2145" s="15">
        <v>42577</v>
      </c>
      <c r="D2145" s="16">
        <v>0.28055555555555556</v>
      </c>
      <c r="E2145" s="14">
        <v>10</v>
      </c>
      <c r="F2145" s="14">
        <v>4</v>
      </c>
      <c r="G2145" s="17">
        <v>0.14923098480778449</v>
      </c>
      <c r="H2145" s="1" t="s">
        <v>143</v>
      </c>
      <c r="I2145" s="14"/>
    </row>
    <row r="2146" spans="1:9" x14ac:dyDescent="0.25">
      <c r="A2146" s="14">
        <v>2016</v>
      </c>
      <c r="B2146" s="14">
        <v>208</v>
      </c>
      <c r="C2146" s="15">
        <v>42577</v>
      </c>
      <c r="D2146" s="16">
        <v>0.28819444444444448</v>
      </c>
      <c r="E2146" s="14">
        <v>10</v>
      </c>
      <c r="F2146" s="14">
        <v>5</v>
      </c>
      <c r="G2146" s="17">
        <v>0.15997257714814361</v>
      </c>
      <c r="H2146" s="1" t="s">
        <v>0</v>
      </c>
      <c r="I2146" s="14"/>
    </row>
    <row r="2147" spans="1:9" x14ac:dyDescent="0.25">
      <c r="A2147" s="14">
        <v>2016</v>
      </c>
      <c r="B2147" s="14">
        <v>208</v>
      </c>
      <c r="C2147" s="15">
        <v>42577</v>
      </c>
      <c r="D2147" s="16">
        <v>0.29166666666666669</v>
      </c>
      <c r="E2147" s="14">
        <v>10</v>
      </c>
      <c r="F2147" s="14">
        <v>6</v>
      </c>
      <c r="G2147" s="17">
        <v>0.17401337285018448</v>
      </c>
      <c r="H2147" s="1" t="s">
        <v>0</v>
      </c>
      <c r="I2147" s="14"/>
    </row>
    <row r="2148" spans="1:9" x14ac:dyDescent="0.25">
      <c r="A2148" s="14">
        <v>2016</v>
      </c>
      <c r="B2148" s="14">
        <v>208</v>
      </c>
      <c r="C2148" s="15">
        <v>42577</v>
      </c>
      <c r="D2148" s="16">
        <v>0.30555555555555552</v>
      </c>
      <c r="E2148" s="14">
        <v>10</v>
      </c>
      <c r="F2148" s="14">
        <v>7</v>
      </c>
      <c r="G2148" s="17">
        <v>0.18859124816924328</v>
      </c>
      <c r="H2148" s="1" t="s">
        <v>143</v>
      </c>
      <c r="I2148" s="14"/>
    </row>
    <row r="2149" spans="1:9" x14ac:dyDescent="0.25">
      <c r="A2149" s="14">
        <v>2016</v>
      </c>
      <c r="B2149" s="14">
        <v>208</v>
      </c>
      <c r="C2149" s="15">
        <v>42577</v>
      </c>
      <c r="D2149" s="16">
        <v>0.30624999999999997</v>
      </c>
      <c r="E2149" s="14">
        <v>10</v>
      </c>
      <c r="F2149" s="14">
        <v>8</v>
      </c>
      <c r="G2149" s="17">
        <v>0.14777319727587862</v>
      </c>
      <c r="H2149" s="1" t="s">
        <v>143</v>
      </c>
      <c r="I2149" s="14"/>
    </row>
    <row r="2150" spans="1:9" x14ac:dyDescent="0.25">
      <c r="A2150" s="14">
        <v>2016</v>
      </c>
      <c r="B2150" s="14">
        <v>208</v>
      </c>
      <c r="C2150" s="15">
        <v>42577</v>
      </c>
      <c r="D2150" s="16">
        <v>0.31319444444444444</v>
      </c>
      <c r="E2150" s="14">
        <v>10</v>
      </c>
      <c r="F2150" s="14">
        <v>9</v>
      </c>
      <c r="G2150" s="17">
        <v>0.16261961240344641</v>
      </c>
      <c r="H2150" s="1" t="s">
        <v>143</v>
      </c>
      <c r="I2150" s="14"/>
    </row>
    <row r="2151" spans="1:9" x14ac:dyDescent="0.25">
      <c r="A2151" s="14">
        <v>2016</v>
      </c>
      <c r="B2151" s="14">
        <v>208</v>
      </c>
      <c r="C2151" s="15">
        <v>42577</v>
      </c>
      <c r="D2151" s="16">
        <v>0.31944444444444448</v>
      </c>
      <c r="E2151" s="14">
        <v>10</v>
      </c>
      <c r="F2151" s="14">
        <v>10</v>
      </c>
      <c r="G2151" s="17">
        <v>0.17341874898848603</v>
      </c>
      <c r="H2151" s="1" t="s">
        <v>143</v>
      </c>
      <c r="I2151" s="14"/>
    </row>
    <row r="2152" spans="1:9" x14ac:dyDescent="0.25">
      <c r="A2152" s="14">
        <v>2016</v>
      </c>
      <c r="B2152" s="14">
        <v>208</v>
      </c>
      <c r="C2152" s="15">
        <v>42577</v>
      </c>
      <c r="D2152" s="16">
        <v>0.3888888888888889</v>
      </c>
      <c r="E2152" s="14">
        <v>10</v>
      </c>
      <c r="F2152" s="14">
        <v>11</v>
      </c>
      <c r="G2152" s="17">
        <v>0.13941010038231327</v>
      </c>
      <c r="H2152" s="1" t="s">
        <v>144</v>
      </c>
      <c r="I2152" s="14"/>
    </row>
    <row r="2153" spans="1:9" x14ac:dyDescent="0.25">
      <c r="A2153" s="14">
        <v>2016</v>
      </c>
      <c r="B2153" s="14">
        <v>208</v>
      </c>
      <c r="C2153" s="15">
        <v>42577</v>
      </c>
      <c r="D2153" s="16">
        <v>0.40277777777777773</v>
      </c>
      <c r="E2153" s="14">
        <v>10</v>
      </c>
      <c r="F2153" s="14">
        <v>12</v>
      </c>
      <c r="G2153" s="17">
        <v>8.6277581127322589E-2</v>
      </c>
      <c r="H2153" s="1" t="s">
        <v>144</v>
      </c>
      <c r="I2153" s="14"/>
    </row>
    <row r="2154" spans="1:9" x14ac:dyDescent="0.25">
      <c r="A2154" s="14">
        <v>2016</v>
      </c>
      <c r="B2154" s="14">
        <v>208</v>
      </c>
      <c r="C2154" s="15">
        <v>42577</v>
      </c>
      <c r="D2154" s="16">
        <v>0.41180555555555554</v>
      </c>
      <c r="E2154" s="14">
        <v>10</v>
      </c>
      <c r="F2154" s="14">
        <v>13</v>
      </c>
      <c r="G2154" s="17">
        <v>0.1636554088076953</v>
      </c>
      <c r="H2154" s="1" t="s">
        <v>144</v>
      </c>
      <c r="I2154" s="14"/>
    </row>
    <row r="2155" spans="1:9" x14ac:dyDescent="0.25">
      <c r="A2155" s="14">
        <v>2016</v>
      </c>
      <c r="B2155" s="14">
        <v>208</v>
      </c>
      <c r="C2155" s="15">
        <v>42577</v>
      </c>
      <c r="D2155" s="16">
        <v>0.38194444444444442</v>
      </c>
      <c r="E2155" s="14">
        <v>10</v>
      </c>
      <c r="F2155" s="14">
        <v>14</v>
      </c>
      <c r="G2155" s="17">
        <v>0.14504943636100182</v>
      </c>
      <c r="H2155" s="1" t="s">
        <v>144</v>
      </c>
      <c r="I2155" s="14"/>
    </row>
    <row r="2156" spans="1:9" x14ac:dyDescent="0.25">
      <c r="A2156" s="14">
        <v>2016</v>
      </c>
      <c r="B2156" s="14">
        <v>208</v>
      </c>
      <c r="C2156" s="15">
        <v>42577</v>
      </c>
      <c r="D2156" s="16">
        <v>0.41944444444444445</v>
      </c>
      <c r="E2156" s="14">
        <v>10</v>
      </c>
      <c r="F2156" s="14">
        <v>15</v>
      </c>
      <c r="G2156" s="17">
        <v>0.18256828389268476</v>
      </c>
      <c r="H2156" s="1" t="s">
        <v>1</v>
      </c>
      <c r="I2156" s="14"/>
    </row>
    <row r="2157" spans="1:9" x14ac:dyDescent="0.25">
      <c r="A2157" s="14">
        <v>2016</v>
      </c>
      <c r="B2157" s="14">
        <v>208</v>
      </c>
      <c r="C2157" s="15">
        <v>42577</v>
      </c>
      <c r="D2157" s="16">
        <v>0.42499999999999999</v>
      </c>
      <c r="E2157" s="14">
        <v>10</v>
      </c>
      <c r="F2157" s="14">
        <v>16</v>
      </c>
      <c r="G2157" s="17">
        <v>0.18978049589264018</v>
      </c>
      <c r="H2157" s="1" t="s">
        <v>1</v>
      </c>
      <c r="I2157" s="14"/>
    </row>
    <row r="2158" spans="1:9" x14ac:dyDescent="0.25">
      <c r="A2158" s="14">
        <v>2016</v>
      </c>
      <c r="B2158" s="14">
        <v>208</v>
      </c>
      <c r="C2158" s="15">
        <v>42577</v>
      </c>
      <c r="D2158" s="16">
        <v>0.43402777777777773</v>
      </c>
      <c r="E2158" s="14">
        <v>10</v>
      </c>
      <c r="F2158" s="14">
        <v>17</v>
      </c>
      <c r="G2158" s="17">
        <v>0.16664770953108105</v>
      </c>
      <c r="H2158" s="1" t="s">
        <v>144</v>
      </c>
      <c r="I2158" s="14"/>
    </row>
    <row r="2159" spans="1:9" x14ac:dyDescent="0.25">
      <c r="A2159" s="14">
        <v>2016</v>
      </c>
      <c r="B2159" s="14">
        <v>208</v>
      </c>
      <c r="C2159" s="15">
        <v>42577</v>
      </c>
      <c r="D2159" s="16">
        <v>0.37847222222222227</v>
      </c>
      <c r="E2159" s="14">
        <v>10</v>
      </c>
      <c r="F2159" s="14">
        <v>18</v>
      </c>
      <c r="G2159" s="17">
        <v>0.15347007749924763</v>
      </c>
      <c r="H2159" s="1" t="s">
        <v>144</v>
      </c>
      <c r="I2159" s="14"/>
    </row>
    <row r="2160" spans="1:9" x14ac:dyDescent="0.25">
      <c r="A2160" s="14">
        <v>2016</v>
      </c>
      <c r="B2160" s="14">
        <v>208</v>
      </c>
      <c r="C2160" s="15">
        <v>42577</v>
      </c>
      <c r="D2160" s="16">
        <v>0.37152777777777773</v>
      </c>
      <c r="E2160" s="14">
        <v>10</v>
      </c>
      <c r="F2160" s="14">
        <v>19</v>
      </c>
      <c r="G2160" s="17">
        <v>0.1427284851588885</v>
      </c>
      <c r="H2160" s="1" t="s">
        <v>144</v>
      </c>
      <c r="I2160" s="14"/>
    </row>
    <row r="2161" spans="1:9" x14ac:dyDescent="0.25">
      <c r="A2161" s="14">
        <v>2016</v>
      </c>
      <c r="B2161" s="14">
        <v>208</v>
      </c>
      <c r="C2161" s="15">
        <v>42577</v>
      </c>
      <c r="D2161" s="16">
        <v>0.35486111111111113</v>
      </c>
      <c r="E2161" s="14">
        <v>10</v>
      </c>
      <c r="F2161" s="14">
        <v>20</v>
      </c>
      <c r="G2161" s="17">
        <v>0.15107240063756033</v>
      </c>
      <c r="H2161" s="1" t="s">
        <v>144</v>
      </c>
      <c r="I2161" s="14"/>
    </row>
    <row r="2162" spans="1:9" x14ac:dyDescent="0.25">
      <c r="A2162" s="14">
        <v>2016</v>
      </c>
      <c r="B2162" s="14">
        <v>215</v>
      </c>
      <c r="C2162" s="15">
        <v>42584</v>
      </c>
      <c r="D2162" s="16">
        <v>0.29236111111111113</v>
      </c>
      <c r="E2162" s="14">
        <v>230</v>
      </c>
      <c r="F2162" s="14">
        <v>1</v>
      </c>
      <c r="G2162" s="17">
        <v>0.30459147664322261</v>
      </c>
      <c r="H2162" s="1" t="s">
        <v>143</v>
      </c>
      <c r="I2162" s="14"/>
    </row>
    <row r="2163" spans="1:9" x14ac:dyDescent="0.25">
      <c r="A2163" s="14">
        <v>2016</v>
      </c>
      <c r="B2163" s="14">
        <v>215</v>
      </c>
      <c r="C2163" s="15">
        <v>42584</v>
      </c>
      <c r="D2163" s="16">
        <v>0.2986111111111111</v>
      </c>
      <c r="E2163" s="14">
        <v>230</v>
      </c>
      <c r="F2163" s="14">
        <v>2</v>
      </c>
      <c r="G2163" s="17">
        <v>0.30079589815753988</v>
      </c>
      <c r="H2163" s="1" t="s">
        <v>143</v>
      </c>
      <c r="I2163" s="14"/>
    </row>
    <row r="2164" spans="1:9" x14ac:dyDescent="0.25">
      <c r="A2164" s="14">
        <v>2016</v>
      </c>
      <c r="B2164" s="14">
        <v>215</v>
      </c>
      <c r="C2164" s="15">
        <v>42584</v>
      </c>
      <c r="D2164" s="16">
        <v>0.29930555555555555</v>
      </c>
      <c r="E2164" s="14">
        <v>230</v>
      </c>
      <c r="F2164" s="14">
        <v>3</v>
      </c>
      <c r="G2164" s="17">
        <v>0.27971583918320947</v>
      </c>
      <c r="H2164" s="1" t="s">
        <v>143</v>
      </c>
      <c r="I2164" s="14"/>
    </row>
    <row r="2165" spans="1:9" x14ac:dyDescent="0.25">
      <c r="A2165" s="14">
        <v>2016</v>
      </c>
      <c r="B2165" s="14">
        <v>215</v>
      </c>
      <c r="C2165" s="15">
        <v>42584</v>
      </c>
      <c r="D2165" s="16">
        <v>0.30555555555555552</v>
      </c>
      <c r="E2165" s="14">
        <v>230</v>
      </c>
      <c r="F2165" s="14">
        <v>4</v>
      </c>
      <c r="G2165" s="17">
        <v>0.28218783132516695</v>
      </c>
      <c r="H2165" s="1" t="s">
        <v>143</v>
      </c>
      <c r="I2165" s="14"/>
    </row>
    <row r="2166" spans="1:9" x14ac:dyDescent="0.25">
      <c r="A2166" s="14">
        <v>2016</v>
      </c>
      <c r="B2166" s="14">
        <v>215</v>
      </c>
      <c r="C2166" s="15">
        <v>42584</v>
      </c>
      <c r="D2166" s="16">
        <v>0.31319444444444444</v>
      </c>
      <c r="E2166" s="14">
        <v>230</v>
      </c>
      <c r="F2166" s="14">
        <v>5</v>
      </c>
      <c r="G2166" s="17" t="e">
        <v>#N/A</v>
      </c>
      <c r="H2166" s="1" t="s">
        <v>0</v>
      </c>
      <c r="I2166" s="14"/>
    </row>
    <row r="2167" spans="1:9" x14ac:dyDescent="0.25">
      <c r="A2167" s="14">
        <v>2016</v>
      </c>
      <c r="B2167" s="14">
        <v>215</v>
      </c>
      <c r="C2167" s="15">
        <v>42584</v>
      </c>
      <c r="D2167" s="16">
        <v>0.32361111111111113</v>
      </c>
      <c r="E2167" s="14">
        <v>230</v>
      </c>
      <c r="F2167" s="14">
        <v>6</v>
      </c>
      <c r="G2167" s="17" t="e">
        <v>#N/A</v>
      </c>
      <c r="H2167" s="1" t="s">
        <v>0</v>
      </c>
      <c r="I2167" s="14"/>
    </row>
    <row r="2168" spans="1:9" x14ac:dyDescent="0.25">
      <c r="A2168" s="14">
        <v>2016</v>
      </c>
      <c r="B2168" s="14">
        <v>215</v>
      </c>
      <c r="C2168" s="15">
        <v>42584</v>
      </c>
      <c r="D2168" s="16">
        <v>0.3354166666666667</v>
      </c>
      <c r="E2168" s="14">
        <v>230</v>
      </c>
      <c r="F2168" s="14">
        <v>7</v>
      </c>
      <c r="G2168" s="17">
        <v>0.28024138081968863</v>
      </c>
      <c r="H2168" s="1" t="s">
        <v>143</v>
      </c>
      <c r="I2168" s="14"/>
    </row>
    <row r="2169" spans="1:9" x14ac:dyDescent="0.25">
      <c r="A2169" s="14">
        <v>2016</v>
      </c>
      <c r="B2169" s="14">
        <v>215</v>
      </c>
      <c r="C2169" s="15">
        <v>42584</v>
      </c>
      <c r="D2169" s="16">
        <v>0.34166666666666662</v>
      </c>
      <c r="E2169" s="14">
        <v>230</v>
      </c>
      <c r="F2169" s="14">
        <v>8</v>
      </c>
      <c r="G2169" s="17">
        <v>0.30897099028054886</v>
      </c>
      <c r="H2169" s="1" t="s">
        <v>143</v>
      </c>
      <c r="I2169" s="14"/>
    </row>
    <row r="2170" spans="1:9" x14ac:dyDescent="0.25">
      <c r="A2170" s="14">
        <v>2016</v>
      </c>
      <c r="B2170" s="14">
        <v>215</v>
      </c>
      <c r="C2170" s="15">
        <v>42584</v>
      </c>
      <c r="D2170" s="16">
        <v>0.34791666666666665</v>
      </c>
      <c r="E2170" s="14">
        <v>230</v>
      </c>
      <c r="F2170" s="14">
        <v>9</v>
      </c>
      <c r="G2170" s="17">
        <v>0.30414379302696259</v>
      </c>
      <c r="H2170" s="1" t="s">
        <v>143</v>
      </c>
      <c r="I2170" s="14"/>
    </row>
    <row r="2171" spans="1:9" x14ac:dyDescent="0.25">
      <c r="A2171" s="14">
        <v>2016</v>
      </c>
      <c r="B2171" s="14">
        <v>215</v>
      </c>
      <c r="C2171" s="15">
        <v>42584</v>
      </c>
      <c r="D2171" s="16">
        <v>0.34791666666666665</v>
      </c>
      <c r="E2171" s="14">
        <v>230</v>
      </c>
      <c r="F2171" s="14">
        <v>10</v>
      </c>
      <c r="G2171" s="17">
        <v>0.26936072249406473</v>
      </c>
      <c r="H2171" s="1" t="s">
        <v>143</v>
      </c>
      <c r="I2171" s="14"/>
    </row>
    <row r="2172" spans="1:9" x14ac:dyDescent="0.25">
      <c r="A2172" s="14">
        <v>2016</v>
      </c>
      <c r="B2172" s="14">
        <v>215</v>
      </c>
      <c r="C2172" s="15">
        <v>42584</v>
      </c>
      <c r="D2172" s="16">
        <v>0.41736111111111113</v>
      </c>
      <c r="E2172" s="14">
        <v>230</v>
      </c>
      <c r="F2172" s="14">
        <v>11</v>
      </c>
      <c r="G2172" s="17">
        <v>0.2880077183365472</v>
      </c>
      <c r="H2172" s="1" t="s">
        <v>144</v>
      </c>
      <c r="I2172" s="14"/>
    </row>
    <row r="2173" spans="1:9" x14ac:dyDescent="0.25">
      <c r="A2173" s="14">
        <v>2016</v>
      </c>
      <c r="B2173" s="14">
        <v>215</v>
      </c>
      <c r="C2173" s="15">
        <v>42584</v>
      </c>
      <c r="D2173" s="16">
        <v>0.4236111111111111</v>
      </c>
      <c r="E2173" s="14">
        <v>230</v>
      </c>
      <c r="F2173" s="14">
        <v>12</v>
      </c>
      <c r="G2173" s="17">
        <v>0.30011464048062242</v>
      </c>
      <c r="H2173" s="1" t="s">
        <v>144</v>
      </c>
      <c r="I2173" s="14"/>
    </row>
    <row r="2174" spans="1:9" x14ac:dyDescent="0.25">
      <c r="A2174" s="14">
        <v>2016</v>
      </c>
      <c r="B2174" s="14">
        <v>215</v>
      </c>
      <c r="C2174" s="15">
        <v>42584</v>
      </c>
      <c r="D2174" s="16">
        <v>0.4381944444444445</v>
      </c>
      <c r="E2174" s="14">
        <v>230</v>
      </c>
      <c r="F2174" s="14">
        <v>13</v>
      </c>
      <c r="G2174" s="17">
        <v>0.28903933710445068</v>
      </c>
      <c r="H2174" s="1" t="s">
        <v>144</v>
      </c>
      <c r="I2174" s="14"/>
    </row>
    <row r="2175" spans="1:9" x14ac:dyDescent="0.25">
      <c r="A2175" s="14">
        <v>2016</v>
      </c>
      <c r="B2175" s="14">
        <v>215</v>
      </c>
      <c r="C2175" s="15">
        <v>42584</v>
      </c>
      <c r="D2175" s="16">
        <v>0.40972222222222227</v>
      </c>
      <c r="E2175" s="14">
        <v>230</v>
      </c>
      <c r="F2175" s="14">
        <v>14</v>
      </c>
      <c r="G2175" s="17">
        <v>0.28485446851767227</v>
      </c>
      <c r="H2175" s="1" t="s">
        <v>144</v>
      </c>
      <c r="I2175" s="14"/>
    </row>
    <row r="2176" spans="1:9" x14ac:dyDescent="0.25">
      <c r="A2176" s="14">
        <v>2016</v>
      </c>
      <c r="B2176" s="14">
        <v>215</v>
      </c>
      <c r="C2176" s="15">
        <v>42584</v>
      </c>
      <c r="D2176" s="16">
        <v>0.4465277777777778</v>
      </c>
      <c r="E2176" s="14">
        <v>230</v>
      </c>
      <c r="F2176" s="14">
        <v>15</v>
      </c>
      <c r="G2176" s="17" t="e">
        <v>#N/A</v>
      </c>
      <c r="H2176" s="1" t="s">
        <v>1</v>
      </c>
      <c r="I2176" s="14"/>
    </row>
    <row r="2177" spans="1:9" x14ac:dyDescent="0.25">
      <c r="A2177" s="14">
        <v>2016</v>
      </c>
      <c r="B2177" s="14">
        <v>215</v>
      </c>
      <c r="C2177" s="15">
        <v>42584</v>
      </c>
      <c r="D2177" s="16">
        <v>0.4513888888888889</v>
      </c>
      <c r="E2177" s="14">
        <v>230</v>
      </c>
      <c r="F2177" s="14">
        <v>16</v>
      </c>
      <c r="G2177" s="17" t="e">
        <v>#N/A</v>
      </c>
      <c r="H2177" s="1" t="s">
        <v>1</v>
      </c>
      <c r="I2177" s="14"/>
    </row>
    <row r="2178" spans="1:9" x14ac:dyDescent="0.25">
      <c r="A2178" s="14">
        <v>2016</v>
      </c>
      <c r="B2178" s="14">
        <v>215</v>
      </c>
      <c r="C2178" s="15">
        <v>42584</v>
      </c>
      <c r="D2178" s="16">
        <v>0.4597222222222222</v>
      </c>
      <c r="E2178" s="14">
        <v>230</v>
      </c>
      <c r="F2178" s="14">
        <v>17</v>
      </c>
      <c r="G2178" s="17">
        <v>0.29980320839974589</v>
      </c>
      <c r="H2178" s="1" t="s">
        <v>144</v>
      </c>
      <c r="I2178" s="14"/>
    </row>
    <row r="2179" spans="1:9" x14ac:dyDescent="0.25">
      <c r="A2179" s="14">
        <v>2016</v>
      </c>
      <c r="B2179" s="14">
        <v>215</v>
      </c>
      <c r="C2179" s="15">
        <v>42584</v>
      </c>
      <c r="D2179" s="16">
        <v>0.40277777777777773</v>
      </c>
      <c r="E2179" s="14">
        <v>230</v>
      </c>
      <c r="F2179" s="14">
        <v>18</v>
      </c>
      <c r="G2179" s="17">
        <v>0.3019053749456625</v>
      </c>
      <c r="H2179" s="1" t="s">
        <v>144</v>
      </c>
      <c r="I2179" s="14"/>
    </row>
    <row r="2180" spans="1:9" x14ac:dyDescent="0.25">
      <c r="A2180" s="14">
        <v>2016</v>
      </c>
      <c r="B2180" s="14">
        <v>215</v>
      </c>
      <c r="C2180" s="15">
        <v>42584</v>
      </c>
      <c r="D2180" s="16">
        <v>0.39652777777777781</v>
      </c>
      <c r="E2180" s="14">
        <v>230</v>
      </c>
      <c r="F2180" s="14">
        <v>19</v>
      </c>
      <c r="G2180" s="17">
        <v>0.28915612413477942</v>
      </c>
      <c r="H2180" s="1" t="s">
        <v>144</v>
      </c>
      <c r="I2180" s="14"/>
    </row>
    <row r="2181" spans="1:9" x14ac:dyDescent="0.25">
      <c r="A2181" s="14">
        <v>2016</v>
      </c>
      <c r="B2181" s="14">
        <v>215</v>
      </c>
      <c r="C2181" s="15">
        <v>42584</v>
      </c>
      <c r="D2181" s="16">
        <v>0.38958333333333334</v>
      </c>
      <c r="E2181" s="14">
        <v>230</v>
      </c>
      <c r="F2181" s="14">
        <v>20</v>
      </c>
      <c r="G2181" s="17">
        <v>0.30155501385467642</v>
      </c>
      <c r="H2181" s="1" t="s">
        <v>144</v>
      </c>
      <c r="I2181" s="14"/>
    </row>
    <row r="2182" spans="1:9" x14ac:dyDescent="0.25">
      <c r="A2182" s="14">
        <v>2016</v>
      </c>
      <c r="B2182" s="14">
        <v>215</v>
      </c>
      <c r="C2182" s="15">
        <v>42584</v>
      </c>
      <c r="D2182" s="16">
        <v>0.29236111111111113</v>
      </c>
      <c r="E2182" s="14">
        <v>210</v>
      </c>
      <c r="F2182" s="14">
        <v>1</v>
      </c>
      <c r="G2182" s="17">
        <v>0.30636274660320795</v>
      </c>
      <c r="H2182" s="1" t="s">
        <v>143</v>
      </c>
      <c r="I2182" s="14"/>
    </row>
    <row r="2183" spans="1:9" x14ac:dyDescent="0.25">
      <c r="A2183" s="14">
        <v>2016</v>
      </c>
      <c r="B2183" s="14">
        <v>215</v>
      </c>
      <c r="C2183" s="15">
        <v>42584</v>
      </c>
      <c r="D2183" s="16">
        <v>0.2986111111111111</v>
      </c>
      <c r="E2183" s="14">
        <v>210</v>
      </c>
      <c r="F2183" s="14">
        <v>2</v>
      </c>
      <c r="G2183" s="17">
        <v>0.29960856334919805</v>
      </c>
      <c r="H2183" s="1" t="s">
        <v>143</v>
      </c>
      <c r="I2183" s="14"/>
    </row>
    <row r="2184" spans="1:9" x14ac:dyDescent="0.25">
      <c r="A2184" s="14">
        <v>2016</v>
      </c>
      <c r="B2184" s="14">
        <v>215</v>
      </c>
      <c r="C2184" s="15">
        <v>42584</v>
      </c>
      <c r="D2184" s="16">
        <v>0.29930555555555555</v>
      </c>
      <c r="E2184" s="14">
        <v>210</v>
      </c>
      <c r="F2184" s="14">
        <v>3</v>
      </c>
      <c r="G2184" s="17">
        <v>0.28028030982979818</v>
      </c>
      <c r="H2184" s="1" t="s">
        <v>143</v>
      </c>
      <c r="I2184" s="14"/>
    </row>
    <row r="2185" spans="1:9" x14ac:dyDescent="0.25">
      <c r="A2185" s="14">
        <v>2016</v>
      </c>
      <c r="B2185" s="14">
        <v>215</v>
      </c>
      <c r="C2185" s="15">
        <v>42584</v>
      </c>
      <c r="D2185" s="16">
        <v>0.30555555555555552</v>
      </c>
      <c r="E2185" s="14">
        <v>210</v>
      </c>
      <c r="F2185" s="14">
        <v>4</v>
      </c>
      <c r="G2185" s="17">
        <v>0.29238723197387345</v>
      </c>
      <c r="H2185" s="1" t="s">
        <v>143</v>
      </c>
      <c r="I2185" s="14"/>
    </row>
    <row r="2186" spans="1:9" x14ac:dyDescent="0.25">
      <c r="A2186" s="14">
        <v>2016</v>
      </c>
      <c r="B2186" s="14">
        <v>215</v>
      </c>
      <c r="C2186" s="15">
        <v>42584</v>
      </c>
      <c r="D2186" s="16">
        <v>0.31319444444444444</v>
      </c>
      <c r="E2186" s="14">
        <v>210</v>
      </c>
      <c r="F2186" s="14">
        <v>5</v>
      </c>
      <c r="G2186" s="17" t="e">
        <v>#N/A</v>
      </c>
      <c r="H2186" s="1" t="s">
        <v>0</v>
      </c>
      <c r="I2186" s="14"/>
    </row>
    <row r="2187" spans="1:9" x14ac:dyDescent="0.25">
      <c r="A2187" s="14">
        <v>2016</v>
      </c>
      <c r="B2187" s="14">
        <v>215</v>
      </c>
      <c r="C2187" s="15">
        <v>42584</v>
      </c>
      <c r="D2187" s="16">
        <v>0.32361111111111113</v>
      </c>
      <c r="E2187" s="14">
        <v>210</v>
      </c>
      <c r="F2187" s="14">
        <v>6</v>
      </c>
      <c r="G2187" s="17" t="e">
        <v>#N/A</v>
      </c>
      <c r="H2187" s="1" t="s">
        <v>0</v>
      </c>
      <c r="I2187" s="14"/>
    </row>
    <row r="2188" spans="1:9" x14ac:dyDescent="0.25">
      <c r="A2188" s="14">
        <v>2016</v>
      </c>
      <c r="B2188" s="14">
        <v>215</v>
      </c>
      <c r="C2188" s="15">
        <v>42584</v>
      </c>
      <c r="D2188" s="16">
        <v>0.3354166666666667</v>
      </c>
      <c r="E2188" s="14">
        <v>210</v>
      </c>
      <c r="F2188" s="14">
        <v>7</v>
      </c>
      <c r="G2188" s="17">
        <v>0.28767682175061582</v>
      </c>
      <c r="H2188" s="1" t="s">
        <v>143</v>
      </c>
      <c r="I2188" s="14"/>
    </row>
    <row r="2189" spans="1:9" x14ac:dyDescent="0.25">
      <c r="A2189" s="14">
        <v>2016</v>
      </c>
      <c r="B2189" s="14">
        <v>215</v>
      </c>
      <c r="C2189" s="15">
        <v>42584</v>
      </c>
      <c r="D2189" s="16">
        <v>0.34166666666666662</v>
      </c>
      <c r="E2189" s="14">
        <v>210</v>
      </c>
      <c r="F2189" s="14">
        <v>8</v>
      </c>
      <c r="G2189" s="17">
        <v>0.30470826367355131</v>
      </c>
      <c r="H2189" s="1" t="s">
        <v>143</v>
      </c>
      <c r="I2189" s="14"/>
    </row>
    <row r="2190" spans="1:9" x14ac:dyDescent="0.25">
      <c r="A2190" s="14">
        <v>2016</v>
      </c>
      <c r="B2190" s="14">
        <v>215</v>
      </c>
      <c r="C2190" s="15">
        <v>42584</v>
      </c>
      <c r="D2190" s="16">
        <v>0.34791666666666665</v>
      </c>
      <c r="E2190" s="14">
        <v>210</v>
      </c>
      <c r="F2190" s="14">
        <v>9</v>
      </c>
      <c r="G2190" s="17">
        <v>0.29690299714658319</v>
      </c>
      <c r="H2190" s="1" t="s">
        <v>143</v>
      </c>
      <c r="I2190" s="14"/>
    </row>
    <row r="2191" spans="1:9" x14ac:dyDescent="0.25">
      <c r="A2191" s="14">
        <v>2016</v>
      </c>
      <c r="B2191" s="14">
        <v>215</v>
      </c>
      <c r="C2191" s="15">
        <v>42584</v>
      </c>
      <c r="D2191" s="16">
        <v>0.34791666666666665</v>
      </c>
      <c r="E2191" s="14">
        <v>210</v>
      </c>
      <c r="F2191" s="14">
        <v>10</v>
      </c>
      <c r="G2191" s="17">
        <v>0.26486442182640973</v>
      </c>
      <c r="H2191" s="1" t="s">
        <v>143</v>
      </c>
      <c r="I2191" s="14"/>
    </row>
    <row r="2192" spans="1:9" x14ac:dyDescent="0.25">
      <c r="A2192" s="14">
        <v>2016</v>
      </c>
      <c r="B2192" s="14">
        <v>215</v>
      </c>
      <c r="C2192" s="15">
        <v>42584</v>
      </c>
      <c r="D2192" s="16">
        <v>0.41736111111111113</v>
      </c>
      <c r="E2192" s="14">
        <v>210</v>
      </c>
      <c r="F2192" s="14">
        <v>11</v>
      </c>
      <c r="G2192" s="17">
        <v>0.30731650735089228</v>
      </c>
      <c r="H2192" s="1" t="s">
        <v>144</v>
      </c>
      <c r="I2192" s="14"/>
    </row>
    <row r="2193" spans="1:9" x14ac:dyDescent="0.25">
      <c r="A2193" s="14">
        <v>2016</v>
      </c>
      <c r="B2193" s="14">
        <v>215</v>
      </c>
      <c r="C2193" s="15">
        <v>42584</v>
      </c>
      <c r="D2193" s="16">
        <v>0.4236111111111111</v>
      </c>
      <c r="E2193" s="14">
        <v>210</v>
      </c>
      <c r="F2193" s="14">
        <v>12</v>
      </c>
      <c r="G2193" s="17">
        <v>0.30791990700759059</v>
      </c>
      <c r="H2193" s="1" t="s">
        <v>144</v>
      </c>
      <c r="I2193" s="14"/>
    </row>
    <row r="2194" spans="1:9" x14ac:dyDescent="0.25">
      <c r="A2194" s="14">
        <v>2016</v>
      </c>
      <c r="B2194" s="14">
        <v>215</v>
      </c>
      <c r="C2194" s="15">
        <v>42584</v>
      </c>
      <c r="D2194" s="16">
        <v>0.4381944444444445</v>
      </c>
      <c r="E2194" s="14">
        <v>210</v>
      </c>
      <c r="F2194" s="14">
        <v>13</v>
      </c>
      <c r="G2194" s="17">
        <v>0.30106840122830686</v>
      </c>
      <c r="H2194" s="1" t="s">
        <v>144</v>
      </c>
      <c r="I2194" s="14"/>
    </row>
    <row r="2195" spans="1:9" x14ac:dyDescent="0.25">
      <c r="A2195" s="14">
        <v>2016</v>
      </c>
      <c r="B2195" s="14">
        <v>215</v>
      </c>
      <c r="C2195" s="15">
        <v>42584</v>
      </c>
      <c r="D2195" s="16">
        <v>0.40972222222222227</v>
      </c>
      <c r="E2195" s="14">
        <v>210</v>
      </c>
      <c r="F2195" s="14">
        <v>14</v>
      </c>
      <c r="G2195" s="17">
        <v>0.27664044738455368</v>
      </c>
      <c r="H2195" s="1" t="s">
        <v>144</v>
      </c>
      <c r="I2195" s="14"/>
    </row>
    <row r="2196" spans="1:9" x14ac:dyDescent="0.25">
      <c r="A2196" s="14">
        <v>2016</v>
      </c>
      <c r="B2196" s="14">
        <v>215</v>
      </c>
      <c r="C2196" s="15">
        <v>42584</v>
      </c>
      <c r="D2196" s="16">
        <v>0.4465277777777778</v>
      </c>
      <c r="E2196" s="14">
        <v>210</v>
      </c>
      <c r="F2196" s="14">
        <v>15</v>
      </c>
      <c r="G2196" s="17" t="e">
        <v>#N/A</v>
      </c>
      <c r="H2196" s="1" t="s">
        <v>1</v>
      </c>
      <c r="I2196" s="14"/>
    </row>
    <row r="2197" spans="1:9" x14ac:dyDescent="0.25">
      <c r="A2197" s="14">
        <v>2016</v>
      </c>
      <c r="B2197" s="14">
        <v>215</v>
      </c>
      <c r="C2197" s="15">
        <v>42584</v>
      </c>
      <c r="D2197" s="16">
        <v>0.4513888888888889</v>
      </c>
      <c r="E2197" s="14">
        <v>210</v>
      </c>
      <c r="F2197" s="14">
        <v>16</v>
      </c>
      <c r="G2197" s="17" t="e">
        <v>#N/A</v>
      </c>
      <c r="H2197" s="1" t="s">
        <v>1</v>
      </c>
      <c r="I2197" s="14"/>
    </row>
    <row r="2198" spans="1:9" x14ac:dyDescent="0.25">
      <c r="A2198" s="14">
        <v>2016</v>
      </c>
      <c r="B2198" s="14">
        <v>215</v>
      </c>
      <c r="C2198" s="15">
        <v>42584</v>
      </c>
      <c r="D2198" s="16">
        <v>0.4597222222222222</v>
      </c>
      <c r="E2198" s="14">
        <v>210</v>
      </c>
      <c r="F2198" s="14">
        <v>17</v>
      </c>
      <c r="G2198" s="17">
        <v>0.30291752920851123</v>
      </c>
      <c r="H2198" s="1" t="s">
        <v>144</v>
      </c>
      <c r="I2198" s="14"/>
    </row>
    <row r="2199" spans="1:9" x14ac:dyDescent="0.25">
      <c r="A2199" s="14">
        <v>2016</v>
      </c>
      <c r="B2199" s="14">
        <v>215</v>
      </c>
      <c r="C2199" s="15">
        <v>42584</v>
      </c>
      <c r="D2199" s="16">
        <v>0.40277777777777773</v>
      </c>
      <c r="E2199" s="14">
        <v>210</v>
      </c>
      <c r="F2199" s="14">
        <v>18</v>
      </c>
      <c r="G2199" s="17">
        <v>0.3012241172687451</v>
      </c>
      <c r="H2199" s="1" t="s">
        <v>144</v>
      </c>
      <c r="I2199" s="14"/>
    </row>
    <row r="2200" spans="1:9" x14ac:dyDescent="0.25">
      <c r="A2200" s="14">
        <v>2016</v>
      </c>
      <c r="B2200" s="14">
        <v>215</v>
      </c>
      <c r="C2200" s="15">
        <v>42584</v>
      </c>
      <c r="D2200" s="16">
        <v>0.39652777777777781</v>
      </c>
      <c r="E2200" s="14">
        <v>210</v>
      </c>
      <c r="F2200" s="14">
        <v>19</v>
      </c>
      <c r="G2200" s="17">
        <v>0.29546262377252924</v>
      </c>
      <c r="H2200" s="1" t="s">
        <v>144</v>
      </c>
      <c r="I2200" s="14"/>
    </row>
    <row r="2201" spans="1:9" x14ac:dyDescent="0.25">
      <c r="A2201" s="14">
        <v>2016</v>
      </c>
      <c r="B2201" s="14">
        <v>215</v>
      </c>
      <c r="C2201" s="15">
        <v>42584</v>
      </c>
      <c r="D2201" s="16">
        <v>0.38958333333333334</v>
      </c>
      <c r="E2201" s="14">
        <v>210</v>
      </c>
      <c r="F2201" s="14">
        <v>20</v>
      </c>
      <c r="G2201" s="17">
        <v>0.30305378074389472</v>
      </c>
      <c r="H2201" s="1" t="s">
        <v>144</v>
      </c>
      <c r="I2201" s="14"/>
    </row>
    <row r="2202" spans="1:9" x14ac:dyDescent="0.25">
      <c r="A2202" s="14">
        <v>2016</v>
      </c>
      <c r="B2202" s="14">
        <v>215</v>
      </c>
      <c r="C2202" s="15">
        <v>42584</v>
      </c>
      <c r="D2202" s="16">
        <v>0.29236111111111113</v>
      </c>
      <c r="E2202" s="14">
        <v>190</v>
      </c>
      <c r="F2202" s="14">
        <v>1</v>
      </c>
      <c r="G2202" s="17">
        <v>0.29573512684329617</v>
      </c>
      <c r="H2202" s="1" t="s">
        <v>143</v>
      </c>
      <c r="I2202" s="14"/>
    </row>
    <row r="2203" spans="1:9" x14ac:dyDescent="0.25">
      <c r="A2203" s="14">
        <v>2016</v>
      </c>
      <c r="B2203" s="14">
        <v>215</v>
      </c>
      <c r="C2203" s="15">
        <v>42584</v>
      </c>
      <c r="D2203" s="16">
        <v>0.2986111111111111</v>
      </c>
      <c r="E2203" s="14">
        <v>190</v>
      </c>
      <c r="F2203" s="14">
        <v>2</v>
      </c>
      <c r="G2203" s="17">
        <v>0.29612441694439184</v>
      </c>
      <c r="H2203" s="1" t="s">
        <v>143</v>
      </c>
      <c r="I2203" s="14"/>
    </row>
    <row r="2204" spans="1:9" x14ac:dyDescent="0.25">
      <c r="A2204" s="14">
        <v>2016</v>
      </c>
      <c r="B2204" s="14">
        <v>215</v>
      </c>
      <c r="C2204" s="15">
        <v>42584</v>
      </c>
      <c r="D2204" s="16">
        <v>0.29930555555555555</v>
      </c>
      <c r="E2204" s="14">
        <v>190</v>
      </c>
      <c r="F2204" s="14">
        <v>3</v>
      </c>
      <c r="G2204" s="17">
        <v>0.29079114255938115</v>
      </c>
      <c r="H2204" s="1" t="s">
        <v>143</v>
      </c>
      <c r="I2204" s="14"/>
    </row>
    <row r="2205" spans="1:9" x14ac:dyDescent="0.25">
      <c r="A2205" s="14">
        <v>2016</v>
      </c>
      <c r="B2205" s="14">
        <v>215</v>
      </c>
      <c r="C2205" s="15">
        <v>42584</v>
      </c>
      <c r="D2205" s="16">
        <v>0.30555555555555552</v>
      </c>
      <c r="E2205" s="14">
        <v>190</v>
      </c>
      <c r="F2205" s="14">
        <v>4</v>
      </c>
      <c r="G2205" s="17">
        <v>0.29466457906528309</v>
      </c>
      <c r="H2205" s="1" t="s">
        <v>143</v>
      </c>
      <c r="I2205" s="14"/>
    </row>
    <row r="2206" spans="1:9" x14ac:dyDescent="0.25">
      <c r="A2206" s="14">
        <v>2016</v>
      </c>
      <c r="B2206" s="14">
        <v>215</v>
      </c>
      <c r="C2206" s="15">
        <v>42584</v>
      </c>
      <c r="D2206" s="16">
        <v>0.31319444444444444</v>
      </c>
      <c r="E2206" s="14">
        <v>190</v>
      </c>
      <c r="F2206" s="14">
        <v>5</v>
      </c>
      <c r="G2206" s="17">
        <v>0.34533068572288428</v>
      </c>
      <c r="H2206" s="1" t="s">
        <v>0</v>
      </c>
      <c r="I2206" s="14"/>
    </row>
    <row r="2207" spans="1:9" x14ac:dyDescent="0.25">
      <c r="A2207" s="14">
        <v>2016</v>
      </c>
      <c r="B2207" s="14">
        <v>215</v>
      </c>
      <c r="C2207" s="15">
        <v>42584</v>
      </c>
      <c r="D2207" s="16">
        <v>0.32361111111111113</v>
      </c>
      <c r="E2207" s="14">
        <v>190</v>
      </c>
      <c r="F2207" s="14">
        <v>6</v>
      </c>
      <c r="G2207" s="17">
        <v>0.36006531604935527</v>
      </c>
      <c r="H2207" s="1" t="s">
        <v>0</v>
      </c>
      <c r="I2207" s="14"/>
    </row>
    <row r="2208" spans="1:9" x14ac:dyDescent="0.25">
      <c r="A2208" s="14">
        <v>2016</v>
      </c>
      <c r="B2208" s="14">
        <v>215</v>
      </c>
      <c r="C2208" s="15">
        <v>42584</v>
      </c>
      <c r="D2208" s="16">
        <v>0.3354166666666667</v>
      </c>
      <c r="E2208" s="14">
        <v>190</v>
      </c>
      <c r="F2208" s="14">
        <v>7</v>
      </c>
      <c r="G2208" s="17">
        <v>0.28578876476030185</v>
      </c>
      <c r="H2208" s="1" t="s">
        <v>143</v>
      </c>
      <c r="I2208" s="14"/>
    </row>
    <row r="2209" spans="1:9" x14ac:dyDescent="0.25">
      <c r="A2209" s="14">
        <v>2016</v>
      </c>
      <c r="B2209" s="14">
        <v>215</v>
      </c>
      <c r="C2209" s="15">
        <v>42584</v>
      </c>
      <c r="D2209" s="16">
        <v>0.34166666666666662</v>
      </c>
      <c r="E2209" s="14">
        <v>190</v>
      </c>
      <c r="F2209" s="14">
        <v>8</v>
      </c>
      <c r="G2209" s="17">
        <v>0.30106840122830686</v>
      </c>
      <c r="H2209" s="1" t="s">
        <v>143</v>
      </c>
      <c r="I2209" s="14"/>
    </row>
    <row r="2210" spans="1:9" x14ac:dyDescent="0.25">
      <c r="A2210" s="14">
        <v>2016</v>
      </c>
      <c r="B2210" s="14">
        <v>215</v>
      </c>
      <c r="C2210" s="15">
        <v>42584</v>
      </c>
      <c r="D2210" s="16">
        <v>0.34791666666666665</v>
      </c>
      <c r="E2210" s="14">
        <v>190</v>
      </c>
      <c r="F2210" s="14">
        <v>9</v>
      </c>
      <c r="G2210" s="17">
        <v>0.28962327225609419</v>
      </c>
      <c r="H2210" s="1" t="s">
        <v>143</v>
      </c>
      <c r="I2210" s="14"/>
    </row>
    <row r="2211" spans="1:9" x14ac:dyDescent="0.25">
      <c r="A2211" s="14">
        <v>2016</v>
      </c>
      <c r="B2211" s="14">
        <v>215</v>
      </c>
      <c r="C2211" s="15">
        <v>42584</v>
      </c>
      <c r="D2211" s="16">
        <v>0.34791666666666665</v>
      </c>
      <c r="E2211" s="14">
        <v>190</v>
      </c>
      <c r="F2211" s="14">
        <v>10</v>
      </c>
      <c r="G2211" s="17">
        <v>0.29143347122618907</v>
      </c>
      <c r="H2211" s="1" t="s">
        <v>143</v>
      </c>
      <c r="I2211" s="14"/>
    </row>
    <row r="2212" spans="1:9" x14ac:dyDescent="0.25">
      <c r="A2212" s="14">
        <v>2016</v>
      </c>
      <c r="B2212" s="14">
        <v>215</v>
      </c>
      <c r="C2212" s="15">
        <v>42584</v>
      </c>
      <c r="D2212" s="16">
        <v>0.41736111111111113</v>
      </c>
      <c r="E2212" s="14">
        <v>190</v>
      </c>
      <c r="F2212" s="14">
        <v>11</v>
      </c>
      <c r="G2212" s="17">
        <v>0.30784204898737144</v>
      </c>
      <c r="H2212" s="1" t="s">
        <v>144</v>
      </c>
      <c r="I2212" s="14"/>
    </row>
    <row r="2213" spans="1:9" x14ac:dyDescent="0.25">
      <c r="A2213" s="14">
        <v>2016</v>
      </c>
      <c r="B2213" s="14">
        <v>215</v>
      </c>
      <c r="C2213" s="15">
        <v>42584</v>
      </c>
      <c r="D2213" s="16">
        <v>0.4236111111111111</v>
      </c>
      <c r="E2213" s="14">
        <v>190</v>
      </c>
      <c r="F2213" s="14">
        <v>12</v>
      </c>
      <c r="G2213" s="17">
        <v>0.3128054977763412</v>
      </c>
      <c r="H2213" s="1" t="s">
        <v>144</v>
      </c>
      <c r="I2213" s="14"/>
    </row>
    <row r="2214" spans="1:9" x14ac:dyDescent="0.25">
      <c r="A2214" s="14">
        <v>2016</v>
      </c>
      <c r="B2214" s="14">
        <v>215</v>
      </c>
      <c r="C2214" s="15">
        <v>42584</v>
      </c>
      <c r="D2214" s="16">
        <v>0.4381944444444445</v>
      </c>
      <c r="E2214" s="14">
        <v>190</v>
      </c>
      <c r="F2214" s="14">
        <v>13</v>
      </c>
      <c r="G2214" s="17">
        <v>0.29289330910529782</v>
      </c>
      <c r="H2214" s="1" t="s">
        <v>144</v>
      </c>
      <c r="I2214" s="14"/>
    </row>
    <row r="2215" spans="1:9" x14ac:dyDescent="0.25">
      <c r="A2215" s="14">
        <v>2016</v>
      </c>
      <c r="B2215" s="14">
        <v>215</v>
      </c>
      <c r="C2215" s="15">
        <v>42584</v>
      </c>
      <c r="D2215" s="16">
        <v>0.40972222222222227</v>
      </c>
      <c r="E2215" s="14">
        <v>190</v>
      </c>
      <c r="F2215" s="14">
        <v>14</v>
      </c>
      <c r="G2215" s="17">
        <v>0.30239198757203212</v>
      </c>
      <c r="H2215" s="1" t="s">
        <v>144</v>
      </c>
      <c r="I2215" s="14"/>
    </row>
    <row r="2216" spans="1:9" x14ac:dyDescent="0.25">
      <c r="A2216" s="14">
        <v>2016</v>
      </c>
      <c r="B2216" s="14">
        <v>215</v>
      </c>
      <c r="C2216" s="15">
        <v>42584</v>
      </c>
      <c r="D2216" s="16">
        <v>0.4465277777777778</v>
      </c>
      <c r="E2216" s="14">
        <v>190</v>
      </c>
      <c r="F2216" s="14">
        <v>15</v>
      </c>
      <c r="G2216" s="17">
        <v>0.35368095839138625</v>
      </c>
      <c r="H2216" s="1" t="s">
        <v>1</v>
      </c>
      <c r="I2216" s="14"/>
    </row>
    <row r="2217" spans="1:9" x14ac:dyDescent="0.25">
      <c r="A2217" s="14">
        <v>2016</v>
      </c>
      <c r="B2217" s="14">
        <v>215</v>
      </c>
      <c r="C2217" s="15">
        <v>42584</v>
      </c>
      <c r="D2217" s="16">
        <v>0.4513888888888889</v>
      </c>
      <c r="E2217" s="14">
        <v>190</v>
      </c>
      <c r="F2217" s="14">
        <v>16</v>
      </c>
      <c r="G2217" s="17">
        <v>0.34324798368202242</v>
      </c>
      <c r="H2217" s="1" t="s">
        <v>1</v>
      </c>
      <c r="I2217" s="14"/>
    </row>
    <row r="2218" spans="1:9" x14ac:dyDescent="0.25">
      <c r="A2218" s="14">
        <v>2016</v>
      </c>
      <c r="B2218" s="14">
        <v>215</v>
      </c>
      <c r="C2218" s="15">
        <v>42584</v>
      </c>
      <c r="D2218" s="16">
        <v>0.4597222222222222</v>
      </c>
      <c r="E2218" s="14">
        <v>190</v>
      </c>
      <c r="F2218" s="14">
        <v>17</v>
      </c>
      <c r="G2218" s="17">
        <v>0.31917039092925537</v>
      </c>
      <c r="H2218" s="1" t="s">
        <v>144</v>
      </c>
      <c r="I2218" s="14"/>
    </row>
    <row r="2219" spans="1:9" x14ac:dyDescent="0.25">
      <c r="A2219" s="14">
        <v>2016</v>
      </c>
      <c r="B2219" s="14">
        <v>215</v>
      </c>
      <c r="C2219" s="15">
        <v>42584</v>
      </c>
      <c r="D2219" s="16">
        <v>0.40277777777777773</v>
      </c>
      <c r="E2219" s="14">
        <v>190</v>
      </c>
      <c r="F2219" s="14">
        <v>18</v>
      </c>
      <c r="G2219" s="17">
        <v>0.31132619539217771</v>
      </c>
      <c r="H2219" s="1" t="s">
        <v>144</v>
      </c>
      <c r="I2219" s="14"/>
    </row>
    <row r="2220" spans="1:9" x14ac:dyDescent="0.25">
      <c r="A2220" s="14">
        <v>2016</v>
      </c>
      <c r="B2220" s="14">
        <v>215</v>
      </c>
      <c r="C2220" s="15">
        <v>42584</v>
      </c>
      <c r="D2220" s="16">
        <v>0.39652777777777781</v>
      </c>
      <c r="E2220" s="14">
        <v>190</v>
      </c>
      <c r="F2220" s="14">
        <v>19</v>
      </c>
      <c r="G2220" s="17">
        <v>0.2982849770054728</v>
      </c>
      <c r="H2220" s="1" t="s">
        <v>144</v>
      </c>
      <c r="I2220" s="14"/>
    </row>
    <row r="2221" spans="1:9" x14ac:dyDescent="0.25">
      <c r="A2221" s="14">
        <v>2016</v>
      </c>
      <c r="B2221" s="14">
        <v>215</v>
      </c>
      <c r="C2221" s="15">
        <v>42584</v>
      </c>
      <c r="D2221" s="16">
        <v>0.38958333333333334</v>
      </c>
      <c r="E2221" s="14">
        <v>190</v>
      </c>
      <c r="F2221" s="14">
        <v>20</v>
      </c>
      <c r="G2221" s="17">
        <v>0.3055257728858522</v>
      </c>
      <c r="H2221" s="1" t="s">
        <v>144</v>
      </c>
      <c r="I2221" s="14"/>
    </row>
    <row r="2222" spans="1:9" x14ac:dyDescent="0.25">
      <c r="A2222" s="14">
        <v>2016</v>
      </c>
      <c r="B2222" s="14">
        <v>215</v>
      </c>
      <c r="C2222" s="15">
        <v>42584</v>
      </c>
      <c r="D2222" s="16">
        <v>0.29236111111111113</v>
      </c>
      <c r="E2222" s="14">
        <v>170</v>
      </c>
      <c r="F2222" s="14">
        <v>1</v>
      </c>
      <c r="G2222" s="17">
        <v>0.28557465520469927</v>
      </c>
      <c r="H2222" s="1" t="s">
        <v>143</v>
      </c>
      <c r="I2222" s="14"/>
    </row>
    <row r="2223" spans="1:9" x14ac:dyDescent="0.25">
      <c r="A2223" s="14">
        <v>2016</v>
      </c>
      <c r="B2223" s="14">
        <v>215</v>
      </c>
      <c r="C2223" s="15">
        <v>42584</v>
      </c>
      <c r="D2223" s="16">
        <v>0.2986111111111111</v>
      </c>
      <c r="E2223" s="14">
        <v>170</v>
      </c>
      <c r="F2223" s="14">
        <v>2</v>
      </c>
      <c r="G2223" s="17">
        <v>0.27704920199070415</v>
      </c>
      <c r="H2223" s="1" t="s">
        <v>143</v>
      </c>
      <c r="I2223" s="14"/>
    </row>
    <row r="2224" spans="1:9" x14ac:dyDescent="0.25">
      <c r="A2224" s="14">
        <v>2016</v>
      </c>
      <c r="B2224" s="14">
        <v>215</v>
      </c>
      <c r="C2224" s="15">
        <v>42584</v>
      </c>
      <c r="D2224" s="16">
        <v>0.29930555555555555</v>
      </c>
      <c r="E2224" s="14">
        <v>170</v>
      </c>
      <c r="F2224" s="14">
        <v>3</v>
      </c>
      <c r="G2224" s="17">
        <v>0.28828022140731413</v>
      </c>
      <c r="H2224" s="1" t="s">
        <v>143</v>
      </c>
      <c r="I2224" s="14"/>
    </row>
    <row r="2225" spans="1:9" x14ac:dyDescent="0.25">
      <c r="A2225" s="14">
        <v>2016</v>
      </c>
      <c r="B2225" s="14">
        <v>215</v>
      </c>
      <c r="C2225" s="15">
        <v>42584</v>
      </c>
      <c r="D2225" s="16">
        <v>0.30555555555555552</v>
      </c>
      <c r="E2225" s="14">
        <v>170</v>
      </c>
      <c r="F2225" s="14">
        <v>4</v>
      </c>
      <c r="G2225" s="17">
        <v>0.29618281045955619</v>
      </c>
      <c r="H2225" s="1" t="s">
        <v>143</v>
      </c>
      <c r="I2225" s="14"/>
    </row>
    <row r="2226" spans="1:9" x14ac:dyDescent="0.25">
      <c r="A2226" s="14">
        <v>2016</v>
      </c>
      <c r="B2226" s="14">
        <v>215</v>
      </c>
      <c r="C2226" s="15">
        <v>42584</v>
      </c>
      <c r="D2226" s="16">
        <v>0.31319444444444444</v>
      </c>
      <c r="E2226" s="14">
        <v>170</v>
      </c>
      <c r="F2226" s="14">
        <v>5</v>
      </c>
      <c r="G2226" s="17">
        <v>0.32936979157796187</v>
      </c>
      <c r="H2226" s="1" t="s">
        <v>0</v>
      </c>
      <c r="I2226" s="14"/>
    </row>
    <row r="2227" spans="1:9" x14ac:dyDescent="0.25">
      <c r="A2227" s="14">
        <v>2016</v>
      </c>
      <c r="B2227" s="14">
        <v>215</v>
      </c>
      <c r="C2227" s="15">
        <v>42584</v>
      </c>
      <c r="D2227" s="16">
        <v>0.32361111111111113</v>
      </c>
      <c r="E2227" s="14">
        <v>170</v>
      </c>
      <c r="F2227" s="14">
        <v>6</v>
      </c>
      <c r="G2227" s="17">
        <v>0.35152039833030529</v>
      </c>
      <c r="H2227" s="1" t="s">
        <v>0</v>
      </c>
      <c r="I2227" s="14"/>
    </row>
    <row r="2228" spans="1:9" x14ac:dyDescent="0.25">
      <c r="A2228" s="14">
        <v>2016</v>
      </c>
      <c r="B2228" s="14">
        <v>215</v>
      </c>
      <c r="C2228" s="15">
        <v>42584</v>
      </c>
      <c r="D2228" s="16">
        <v>0.3354166666666667</v>
      </c>
      <c r="E2228" s="14">
        <v>170</v>
      </c>
      <c r="F2228" s="14">
        <v>7</v>
      </c>
      <c r="G2228" s="17">
        <v>0.30937974488669934</v>
      </c>
      <c r="H2228" s="1" t="s">
        <v>143</v>
      </c>
      <c r="I2228" s="14"/>
    </row>
    <row r="2229" spans="1:9" x14ac:dyDescent="0.25">
      <c r="A2229" s="14">
        <v>2016</v>
      </c>
      <c r="B2229" s="14">
        <v>215</v>
      </c>
      <c r="C2229" s="15">
        <v>42584</v>
      </c>
      <c r="D2229" s="16">
        <v>0.34166666666666662</v>
      </c>
      <c r="E2229" s="14">
        <v>170</v>
      </c>
      <c r="F2229" s="14">
        <v>8</v>
      </c>
      <c r="G2229" s="17">
        <v>0.30743329438122097</v>
      </c>
      <c r="H2229" s="1" t="s">
        <v>143</v>
      </c>
      <c r="I2229" s="14"/>
    </row>
    <row r="2230" spans="1:9" x14ac:dyDescent="0.25">
      <c r="A2230" s="14">
        <v>2016</v>
      </c>
      <c r="B2230" s="14">
        <v>215</v>
      </c>
      <c r="C2230" s="15">
        <v>42584</v>
      </c>
      <c r="D2230" s="16">
        <v>0.34791666666666665</v>
      </c>
      <c r="E2230" s="14">
        <v>170</v>
      </c>
      <c r="F2230" s="14">
        <v>9</v>
      </c>
      <c r="G2230" s="17">
        <v>0.3012241172687451</v>
      </c>
      <c r="H2230" s="1" t="s">
        <v>143</v>
      </c>
      <c r="I2230" s="14"/>
    </row>
    <row r="2231" spans="1:9" x14ac:dyDescent="0.25">
      <c r="A2231" s="14">
        <v>2016</v>
      </c>
      <c r="B2231" s="14">
        <v>215</v>
      </c>
      <c r="C2231" s="15">
        <v>42584</v>
      </c>
      <c r="D2231" s="16">
        <v>0.34791666666666665</v>
      </c>
      <c r="E2231" s="14">
        <v>170</v>
      </c>
      <c r="F2231" s="14">
        <v>10</v>
      </c>
      <c r="G2231" s="17">
        <v>0.30610970803749571</v>
      </c>
      <c r="H2231" s="1" t="s">
        <v>143</v>
      </c>
      <c r="I2231" s="14"/>
    </row>
    <row r="2232" spans="1:9" x14ac:dyDescent="0.25">
      <c r="A2232" s="14">
        <v>2016</v>
      </c>
      <c r="B2232" s="14">
        <v>215</v>
      </c>
      <c r="C2232" s="15">
        <v>42584</v>
      </c>
      <c r="D2232" s="16">
        <v>0.41736111111111113</v>
      </c>
      <c r="E2232" s="14">
        <v>170</v>
      </c>
      <c r="F2232" s="14">
        <v>11</v>
      </c>
      <c r="G2232" s="17">
        <v>0.3209027318791311</v>
      </c>
      <c r="H2232" s="1" t="s">
        <v>144</v>
      </c>
      <c r="I2232" s="14"/>
    </row>
    <row r="2233" spans="1:9" x14ac:dyDescent="0.25">
      <c r="A2233" s="14">
        <v>2016</v>
      </c>
      <c r="B2233" s="14">
        <v>215</v>
      </c>
      <c r="C2233" s="15">
        <v>42584</v>
      </c>
      <c r="D2233" s="16">
        <v>0.4236111111111111</v>
      </c>
      <c r="E2233" s="14">
        <v>170</v>
      </c>
      <c r="F2233" s="14">
        <v>12</v>
      </c>
      <c r="G2233" s="17">
        <v>0.33452788541747946</v>
      </c>
      <c r="H2233" s="1" t="s">
        <v>144</v>
      </c>
      <c r="I2233" s="14"/>
    </row>
    <row r="2234" spans="1:9" x14ac:dyDescent="0.25">
      <c r="A2234" s="14">
        <v>2016</v>
      </c>
      <c r="B2234" s="14">
        <v>215</v>
      </c>
      <c r="C2234" s="15">
        <v>42584</v>
      </c>
      <c r="D2234" s="16">
        <v>0.4381944444444445</v>
      </c>
      <c r="E2234" s="14">
        <v>170</v>
      </c>
      <c r="F2234" s="14">
        <v>13</v>
      </c>
      <c r="G2234" s="17">
        <v>0.30803669403791928</v>
      </c>
      <c r="H2234" s="1" t="s">
        <v>144</v>
      </c>
      <c r="I2234" s="14"/>
    </row>
    <row r="2235" spans="1:9" x14ac:dyDescent="0.25">
      <c r="A2235" s="14">
        <v>2016</v>
      </c>
      <c r="B2235" s="14">
        <v>215</v>
      </c>
      <c r="C2235" s="15">
        <v>42584</v>
      </c>
      <c r="D2235" s="16">
        <v>0.40972222222222227</v>
      </c>
      <c r="E2235" s="14">
        <v>170</v>
      </c>
      <c r="F2235" s="14">
        <v>14</v>
      </c>
      <c r="G2235" s="17">
        <v>0.31695143735301007</v>
      </c>
      <c r="H2235" s="1" t="s">
        <v>144</v>
      </c>
      <c r="I2235" s="14"/>
    </row>
    <row r="2236" spans="1:9" x14ac:dyDescent="0.25">
      <c r="A2236" s="14">
        <v>2016</v>
      </c>
      <c r="B2236" s="14">
        <v>215</v>
      </c>
      <c r="C2236" s="15">
        <v>42584</v>
      </c>
      <c r="D2236" s="16">
        <v>0.4465277777777778</v>
      </c>
      <c r="E2236" s="14">
        <v>170</v>
      </c>
      <c r="F2236" s="14">
        <v>15</v>
      </c>
      <c r="G2236" s="17">
        <v>0.33590986527636907</v>
      </c>
      <c r="H2236" s="1" t="s">
        <v>1</v>
      </c>
      <c r="I2236" s="14"/>
    </row>
    <row r="2237" spans="1:9" x14ac:dyDescent="0.25">
      <c r="A2237" s="14">
        <v>2016</v>
      </c>
      <c r="B2237" s="14">
        <v>215</v>
      </c>
      <c r="C2237" s="15">
        <v>42584</v>
      </c>
      <c r="D2237" s="16">
        <v>0.4513888888888889</v>
      </c>
      <c r="E2237" s="14">
        <v>170</v>
      </c>
      <c r="F2237" s="14">
        <v>16</v>
      </c>
      <c r="G2237" s="17">
        <v>0.33020676529531756</v>
      </c>
      <c r="H2237" s="1" t="s">
        <v>1</v>
      </c>
      <c r="I2237" s="14"/>
    </row>
    <row r="2238" spans="1:9" x14ac:dyDescent="0.25">
      <c r="A2238" s="14">
        <v>2016</v>
      </c>
      <c r="B2238" s="14">
        <v>215</v>
      </c>
      <c r="C2238" s="15">
        <v>42584</v>
      </c>
      <c r="D2238" s="16">
        <v>0.4597222222222222</v>
      </c>
      <c r="E2238" s="14">
        <v>170</v>
      </c>
      <c r="F2238" s="14">
        <v>17</v>
      </c>
      <c r="G2238" s="17">
        <v>0.31652321824180485</v>
      </c>
      <c r="H2238" s="1" t="s">
        <v>144</v>
      </c>
      <c r="I2238" s="14"/>
    </row>
    <row r="2239" spans="1:9" x14ac:dyDescent="0.25">
      <c r="A2239" s="14">
        <v>2016</v>
      </c>
      <c r="B2239" s="14">
        <v>215</v>
      </c>
      <c r="C2239" s="15">
        <v>42584</v>
      </c>
      <c r="D2239" s="16">
        <v>0.40277777777777773</v>
      </c>
      <c r="E2239" s="14">
        <v>170</v>
      </c>
      <c r="F2239" s="14">
        <v>18</v>
      </c>
      <c r="G2239" s="17">
        <v>0.33018730079026276</v>
      </c>
      <c r="H2239" s="1" t="s">
        <v>144</v>
      </c>
      <c r="I2239" s="14"/>
    </row>
    <row r="2240" spans="1:9" x14ac:dyDescent="0.25">
      <c r="A2240" s="14">
        <v>2016</v>
      </c>
      <c r="B2240" s="14">
        <v>215</v>
      </c>
      <c r="C2240" s="15">
        <v>42584</v>
      </c>
      <c r="D2240" s="16">
        <v>0.39652777777777781</v>
      </c>
      <c r="E2240" s="14">
        <v>170</v>
      </c>
      <c r="F2240" s="14">
        <v>19</v>
      </c>
      <c r="G2240" s="17">
        <v>0.31087851177591769</v>
      </c>
      <c r="H2240" s="1" t="s">
        <v>144</v>
      </c>
      <c r="I2240" s="14"/>
    </row>
    <row r="2241" spans="1:9" x14ac:dyDescent="0.25">
      <c r="A2241" s="14">
        <v>2016</v>
      </c>
      <c r="B2241" s="14">
        <v>215</v>
      </c>
      <c r="C2241" s="15">
        <v>42584</v>
      </c>
      <c r="D2241" s="16">
        <v>0.38958333333333334</v>
      </c>
      <c r="E2241" s="14">
        <v>170</v>
      </c>
      <c r="F2241" s="14">
        <v>20</v>
      </c>
      <c r="G2241" s="17">
        <v>0.31632857319125701</v>
      </c>
      <c r="H2241" s="1" t="s">
        <v>144</v>
      </c>
      <c r="I2241" s="14"/>
    </row>
    <row r="2242" spans="1:9" x14ac:dyDescent="0.25">
      <c r="A2242" s="14">
        <v>2016</v>
      </c>
      <c r="B2242" s="14">
        <v>215</v>
      </c>
      <c r="C2242" s="15">
        <v>42584</v>
      </c>
      <c r="D2242" s="16">
        <v>0.29236111111111113</v>
      </c>
      <c r="E2242" s="14">
        <v>150</v>
      </c>
      <c r="F2242" s="14">
        <v>1</v>
      </c>
      <c r="G2242" s="17">
        <v>0.34250833248994067</v>
      </c>
      <c r="H2242" s="1" t="s">
        <v>143</v>
      </c>
      <c r="I2242" s="14"/>
    </row>
    <row r="2243" spans="1:9" x14ac:dyDescent="0.25">
      <c r="A2243" s="14">
        <v>2016</v>
      </c>
      <c r="B2243" s="14">
        <v>215</v>
      </c>
      <c r="C2243" s="15">
        <v>42584</v>
      </c>
      <c r="D2243" s="16">
        <v>0.2986111111111111</v>
      </c>
      <c r="E2243" s="14">
        <v>150</v>
      </c>
      <c r="F2243" s="14">
        <v>2</v>
      </c>
      <c r="G2243" s="17">
        <v>0.33055712638630363</v>
      </c>
      <c r="H2243" s="1" t="s">
        <v>143</v>
      </c>
      <c r="I2243" s="14"/>
    </row>
    <row r="2244" spans="1:9" x14ac:dyDescent="0.25">
      <c r="A2244" s="14">
        <v>2016</v>
      </c>
      <c r="B2244" s="14">
        <v>215</v>
      </c>
      <c r="C2244" s="15">
        <v>42584</v>
      </c>
      <c r="D2244" s="16">
        <v>0.29930555555555555</v>
      </c>
      <c r="E2244" s="14">
        <v>150</v>
      </c>
      <c r="F2244" s="14">
        <v>3</v>
      </c>
      <c r="G2244" s="17">
        <v>0.31284442678645075</v>
      </c>
      <c r="H2244" s="1" t="s">
        <v>143</v>
      </c>
      <c r="I2244" s="14"/>
    </row>
    <row r="2245" spans="1:9" x14ac:dyDescent="0.25">
      <c r="A2245" s="14">
        <v>2016</v>
      </c>
      <c r="B2245" s="14">
        <v>215</v>
      </c>
      <c r="C2245" s="15">
        <v>42584</v>
      </c>
      <c r="D2245" s="16">
        <v>0.30555555555555552</v>
      </c>
      <c r="E2245" s="14">
        <v>150</v>
      </c>
      <c r="F2245" s="14">
        <v>4</v>
      </c>
      <c r="G2245" s="17">
        <v>0.30011464048062242</v>
      </c>
      <c r="H2245" s="1" t="s">
        <v>143</v>
      </c>
      <c r="I2245" s="14"/>
    </row>
    <row r="2246" spans="1:9" x14ac:dyDescent="0.25">
      <c r="A2246" s="14">
        <v>2016</v>
      </c>
      <c r="B2246" s="14">
        <v>215</v>
      </c>
      <c r="C2246" s="15">
        <v>42584</v>
      </c>
      <c r="D2246" s="16">
        <v>0.31319444444444444</v>
      </c>
      <c r="E2246" s="14">
        <v>150</v>
      </c>
      <c r="F2246" s="14">
        <v>5</v>
      </c>
      <c r="G2246" s="17">
        <v>0.36722825390951552</v>
      </c>
      <c r="H2246" s="1" t="s">
        <v>0</v>
      </c>
      <c r="I2246" s="14"/>
    </row>
    <row r="2247" spans="1:9" x14ac:dyDescent="0.25">
      <c r="A2247" s="14">
        <v>2016</v>
      </c>
      <c r="B2247" s="14">
        <v>215</v>
      </c>
      <c r="C2247" s="15">
        <v>42584</v>
      </c>
      <c r="D2247" s="16">
        <v>0.32361111111111113</v>
      </c>
      <c r="E2247" s="14">
        <v>150</v>
      </c>
      <c r="F2247" s="14">
        <v>6</v>
      </c>
      <c r="G2247" s="17">
        <v>0.3529607717043593</v>
      </c>
      <c r="H2247" s="1" t="s">
        <v>0</v>
      </c>
      <c r="I2247" s="14"/>
    </row>
    <row r="2248" spans="1:9" x14ac:dyDescent="0.25">
      <c r="A2248" s="14">
        <v>2016</v>
      </c>
      <c r="B2248" s="14">
        <v>215</v>
      </c>
      <c r="C2248" s="15">
        <v>42584</v>
      </c>
      <c r="D2248" s="16">
        <v>0.3354166666666667</v>
      </c>
      <c r="E2248" s="14">
        <v>150</v>
      </c>
      <c r="F2248" s="14">
        <v>7</v>
      </c>
      <c r="G2248" s="17">
        <v>0.3295060431133453</v>
      </c>
      <c r="H2248" s="1" t="s">
        <v>143</v>
      </c>
      <c r="I2248" s="14"/>
    </row>
    <row r="2249" spans="1:9" x14ac:dyDescent="0.25">
      <c r="A2249" s="14">
        <v>2016</v>
      </c>
      <c r="B2249" s="14">
        <v>215</v>
      </c>
      <c r="C2249" s="15">
        <v>42584</v>
      </c>
      <c r="D2249" s="16">
        <v>0.34166666666666662</v>
      </c>
      <c r="E2249" s="14">
        <v>150</v>
      </c>
      <c r="F2249" s="14">
        <v>8</v>
      </c>
      <c r="G2249" s="17">
        <v>0.34272244204554325</v>
      </c>
      <c r="H2249" s="1" t="s">
        <v>143</v>
      </c>
      <c r="I2249" s="14"/>
    </row>
    <row r="2250" spans="1:9" x14ac:dyDescent="0.25">
      <c r="A2250" s="14">
        <v>2016</v>
      </c>
      <c r="B2250" s="14">
        <v>215</v>
      </c>
      <c r="C2250" s="15">
        <v>42584</v>
      </c>
      <c r="D2250" s="16">
        <v>0.34791666666666665</v>
      </c>
      <c r="E2250" s="14">
        <v>150</v>
      </c>
      <c r="F2250" s="14">
        <v>9</v>
      </c>
      <c r="G2250" s="17">
        <v>0.33034301683070105</v>
      </c>
      <c r="H2250" s="1" t="s">
        <v>143</v>
      </c>
      <c r="I2250" s="14"/>
    </row>
    <row r="2251" spans="1:9" x14ac:dyDescent="0.25">
      <c r="A2251" s="14">
        <v>2016</v>
      </c>
      <c r="B2251" s="14">
        <v>215</v>
      </c>
      <c r="C2251" s="15">
        <v>42584</v>
      </c>
      <c r="D2251" s="16">
        <v>0.34791666666666665</v>
      </c>
      <c r="E2251" s="14">
        <v>150</v>
      </c>
      <c r="F2251" s="14">
        <v>10</v>
      </c>
      <c r="G2251" s="17">
        <v>0.34169082327763972</v>
      </c>
      <c r="H2251" s="1" t="s">
        <v>143</v>
      </c>
      <c r="I2251" s="14"/>
    </row>
    <row r="2252" spans="1:9" x14ac:dyDescent="0.25">
      <c r="A2252" s="14">
        <v>2016</v>
      </c>
      <c r="B2252" s="14">
        <v>215</v>
      </c>
      <c r="C2252" s="15">
        <v>42584</v>
      </c>
      <c r="D2252" s="16">
        <v>0.41736111111111113</v>
      </c>
      <c r="E2252" s="14">
        <v>150</v>
      </c>
      <c r="F2252" s="14">
        <v>11</v>
      </c>
      <c r="G2252" s="17">
        <v>0.3369414840442726</v>
      </c>
      <c r="H2252" s="1" t="s">
        <v>144</v>
      </c>
      <c r="I2252" s="14"/>
    </row>
    <row r="2253" spans="1:9" x14ac:dyDescent="0.25">
      <c r="A2253" s="14">
        <v>2016</v>
      </c>
      <c r="B2253" s="14">
        <v>215</v>
      </c>
      <c r="C2253" s="15">
        <v>42584</v>
      </c>
      <c r="D2253" s="16">
        <v>0.4236111111111111</v>
      </c>
      <c r="E2253" s="14">
        <v>150</v>
      </c>
      <c r="F2253" s="14">
        <v>12</v>
      </c>
      <c r="G2253" s="17">
        <v>0.33452788541747946</v>
      </c>
      <c r="H2253" s="1" t="s">
        <v>144</v>
      </c>
      <c r="I2253" s="14"/>
    </row>
    <row r="2254" spans="1:9" x14ac:dyDescent="0.25">
      <c r="A2254" s="14">
        <v>2016</v>
      </c>
      <c r="B2254" s="14">
        <v>215</v>
      </c>
      <c r="C2254" s="15">
        <v>42584</v>
      </c>
      <c r="D2254" s="16">
        <v>0.4381944444444445</v>
      </c>
      <c r="E2254" s="14">
        <v>150</v>
      </c>
      <c r="F2254" s="14">
        <v>13</v>
      </c>
      <c r="G2254" s="17">
        <v>0.30749168789638537</v>
      </c>
      <c r="H2254" s="1" t="s">
        <v>144</v>
      </c>
      <c r="I2254" s="14"/>
    </row>
    <row r="2255" spans="1:9" x14ac:dyDescent="0.25">
      <c r="A2255" s="14">
        <v>2016</v>
      </c>
      <c r="B2255" s="14">
        <v>215</v>
      </c>
      <c r="C2255" s="15">
        <v>42584</v>
      </c>
      <c r="D2255" s="16">
        <v>0.40972222222222227</v>
      </c>
      <c r="E2255" s="14">
        <v>150</v>
      </c>
      <c r="F2255" s="14">
        <v>14</v>
      </c>
      <c r="G2255" s="17">
        <v>0.30167180088500511</v>
      </c>
      <c r="H2255" s="1" t="s">
        <v>144</v>
      </c>
      <c r="I2255" s="14"/>
    </row>
    <row r="2256" spans="1:9" x14ac:dyDescent="0.25">
      <c r="A2256" s="14">
        <v>2016</v>
      </c>
      <c r="B2256" s="14">
        <v>215</v>
      </c>
      <c r="C2256" s="15">
        <v>42584</v>
      </c>
      <c r="D2256" s="16">
        <v>0.4465277777777778</v>
      </c>
      <c r="E2256" s="14">
        <v>150</v>
      </c>
      <c r="F2256" s="14">
        <v>15</v>
      </c>
      <c r="G2256" s="17">
        <v>0.34698516865254081</v>
      </c>
      <c r="H2256" s="1" t="s">
        <v>1</v>
      </c>
      <c r="I2256" s="14"/>
    </row>
    <row r="2257" spans="1:9" x14ac:dyDescent="0.25">
      <c r="A2257" s="14">
        <v>2016</v>
      </c>
      <c r="B2257" s="14">
        <v>215</v>
      </c>
      <c r="C2257" s="15">
        <v>42584</v>
      </c>
      <c r="D2257" s="16">
        <v>0.4513888888888889</v>
      </c>
      <c r="E2257" s="14">
        <v>150</v>
      </c>
      <c r="F2257" s="14">
        <v>16</v>
      </c>
      <c r="G2257" s="17">
        <v>0.32987586870938623</v>
      </c>
      <c r="H2257" s="1" t="s">
        <v>1</v>
      </c>
      <c r="I2257" s="14"/>
    </row>
    <row r="2258" spans="1:9" x14ac:dyDescent="0.25">
      <c r="A2258" s="14">
        <v>2016</v>
      </c>
      <c r="B2258" s="14">
        <v>215</v>
      </c>
      <c r="C2258" s="15">
        <v>42584</v>
      </c>
      <c r="D2258" s="16">
        <v>0.4597222222222222</v>
      </c>
      <c r="E2258" s="14">
        <v>150</v>
      </c>
      <c r="F2258" s="14">
        <v>17</v>
      </c>
      <c r="G2258" s="17">
        <v>0.31991004212133717</v>
      </c>
      <c r="H2258" s="1" t="s">
        <v>144</v>
      </c>
      <c r="I2258" s="14"/>
    </row>
    <row r="2259" spans="1:9" x14ac:dyDescent="0.25">
      <c r="A2259" s="14">
        <v>2016</v>
      </c>
      <c r="B2259" s="14">
        <v>215</v>
      </c>
      <c r="C2259" s="15">
        <v>42584</v>
      </c>
      <c r="D2259" s="16">
        <v>0.40277777777777773</v>
      </c>
      <c r="E2259" s="14">
        <v>150</v>
      </c>
      <c r="F2259" s="14">
        <v>18</v>
      </c>
      <c r="G2259" s="17">
        <v>0.32861067588082532</v>
      </c>
      <c r="H2259" s="1" t="s">
        <v>144</v>
      </c>
      <c r="I2259" s="14"/>
    </row>
    <row r="2260" spans="1:9" x14ac:dyDescent="0.25">
      <c r="A2260" s="14">
        <v>2016</v>
      </c>
      <c r="B2260" s="14">
        <v>215</v>
      </c>
      <c r="C2260" s="15">
        <v>42584</v>
      </c>
      <c r="D2260" s="16">
        <v>0.39652777777777781</v>
      </c>
      <c r="E2260" s="14">
        <v>150</v>
      </c>
      <c r="F2260" s="14">
        <v>19</v>
      </c>
      <c r="G2260" s="17">
        <v>0.32876639192126361</v>
      </c>
      <c r="H2260" s="1" t="s">
        <v>144</v>
      </c>
      <c r="I2260" s="14"/>
    </row>
    <row r="2261" spans="1:9" x14ac:dyDescent="0.25">
      <c r="A2261" s="14">
        <v>2016</v>
      </c>
      <c r="B2261" s="14">
        <v>215</v>
      </c>
      <c r="C2261" s="15">
        <v>42584</v>
      </c>
      <c r="D2261" s="16">
        <v>0.38958333333333334</v>
      </c>
      <c r="E2261" s="14">
        <v>150</v>
      </c>
      <c r="F2261" s="14">
        <v>20</v>
      </c>
      <c r="G2261" s="17">
        <v>0.34548640176332246</v>
      </c>
      <c r="H2261" s="1" t="s">
        <v>144</v>
      </c>
      <c r="I2261" s="14"/>
    </row>
    <row r="2262" spans="1:9" x14ac:dyDescent="0.25">
      <c r="A2262" s="14">
        <v>2016</v>
      </c>
      <c r="B2262" s="14">
        <v>215</v>
      </c>
      <c r="C2262" s="15">
        <v>42584</v>
      </c>
      <c r="D2262" s="16">
        <v>0.29236111111111113</v>
      </c>
      <c r="E2262" s="14">
        <v>130</v>
      </c>
      <c r="F2262" s="14">
        <v>1</v>
      </c>
      <c r="G2262" s="17">
        <v>0.31229942064491684</v>
      </c>
      <c r="H2262" s="1" t="s">
        <v>143</v>
      </c>
      <c r="I2262" s="14"/>
    </row>
    <row r="2263" spans="1:9" x14ac:dyDescent="0.25">
      <c r="A2263" s="14">
        <v>2016</v>
      </c>
      <c r="B2263" s="14">
        <v>215</v>
      </c>
      <c r="C2263" s="15">
        <v>42584</v>
      </c>
      <c r="D2263" s="16">
        <v>0.2986111111111111</v>
      </c>
      <c r="E2263" s="14">
        <v>130</v>
      </c>
      <c r="F2263" s="14">
        <v>2</v>
      </c>
      <c r="G2263" s="17">
        <v>0.31266924624095771</v>
      </c>
      <c r="H2263" s="1" t="s">
        <v>143</v>
      </c>
      <c r="I2263" s="14"/>
    </row>
    <row r="2264" spans="1:9" x14ac:dyDescent="0.25">
      <c r="A2264" s="14">
        <v>2016</v>
      </c>
      <c r="B2264" s="14">
        <v>215</v>
      </c>
      <c r="C2264" s="15">
        <v>42584</v>
      </c>
      <c r="D2264" s="16">
        <v>0.29930555555555555</v>
      </c>
      <c r="E2264" s="14">
        <v>130</v>
      </c>
      <c r="F2264" s="14">
        <v>3</v>
      </c>
      <c r="G2264" s="17">
        <v>0.30622649506782446</v>
      </c>
      <c r="H2264" s="1" t="s">
        <v>143</v>
      </c>
      <c r="I2264" s="14"/>
    </row>
    <row r="2265" spans="1:9" x14ac:dyDescent="0.25">
      <c r="A2265" s="14">
        <v>2016</v>
      </c>
      <c r="B2265" s="14">
        <v>215</v>
      </c>
      <c r="C2265" s="15">
        <v>42584</v>
      </c>
      <c r="D2265" s="16">
        <v>0.30555555555555552</v>
      </c>
      <c r="E2265" s="14">
        <v>130</v>
      </c>
      <c r="F2265" s="14">
        <v>4</v>
      </c>
      <c r="G2265" s="17">
        <v>0.31025564761416458</v>
      </c>
      <c r="H2265" s="1" t="s">
        <v>143</v>
      </c>
      <c r="I2265" s="14"/>
    </row>
    <row r="2266" spans="1:9" x14ac:dyDescent="0.25">
      <c r="A2266" s="14">
        <v>2016</v>
      </c>
      <c r="B2266" s="14">
        <v>215</v>
      </c>
      <c r="C2266" s="15">
        <v>42584</v>
      </c>
      <c r="D2266" s="16">
        <v>0.31319444444444444</v>
      </c>
      <c r="E2266" s="14">
        <v>130</v>
      </c>
      <c r="F2266" s="14">
        <v>5</v>
      </c>
      <c r="G2266" s="17">
        <v>0.31216316910953334</v>
      </c>
      <c r="H2266" s="1" t="s">
        <v>0</v>
      </c>
      <c r="I2266" s="14"/>
    </row>
    <row r="2267" spans="1:9" x14ac:dyDescent="0.25">
      <c r="A2267" s="14">
        <v>2016</v>
      </c>
      <c r="B2267" s="14">
        <v>215</v>
      </c>
      <c r="C2267" s="15">
        <v>42584</v>
      </c>
      <c r="D2267" s="16">
        <v>0.32361111111111113</v>
      </c>
      <c r="E2267" s="14">
        <v>130</v>
      </c>
      <c r="F2267" s="14">
        <v>6</v>
      </c>
      <c r="G2267" s="17">
        <v>0.30844544864406975</v>
      </c>
      <c r="H2267" s="1" t="s">
        <v>0</v>
      </c>
      <c r="I2267" s="14"/>
    </row>
    <row r="2268" spans="1:9" x14ac:dyDescent="0.25">
      <c r="A2268" s="14">
        <v>2016</v>
      </c>
      <c r="B2268" s="14">
        <v>215</v>
      </c>
      <c r="C2268" s="15">
        <v>42584</v>
      </c>
      <c r="D2268" s="16">
        <v>0.3354166666666667</v>
      </c>
      <c r="E2268" s="14">
        <v>130</v>
      </c>
      <c r="F2268" s="14">
        <v>7</v>
      </c>
      <c r="G2268" s="17">
        <v>0.31082011826075329</v>
      </c>
      <c r="H2268" s="1" t="s">
        <v>143</v>
      </c>
      <c r="I2268" s="14"/>
    </row>
    <row r="2269" spans="1:9" x14ac:dyDescent="0.25">
      <c r="A2269" s="14">
        <v>2016</v>
      </c>
      <c r="B2269" s="14">
        <v>215</v>
      </c>
      <c r="C2269" s="15">
        <v>42584</v>
      </c>
      <c r="D2269" s="16">
        <v>0.34166666666666662</v>
      </c>
      <c r="E2269" s="14">
        <v>130</v>
      </c>
      <c r="F2269" s="14">
        <v>8</v>
      </c>
      <c r="G2269" s="17">
        <v>0.34155457174225623</v>
      </c>
      <c r="H2269" s="1" t="s">
        <v>143</v>
      </c>
      <c r="I2269" s="14"/>
    </row>
    <row r="2270" spans="1:9" x14ac:dyDescent="0.25">
      <c r="A2270" s="14">
        <v>2016</v>
      </c>
      <c r="B2270" s="14">
        <v>215</v>
      </c>
      <c r="C2270" s="15">
        <v>42584</v>
      </c>
      <c r="D2270" s="16">
        <v>0.34791666666666665</v>
      </c>
      <c r="E2270" s="14">
        <v>130</v>
      </c>
      <c r="F2270" s="14">
        <v>9</v>
      </c>
      <c r="G2270" s="17">
        <v>0.30445522510783912</v>
      </c>
      <c r="H2270" s="1" t="s">
        <v>143</v>
      </c>
      <c r="I2270" s="14"/>
    </row>
    <row r="2271" spans="1:9" x14ac:dyDescent="0.25">
      <c r="A2271" s="14">
        <v>2016</v>
      </c>
      <c r="B2271" s="14">
        <v>215</v>
      </c>
      <c r="C2271" s="15">
        <v>42584</v>
      </c>
      <c r="D2271" s="16">
        <v>0.34791666666666665</v>
      </c>
      <c r="E2271" s="14">
        <v>130</v>
      </c>
      <c r="F2271" s="14">
        <v>10</v>
      </c>
      <c r="G2271" s="17">
        <v>0.31981271959606322</v>
      </c>
      <c r="H2271" s="1" t="s">
        <v>143</v>
      </c>
      <c r="I2271" s="14"/>
    </row>
    <row r="2272" spans="1:9" x14ac:dyDescent="0.25">
      <c r="A2272" s="14">
        <v>2016</v>
      </c>
      <c r="B2272" s="14">
        <v>215</v>
      </c>
      <c r="C2272" s="15">
        <v>42584</v>
      </c>
      <c r="D2272" s="16">
        <v>0.41736111111111113</v>
      </c>
      <c r="E2272" s="14">
        <v>130</v>
      </c>
      <c r="F2272" s="14">
        <v>11</v>
      </c>
      <c r="G2272" s="17">
        <v>0.30634328209815309</v>
      </c>
      <c r="H2272" s="1" t="s">
        <v>144</v>
      </c>
      <c r="I2272" s="14"/>
    </row>
    <row r="2273" spans="1:9" x14ac:dyDescent="0.25">
      <c r="A2273" s="14">
        <v>2016</v>
      </c>
      <c r="B2273" s="14">
        <v>215</v>
      </c>
      <c r="C2273" s="15">
        <v>42584</v>
      </c>
      <c r="D2273" s="16">
        <v>0.4236111111111111</v>
      </c>
      <c r="E2273" s="14">
        <v>130</v>
      </c>
      <c r="F2273" s="14">
        <v>12</v>
      </c>
      <c r="G2273" s="17">
        <v>0.30046500157160855</v>
      </c>
      <c r="H2273" s="1" t="s">
        <v>144</v>
      </c>
      <c r="I2273" s="14"/>
    </row>
    <row r="2274" spans="1:9" x14ac:dyDescent="0.25">
      <c r="A2274" s="14">
        <v>2016</v>
      </c>
      <c r="B2274" s="14">
        <v>215</v>
      </c>
      <c r="C2274" s="15">
        <v>42584</v>
      </c>
      <c r="D2274" s="16">
        <v>0.4381944444444445</v>
      </c>
      <c r="E2274" s="14">
        <v>130</v>
      </c>
      <c r="F2274" s="14">
        <v>13</v>
      </c>
      <c r="G2274" s="17">
        <v>0.31545267046379172</v>
      </c>
      <c r="H2274" s="1" t="s">
        <v>144</v>
      </c>
      <c r="I2274" s="14"/>
    </row>
    <row r="2275" spans="1:9" x14ac:dyDescent="0.25">
      <c r="A2275" s="14">
        <v>2016</v>
      </c>
      <c r="B2275" s="14">
        <v>215</v>
      </c>
      <c r="C2275" s="15">
        <v>42584</v>
      </c>
      <c r="D2275" s="16">
        <v>0.40972222222222227</v>
      </c>
      <c r="E2275" s="14">
        <v>130</v>
      </c>
      <c r="F2275" s="14">
        <v>14</v>
      </c>
      <c r="G2275" s="17">
        <v>0.31358407797853255</v>
      </c>
      <c r="H2275" s="1" t="s">
        <v>144</v>
      </c>
      <c r="I2275" s="14"/>
    </row>
    <row r="2276" spans="1:9" x14ac:dyDescent="0.25">
      <c r="A2276" s="14">
        <v>2016</v>
      </c>
      <c r="B2276" s="14">
        <v>215</v>
      </c>
      <c r="C2276" s="15">
        <v>42584</v>
      </c>
      <c r="D2276" s="16">
        <v>0.4465277777777778</v>
      </c>
      <c r="E2276" s="14">
        <v>130</v>
      </c>
      <c r="F2276" s="14">
        <v>15</v>
      </c>
      <c r="G2276" s="17">
        <v>0.30301485173378517</v>
      </c>
      <c r="H2276" s="1" t="s">
        <v>1</v>
      </c>
      <c r="I2276" s="14"/>
    </row>
    <row r="2277" spans="1:9" x14ac:dyDescent="0.25">
      <c r="A2277" s="14">
        <v>2016</v>
      </c>
      <c r="B2277" s="14">
        <v>215</v>
      </c>
      <c r="C2277" s="15">
        <v>42584</v>
      </c>
      <c r="D2277" s="16">
        <v>0.4513888888888889</v>
      </c>
      <c r="E2277" s="14">
        <v>130</v>
      </c>
      <c r="F2277" s="14">
        <v>16</v>
      </c>
      <c r="G2277" s="17">
        <v>0.29980320839974589</v>
      </c>
      <c r="H2277" s="1" t="s">
        <v>1</v>
      </c>
      <c r="I2277" s="14"/>
    </row>
    <row r="2278" spans="1:9" x14ac:dyDescent="0.25">
      <c r="A2278" s="14">
        <v>2016</v>
      </c>
      <c r="B2278" s="14">
        <v>215</v>
      </c>
      <c r="C2278" s="15">
        <v>42584</v>
      </c>
      <c r="D2278" s="16">
        <v>0.4597222222222222</v>
      </c>
      <c r="E2278" s="14">
        <v>130</v>
      </c>
      <c r="F2278" s="14">
        <v>17</v>
      </c>
      <c r="G2278" s="17">
        <v>0.31046975716976721</v>
      </c>
      <c r="H2278" s="1" t="s">
        <v>144</v>
      </c>
      <c r="I2278" s="14"/>
    </row>
    <row r="2279" spans="1:9" x14ac:dyDescent="0.25">
      <c r="A2279" s="14">
        <v>2016</v>
      </c>
      <c r="B2279" s="14">
        <v>215</v>
      </c>
      <c r="C2279" s="15">
        <v>42584</v>
      </c>
      <c r="D2279" s="16">
        <v>0.40277777777777773</v>
      </c>
      <c r="E2279" s="14">
        <v>130</v>
      </c>
      <c r="F2279" s="14">
        <v>18</v>
      </c>
      <c r="G2279" s="17">
        <v>0.30379343193597652</v>
      </c>
      <c r="H2279" s="1" t="s">
        <v>144</v>
      </c>
      <c r="I2279" s="14"/>
    </row>
    <row r="2280" spans="1:9" x14ac:dyDescent="0.25">
      <c r="A2280" s="14">
        <v>2016</v>
      </c>
      <c r="B2280" s="14">
        <v>215</v>
      </c>
      <c r="C2280" s="15">
        <v>42584</v>
      </c>
      <c r="D2280" s="16">
        <v>0.39652777777777781</v>
      </c>
      <c r="E2280" s="14">
        <v>130</v>
      </c>
      <c r="F2280" s="14">
        <v>19</v>
      </c>
      <c r="G2280" s="17">
        <v>0.30365718040059303</v>
      </c>
      <c r="H2280" s="1" t="s">
        <v>144</v>
      </c>
      <c r="I2280" s="14"/>
    </row>
    <row r="2281" spans="1:9" x14ac:dyDescent="0.25">
      <c r="A2281" s="14">
        <v>2016</v>
      </c>
      <c r="B2281" s="14">
        <v>215</v>
      </c>
      <c r="C2281" s="15">
        <v>42584</v>
      </c>
      <c r="D2281" s="16">
        <v>0.38958333333333334</v>
      </c>
      <c r="E2281" s="14">
        <v>130</v>
      </c>
      <c r="F2281" s="14">
        <v>20</v>
      </c>
      <c r="G2281" s="17">
        <v>0.29680567462130925</v>
      </c>
      <c r="H2281" s="1" t="s">
        <v>144</v>
      </c>
      <c r="I2281" s="14"/>
    </row>
    <row r="2282" spans="1:9" x14ac:dyDescent="0.25">
      <c r="A2282" s="14">
        <v>2016</v>
      </c>
      <c r="B2282" s="14">
        <v>215</v>
      </c>
      <c r="C2282" s="15">
        <v>42584</v>
      </c>
      <c r="D2282" s="16">
        <v>0.29236111111111113</v>
      </c>
      <c r="E2282" s="14">
        <v>110</v>
      </c>
      <c r="F2282" s="14">
        <v>1</v>
      </c>
      <c r="G2282" s="17">
        <v>0.34112452567517859</v>
      </c>
      <c r="H2282" s="1" t="s">
        <v>143</v>
      </c>
      <c r="I2282" s="14"/>
    </row>
    <row r="2283" spans="1:9" x14ac:dyDescent="0.25">
      <c r="A2283" s="14">
        <v>2016</v>
      </c>
      <c r="B2283" s="14">
        <v>215</v>
      </c>
      <c r="C2283" s="15">
        <v>42584</v>
      </c>
      <c r="D2283" s="16">
        <v>0.2986111111111111</v>
      </c>
      <c r="E2283" s="14">
        <v>110</v>
      </c>
      <c r="F2283" s="14">
        <v>2</v>
      </c>
      <c r="G2283" s="17">
        <v>0.33846832259215087</v>
      </c>
      <c r="H2283" s="1" t="s">
        <v>143</v>
      </c>
      <c r="I2283" s="14"/>
    </row>
    <row r="2284" spans="1:9" x14ac:dyDescent="0.25">
      <c r="A2284" s="14">
        <v>2016</v>
      </c>
      <c r="B2284" s="14">
        <v>215</v>
      </c>
      <c r="C2284" s="15">
        <v>42584</v>
      </c>
      <c r="D2284" s="16">
        <v>0.29930555555555555</v>
      </c>
      <c r="E2284" s="14">
        <v>110</v>
      </c>
      <c r="F2284" s="14">
        <v>3</v>
      </c>
      <c r="G2284" s="17">
        <v>0.32349283279646002</v>
      </c>
      <c r="H2284" s="1" t="s">
        <v>143</v>
      </c>
      <c r="I2284" s="14"/>
    </row>
    <row r="2285" spans="1:9" x14ac:dyDescent="0.25">
      <c r="A2285" s="14">
        <v>2016</v>
      </c>
      <c r="B2285" s="14">
        <v>215</v>
      </c>
      <c r="C2285" s="15">
        <v>42584</v>
      </c>
      <c r="D2285" s="16">
        <v>0.30555555555555552</v>
      </c>
      <c r="E2285" s="14">
        <v>110</v>
      </c>
      <c r="F2285" s="14">
        <v>4</v>
      </c>
      <c r="G2285" s="17">
        <v>0.33736920407503596</v>
      </c>
      <c r="H2285" s="1" t="s">
        <v>143</v>
      </c>
      <c r="I2285" s="14"/>
    </row>
    <row r="2286" spans="1:9" x14ac:dyDescent="0.25">
      <c r="A2286" s="14">
        <v>2016</v>
      </c>
      <c r="B2286" s="14">
        <v>215</v>
      </c>
      <c r="C2286" s="15">
        <v>42584</v>
      </c>
      <c r="D2286" s="16">
        <v>0.31319444444444444</v>
      </c>
      <c r="E2286" s="14">
        <v>110</v>
      </c>
      <c r="F2286" s="14">
        <v>5</v>
      </c>
      <c r="G2286" s="17">
        <v>0.32853045933323677</v>
      </c>
      <c r="H2286" s="1" t="s">
        <v>0</v>
      </c>
      <c r="I2286" s="14"/>
    </row>
    <row r="2287" spans="1:9" x14ac:dyDescent="0.25">
      <c r="A2287" s="14">
        <v>2016</v>
      </c>
      <c r="B2287" s="14">
        <v>215</v>
      </c>
      <c r="C2287" s="15">
        <v>42584</v>
      </c>
      <c r="D2287" s="16">
        <v>0.32361111111111113</v>
      </c>
      <c r="E2287" s="14">
        <v>110</v>
      </c>
      <c r="F2287" s="14">
        <v>6</v>
      </c>
      <c r="G2287" s="17">
        <v>0.3308202895772262</v>
      </c>
      <c r="H2287" s="1" t="s">
        <v>0</v>
      </c>
      <c r="I2287" s="14"/>
    </row>
    <row r="2288" spans="1:9" x14ac:dyDescent="0.25">
      <c r="A2288" s="14">
        <v>2016</v>
      </c>
      <c r="B2288" s="14">
        <v>215</v>
      </c>
      <c r="C2288" s="15">
        <v>42584</v>
      </c>
      <c r="D2288" s="16">
        <v>0.3354166666666667</v>
      </c>
      <c r="E2288" s="14">
        <v>110</v>
      </c>
      <c r="F2288" s="14">
        <v>7</v>
      </c>
      <c r="G2288" s="17">
        <v>0.34091844095321955</v>
      </c>
      <c r="H2288" s="1" t="s">
        <v>143</v>
      </c>
      <c r="I2288" s="14"/>
    </row>
    <row r="2289" spans="1:9" x14ac:dyDescent="0.25">
      <c r="A2289" s="14">
        <v>2016</v>
      </c>
      <c r="B2289" s="14">
        <v>215</v>
      </c>
      <c r="C2289" s="15">
        <v>42584</v>
      </c>
      <c r="D2289" s="16">
        <v>0.34166666666666662</v>
      </c>
      <c r="E2289" s="14">
        <v>110</v>
      </c>
      <c r="F2289" s="14">
        <v>8</v>
      </c>
      <c r="G2289" s="17">
        <v>0.33684254311891837</v>
      </c>
      <c r="H2289" s="1" t="s">
        <v>143</v>
      </c>
      <c r="I2289" s="14"/>
    </row>
    <row r="2290" spans="1:9" x14ac:dyDescent="0.25">
      <c r="A2290" s="14">
        <v>2016</v>
      </c>
      <c r="B2290" s="14">
        <v>215</v>
      </c>
      <c r="C2290" s="15">
        <v>42584</v>
      </c>
      <c r="D2290" s="16">
        <v>0.34791666666666665</v>
      </c>
      <c r="E2290" s="14">
        <v>110</v>
      </c>
      <c r="F2290" s="14">
        <v>9</v>
      </c>
      <c r="G2290" s="17">
        <v>0.32841596782103727</v>
      </c>
      <c r="H2290" s="1" t="s">
        <v>143</v>
      </c>
      <c r="I2290" s="14"/>
    </row>
    <row r="2291" spans="1:9" x14ac:dyDescent="0.25">
      <c r="A2291" s="14">
        <v>2016</v>
      </c>
      <c r="B2291" s="14">
        <v>215</v>
      </c>
      <c r="C2291" s="15">
        <v>42584</v>
      </c>
      <c r="D2291" s="16">
        <v>0.34791666666666665</v>
      </c>
      <c r="E2291" s="14">
        <v>110</v>
      </c>
      <c r="F2291" s="14">
        <v>10</v>
      </c>
      <c r="G2291" s="17">
        <v>0.33411764512857095</v>
      </c>
      <c r="H2291" s="1" t="s">
        <v>143</v>
      </c>
      <c r="I2291" s="14"/>
    </row>
    <row r="2292" spans="1:9" x14ac:dyDescent="0.25">
      <c r="A2292" s="14">
        <v>2016</v>
      </c>
      <c r="B2292" s="14">
        <v>215</v>
      </c>
      <c r="C2292" s="15">
        <v>42584</v>
      </c>
      <c r="D2292" s="16">
        <v>0.41736111111111113</v>
      </c>
      <c r="E2292" s="14">
        <v>110</v>
      </c>
      <c r="F2292" s="14">
        <v>11</v>
      </c>
      <c r="G2292" s="17">
        <v>0.32770612044540054</v>
      </c>
      <c r="H2292" s="1" t="s">
        <v>144</v>
      </c>
      <c r="I2292" s="14"/>
    </row>
    <row r="2293" spans="1:9" x14ac:dyDescent="0.25">
      <c r="A2293" s="14">
        <v>2016</v>
      </c>
      <c r="B2293" s="14">
        <v>215</v>
      </c>
      <c r="C2293" s="15">
        <v>42584</v>
      </c>
      <c r="D2293" s="16">
        <v>0.4236111111111111</v>
      </c>
      <c r="E2293" s="14">
        <v>110</v>
      </c>
      <c r="F2293" s="14">
        <v>12</v>
      </c>
      <c r="G2293" s="17">
        <v>0.33622428895304129</v>
      </c>
      <c r="H2293" s="1" t="s">
        <v>144</v>
      </c>
      <c r="I2293" s="14"/>
    </row>
    <row r="2294" spans="1:9" x14ac:dyDescent="0.25">
      <c r="A2294" s="14">
        <v>2016</v>
      </c>
      <c r="B2294" s="14">
        <v>215</v>
      </c>
      <c r="C2294" s="15">
        <v>42584</v>
      </c>
      <c r="D2294" s="16">
        <v>0.4381944444444445</v>
      </c>
      <c r="E2294" s="14">
        <v>110</v>
      </c>
      <c r="F2294" s="14">
        <v>13</v>
      </c>
      <c r="G2294" s="17">
        <v>0.33024783201622882</v>
      </c>
      <c r="H2294" s="1" t="s">
        <v>144</v>
      </c>
      <c r="I2294" s="14"/>
    </row>
    <row r="2295" spans="1:9" x14ac:dyDescent="0.25">
      <c r="A2295" s="14">
        <v>2016</v>
      </c>
      <c r="B2295" s="14">
        <v>215</v>
      </c>
      <c r="C2295" s="15">
        <v>42584</v>
      </c>
      <c r="D2295" s="16">
        <v>0.40972222222222227</v>
      </c>
      <c r="E2295" s="14">
        <v>110</v>
      </c>
      <c r="F2295" s="14">
        <v>14</v>
      </c>
      <c r="G2295" s="17">
        <v>0.3221189346500663</v>
      </c>
      <c r="H2295" s="1" t="s">
        <v>144</v>
      </c>
      <c r="I2295" s="14"/>
    </row>
    <row r="2296" spans="1:9" x14ac:dyDescent="0.25">
      <c r="A2296" s="14">
        <v>2016</v>
      </c>
      <c r="B2296" s="14">
        <v>215</v>
      </c>
      <c r="C2296" s="15">
        <v>42584</v>
      </c>
      <c r="D2296" s="16">
        <v>0.4465277777777778</v>
      </c>
      <c r="E2296" s="14">
        <v>110</v>
      </c>
      <c r="F2296" s="14">
        <v>15</v>
      </c>
      <c r="G2296" s="17">
        <v>0.31609668110837413</v>
      </c>
      <c r="H2296" s="1" t="s">
        <v>1</v>
      </c>
      <c r="I2296" s="14"/>
    </row>
    <row r="2297" spans="1:9" x14ac:dyDescent="0.25">
      <c r="A2297" s="14">
        <v>2016</v>
      </c>
      <c r="B2297" s="14">
        <v>215</v>
      </c>
      <c r="C2297" s="15">
        <v>42584</v>
      </c>
      <c r="D2297" s="16">
        <v>0.4513888888888889</v>
      </c>
      <c r="E2297" s="14">
        <v>110</v>
      </c>
      <c r="F2297" s="14">
        <v>16</v>
      </c>
      <c r="G2297" s="17">
        <v>0.31953142647435828</v>
      </c>
      <c r="H2297" s="1" t="s">
        <v>1</v>
      </c>
      <c r="I2297" s="14"/>
    </row>
    <row r="2298" spans="1:9" x14ac:dyDescent="0.25">
      <c r="A2298" s="14">
        <v>2016</v>
      </c>
      <c r="B2298" s="14">
        <v>215</v>
      </c>
      <c r="C2298" s="15">
        <v>42584</v>
      </c>
      <c r="D2298" s="16">
        <v>0.4597222222222222</v>
      </c>
      <c r="E2298" s="14">
        <v>110</v>
      </c>
      <c r="F2298" s="14">
        <v>17</v>
      </c>
      <c r="G2298" s="17">
        <v>0.33684254311891837</v>
      </c>
      <c r="H2298" s="1" t="s">
        <v>144</v>
      </c>
      <c r="I2298" s="14"/>
    </row>
    <row r="2299" spans="1:9" x14ac:dyDescent="0.25">
      <c r="A2299" s="14">
        <v>2016</v>
      </c>
      <c r="B2299" s="14">
        <v>215</v>
      </c>
      <c r="C2299" s="15">
        <v>42584</v>
      </c>
      <c r="D2299" s="16">
        <v>0.40277777777777773</v>
      </c>
      <c r="E2299" s="14">
        <v>110</v>
      </c>
      <c r="F2299" s="14">
        <v>18</v>
      </c>
      <c r="G2299" s="17">
        <v>0.33331620454317468</v>
      </c>
      <c r="H2299" s="1" t="s">
        <v>144</v>
      </c>
      <c r="I2299" s="14"/>
    </row>
    <row r="2300" spans="1:9" x14ac:dyDescent="0.25">
      <c r="A2300" s="14">
        <v>2016</v>
      </c>
      <c r="B2300" s="14">
        <v>215</v>
      </c>
      <c r="C2300" s="15">
        <v>42584</v>
      </c>
      <c r="D2300" s="16">
        <v>0.39652777777777781</v>
      </c>
      <c r="E2300" s="14">
        <v>110</v>
      </c>
      <c r="F2300" s="14">
        <v>19</v>
      </c>
      <c r="G2300" s="17">
        <v>0.33207969621142036</v>
      </c>
      <c r="H2300" s="1" t="s">
        <v>144</v>
      </c>
      <c r="I2300" s="14"/>
    </row>
    <row r="2301" spans="1:9" x14ac:dyDescent="0.25">
      <c r="A2301" s="14">
        <v>2016</v>
      </c>
      <c r="B2301" s="14">
        <v>215</v>
      </c>
      <c r="C2301" s="15">
        <v>42584</v>
      </c>
      <c r="D2301" s="16">
        <v>0.38958333333333334</v>
      </c>
      <c r="E2301" s="14">
        <v>110</v>
      </c>
      <c r="F2301" s="14">
        <v>20</v>
      </c>
      <c r="G2301" s="17">
        <v>0.32940059482595274</v>
      </c>
      <c r="H2301" s="1" t="s">
        <v>144</v>
      </c>
      <c r="I2301" s="14"/>
    </row>
    <row r="2302" spans="1:9" x14ac:dyDescent="0.25">
      <c r="A2302" s="14">
        <v>2016</v>
      </c>
      <c r="B2302" s="14">
        <v>215</v>
      </c>
      <c r="C2302" s="15">
        <v>42584</v>
      </c>
      <c r="D2302" s="16">
        <v>0.29236111111111113</v>
      </c>
      <c r="E2302" s="14">
        <v>90</v>
      </c>
      <c r="F2302" s="14">
        <v>1</v>
      </c>
      <c r="G2302" s="17">
        <v>0.34146800021177703</v>
      </c>
      <c r="H2302" s="1" t="s">
        <v>143</v>
      </c>
      <c r="I2302" s="14"/>
    </row>
    <row r="2303" spans="1:9" x14ac:dyDescent="0.25">
      <c r="A2303" s="14">
        <v>2016</v>
      </c>
      <c r="B2303" s="14">
        <v>215</v>
      </c>
      <c r="C2303" s="15">
        <v>42584</v>
      </c>
      <c r="D2303" s="16">
        <v>0.2986111111111111</v>
      </c>
      <c r="E2303" s="14">
        <v>90</v>
      </c>
      <c r="F2303" s="14">
        <v>2</v>
      </c>
      <c r="G2303" s="17">
        <v>0.34378072875820637</v>
      </c>
      <c r="H2303" s="1" t="s">
        <v>143</v>
      </c>
      <c r="I2303" s="14"/>
    </row>
    <row r="2304" spans="1:9" x14ac:dyDescent="0.25">
      <c r="A2304" s="14">
        <v>2016</v>
      </c>
      <c r="B2304" s="14">
        <v>215</v>
      </c>
      <c r="C2304" s="15">
        <v>42584</v>
      </c>
      <c r="D2304" s="16">
        <v>0.29930555555555555</v>
      </c>
      <c r="E2304" s="14">
        <v>90</v>
      </c>
      <c r="F2304" s="14">
        <v>3</v>
      </c>
      <c r="G2304" s="17">
        <v>0.32772901874784044</v>
      </c>
      <c r="H2304" s="1" t="s">
        <v>143</v>
      </c>
      <c r="I2304" s="14"/>
    </row>
    <row r="2305" spans="1:9" x14ac:dyDescent="0.25">
      <c r="A2305" s="14">
        <v>2016</v>
      </c>
      <c r="B2305" s="14">
        <v>215</v>
      </c>
      <c r="C2305" s="15">
        <v>42584</v>
      </c>
      <c r="D2305" s="16">
        <v>0.30555555555555552</v>
      </c>
      <c r="E2305" s="14">
        <v>90</v>
      </c>
      <c r="F2305" s="14">
        <v>4</v>
      </c>
      <c r="G2305" s="17">
        <v>0.32992725578207027</v>
      </c>
      <c r="H2305" s="1" t="s">
        <v>143</v>
      </c>
      <c r="I2305" s="14"/>
    </row>
    <row r="2306" spans="1:9" x14ac:dyDescent="0.25">
      <c r="A2306" s="1">
        <v>2016</v>
      </c>
      <c r="B2306" s="1">
        <v>215</v>
      </c>
      <c r="C2306" s="15">
        <v>42584</v>
      </c>
      <c r="D2306" s="16">
        <v>0.31319444444444444</v>
      </c>
      <c r="E2306" s="1">
        <v>90</v>
      </c>
      <c r="F2306" s="1">
        <v>5</v>
      </c>
      <c r="G2306" s="1">
        <v>0.31689812169377041</v>
      </c>
      <c r="H2306" s="1" t="s">
        <v>0</v>
      </c>
    </row>
    <row r="2307" spans="1:9" x14ac:dyDescent="0.25">
      <c r="A2307" s="1">
        <v>2016</v>
      </c>
      <c r="B2307" s="1">
        <v>215</v>
      </c>
      <c r="C2307" s="15">
        <v>42584</v>
      </c>
      <c r="D2307" s="16">
        <v>0.32361111111111113</v>
      </c>
      <c r="E2307" s="1">
        <v>90</v>
      </c>
      <c r="F2307" s="1">
        <v>6</v>
      </c>
      <c r="G2307" s="1">
        <v>0.31174600364479421</v>
      </c>
      <c r="H2307" s="1" t="s">
        <v>0</v>
      </c>
    </row>
    <row r="2308" spans="1:9" x14ac:dyDescent="0.25">
      <c r="A2308" s="1">
        <v>2016</v>
      </c>
      <c r="B2308" s="1">
        <v>215</v>
      </c>
      <c r="C2308" s="15">
        <v>42584</v>
      </c>
      <c r="D2308" s="16">
        <v>0.3354166666666667</v>
      </c>
      <c r="E2308" s="1">
        <v>90</v>
      </c>
      <c r="F2308" s="1">
        <v>7</v>
      </c>
      <c r="G2308" s="1">
        <v>0.32898842538203465</v>
      </c>
      <c r="H2308" s="1" t="s">
        <v>143</v>
      </c>
    </row>
    <row r="2309" spans="1:9" x14ac:dyDescent="0.25">
      <c r="A2309" s="1">
        <v>2016</v>
      </c>
      <c r="B2309" s="1">
        <v>215</v>
      </c>
      <c r="C2309" s="15">
        <v>42584</v>
      </c>
      <c r="D2309" s="16">
        <v>0.34166666666666662</v>
      </c>
      <c r="E2309" s="1">
        <v>90</v>
      </c>
      <c r="F2309" s="1">
        <v>8</v>
      </c>
      <c r="G2309" s="1">
        <v>0.33169042506994217</v>
      </c>
      <c r="H2309" s="1" t="s">
        <v>143</v>
      </c>
    </row>
    <row r="2310" spans="1:9" x14ac:dyDescent="0.25">
      <c r="A2310" s="1">
        <v>2016</v>
      </c>
      <c r="B2310" s="1">
        <v>215</v>
      </c>
      <c r="C2310" s="15">
        <v>42584</v>
      </c>
      <c r="D2310" s="16">
        <v>0.34791666666666665</v>
      </c>
      <c r="E2310" s="1">
        <v>90</v>
      </c>
      <c r="F2310" s="1">
        <v>9</v>
      </c>
      <c r="G2310" s="1">
        <v>0.32601164606484839</v>
      </c>
      <c r="H2310" s="1" t="s">
        <v>143</v>
      </c>
    </row>
    <row r="2311" spans="1:9" x14ac:dyDescent="0.25">
      <c r="A2311" s="1">
        <v>2016</v>
      </c>
      <c r="B2311" s="1">
        <v>215</v>
      </c>
      <c r="C2311" s="15">
        <v>42584</v>
      </c>
      <c r="D2311" s="16">
        <v>0.34791666666666665</v>
      </c>
      <c r="E2311" s="1">
        <v>90</v>
      </c>
      <c r="F2311" s="1">
        <v>10</v>
      </c>
      <c r="G2311" s="1">
        <v>0.33292693340169649</v>
      </c>
      <c r="H2311" s="1" t="s">
        <v>143</v>
      </c>
    </row>
    <row r="2312" spans="1:9" x14ac:dyDescent="0.25">
      <c r="A2312" s="1">
        <v>2016</v>
      </c>
      <c r="B2312" s="1">
        <v>215</v>
      </c>
      <c r="C2312" s="15">
        <v>42584</v>
      </c>
      <c r="D2312" s="16">
        <v>0.41736111111111113</v>
      </c>
      <c r="E2312" s="1">
        <v>90</v>
      </c>
      <c r="F2312" s="1">
        <v>11</v>
      </c>
      <c r="G2312" s="1">
        <v>0.31776825718648644</v>
      </c>
      <c r="H2312" s="1" t="s">
        <v>144</v>
      </c>
    </row>
    <row r="2313" spans="1:9" x14ac:dyDescent="0.25">
      <c r="A2313" s="1">
        <v>2016</v>
      </c>
      <c r="B2313" s="1">
        <v>215</v>
      </c>
      <c r="C2313" s="15">
        <v>42584</v>
      </c>
      <c r="D2313" s="16">
        <v>0.4236111111111111</v>
      </c>
      <c r="E2313" s="1">
        <v>90</v>
      </c>
      <c r="F2313" s="1">
        <v>12</v>
      </c>
      <c r="G2313" s="1">
        <v>0.3307057980650267</v>
      </c>
      <c r="H2313" s="1" t="s">
        <v>144</v>
      </c>
    </row>
    <row r="2314" spans="1:9" x14ac:dyDescent="0.25">
      <c r="A2314" s="1">
        <v>2016</v>
      </c>
      <c r="B2314" s="1">
        <v>215</v>
      </c>
      <c r="C2314" s="15">
        <v>42584</v>
      </c>
      <c r="D2314" s="16">
        <v>0.4381944444444445</v>
      </c>
      <c r="E2314" s="1">
        <v>90</v>
      </c>
      <c r="F2314" s="1">
        <v>13</v>
      </c>
      <c r="G2314" s="1">
        <v>0.32358442600621962</v>
      </c>
      <c r="H2314" s="1" t="s">
        <v>144</v>
      </c>
    </row>
    <row r="2315" spans="1:9" x14ac:dyDescent="0.25">
      <c r="A2315" s="1">
        <v>2016</v>
      </c>
      <c r="B2315" s="1">
        <v>215</v>
      </c>
      <c r="C2315" s="15">
        <v>42584</v>
      </c>
      <c r="D2315" s="16">
        <v>0.40972222222222227</v>
      </c>
      <c r="E2315" s="1">
        <v>90</v>
      </c>
      <c r="F2315" s="1">
        <v>14</v>
      </c>
      <c r="G2315" s="1">
        <v>0.32134039236710993</v>
      </c>
      <c r="H2315" s="1" t="s">
        <v>144</v>
      </c>
    </row>
    <row r="2316" spans="1:9" x14ac:dyDescent="0.25">
      <c r="A2316" s="1">
        <v>2016</v>
      </c>
      <c r="B2316" s="1">
        <v>215</v>
      </c>
      <c r="C2316" s="15">
        <v>42584</v>
      </c>
      <c r="D2316" s="16">
        <v>0.4465277777777778</v>
      </c>
      <c r="E2316" s="1">
        <v>90</v>
      </c>
      <c r="F2316" s="1">
        <v>15</v>
      </c>
      <c r="G2316" s="1">
        <v>0.30840285148856966</v>
      </c>
      <c r="H2316" s="1" t="s">
        <v>1</v>
      </c>
    </row>
    <row r="2317" spans="1:9" x14ac:dyDescent="0.25">
      <c r="A2317" s="1">
        <v>2016</v>
      </c>
      <c r="B2317" s="1">
        <v>215</v>
      </c>
      <c r="C2317" s="15">
        <v>42584</v>
      </c>
      <c r="D2317" s="16">
        <v>0.4513888888888889</v>
      </c>
      <c r="E2317" s="1">
        <v>90</v>
      </c>
      <c r="F2317" s="1">
        <v>16</v>
      </c>
      <c r="G2317" s="1">
        <v>0.31492886768393952</v>
      </c>
      <c r="H2317" s="1" t="s">
        <v>1</v>
      </c>
    </row>
    <row r="2318" spans="1:9" x14ac:dyDescent="0.25">
      <c r="A2318" s="1">
        <v>2016</v>
      </c>
      <c r="B2318" s="1">
        <v>215</v>
      </c>
      <c r="C2318" s="15">
        <v>42584</v>
      </c>
      <c r="D2318" s="16">
        <v>0.4597222222222222</v>
      </c>
      <c r="E2318" s="1">
        <v>90</v>
      </c>
      <c r="F2318" s="1">
        <v>17</v>
      </c>
      <c r="G2318" s="1">
        <v>0.3360182042310822</v>
      </c>
      <c r="H2318" s="1" t="s">
        <v>144</v>
      </c>
    </row>
    <row r="2319" spans="1:9" x14ac:dyDescent="0.25">
      <c r="A2319" s="1">
        <v>2016</v>
      </c>
      <c r="B2319" s="1">
        <v>215</v>
      </c>
      <c r="C2319" s="15">
        <v>42584</v>
      </c>
      <c r="D2319" s="16">
        <v>0.40277777777777773</v>
      </c>
      <c r="E2319" s="1">
        <v>90</v>
      </c>
      <c r="F2319" s="1">
        <v>18</v>
      </c>
      <c r="G2319" s="1">
        <v>0.32770612044540054</v>
      </c>
      <c r="H2319" s="1" t="s">
        <v>144</v>
      </c>
    </row>
    <row r="2320" spans="1:9" x14ac:dyDescent="0.25">
      <c r="A2320" s="1">
        <v>2016</v>
      </c>
      <c r="B2320" s="1">
        <v>215</v>
      </c>
      <c r="C2320" s="15">
        <v>42584</v>
      </c>
      <c r="D2320" s="16">
        <v>0.39652777777777781</v>
      </c>
      <c r="E2320" s="1">
        <v>90</v>
      </c>
      <c r="F2320" s="1">
        <v>19</v>
      </c>
      <c r="G2320" s="1">
        <v>0.31813463002552472</v>
      </c>
      <c r="H2320" s="1" t="s">
        <v>144</v>
      </c>
    </row>
    <row r="2321" spans="1:8" x14ac:dyDescent="0.25">
      <c r="A2321" s="1">
        <v>2016</v>
      </c>
      <c r="B2321" s="1">
        <v>215</v>
      </c>
      <c r="C2321" s="15">
        <v>42584</v>
      </c>
      <c r="D2321" s="16">
        <v>0.38958333333333334</v>
      </c>
      <c r="E2321" s="1">
        <v>90</v>
      </c>
      <c r="F2321" s="1">
        <v>20</v>
      </c>
      <c r="G2321" s="1">
        <v>0.32429427338185629</v>
      </c>
      <c r="H2321" s="1" t="s">
        <v>144</v>
      </c>
    </row>
    <row r="2322" spans="1:8" x14ac:dyDescent="0.25">
      <c r="A2322" s="1">
        <v>2016</v>
      </c>
      <c r="B2322" s="1">
        <v>215</v>
      </c>
      <c r="C2322" s="15">
        <v>42584</v>
      </c>
      <c r="D2322" s="16">
        <v>0.29236111111111113</v>
      </c>
      <c r="E2322" s="1">
        <v>70</v>
      </c>
      <c r="F2322" s="1">
        <v>1</v>
      </c>
      <c r="G2322" s="1">
        <v>0.33441532306028959</v>
      </c>
      <c r="H2322" s="1" t="s">
        <v>143</v>
      </c>
    </row>
    <row r="2323" spans="1:8" x14ac:dyDescent="0.25">
      <c r="A2323" s="1">
        <v>2016</v>
      </c>
      <c r="B2323" s="1">
        <v>215</v>
      </c>
      <c r="C2323" s="15">
        <v>42584</v>
      </c>
      <c r="D2323" s="16">
        <v>0.2986111111111111</v>
      </c>
      <c r="E2323" s="1">
        <v>70</v>
      </c>
      <c r="F2323" s="1">
        <v>2</v>
      </c>
      <c r="G2323" s="1">
        <v>0.34572708446559741</v>
      </c>
      <c r="H2323" s="1" t="s">
        <v>143</v>
      </c>
    </row>
    <row r="2324" spans="1:8" x14ac:dyDescent="0.25">
      <c r="A2324" s="1">
        <v>2016</v>
      </c>
      <c r="B2324" s="1">
        <v>215</v>
      </c>
      <c r="C2324" s="15">
        <v>42584</v>
      </c>
      <c r="D2324" s="16">
        <v>0.29930555555555555</v>
      </c>
      <c r="E2324" s="1">
        <v>70</v>
      </c>
      <c r="F2324" s="1">
        <v>3</v>
      </c>
      <c r="G2324" s="1">
        <v>0.33496488231884708</v>
      </c>
      <c r="H2324" s="1" t="s">
        <v>143</v>
      </c>
    </row>
    <row r="2325" spans="1:8" x14ac:dyDescent="0.25">
      <c r="A2325" s="1">
        <v>2016</v>
      </c>
      <c r="B2325" s="1">
        <v>215</v>
      </c>
      <c r="C2325" s="15">
        <v>42584</v>
      </c>
      <c r="D2325" s="16">
        <v>0.30555555555555552</v>
      </c>
      <c r="E2325" s="1">
        <v>70</v>
      </c>
      <c r="F2325" s="1">
        <v>4</v>
      </c>
      <c r="G2325" s="1">
        <v>0.32988145917719053</v>
      </c>
      <c r="H2325" s="1" t="s">
        <v>143</v>
      </c>
    </row>
    <row r="2326" spans="1:8" x14ac:dyDescent="0.25">
      <c r="A2326" s="1">
        <v>2016</v>
      </c>
      <c r="B2326" s="1">
        <v>215</v>
      </c>
      <c r="C2326" s="15">
        <v>42584</v>
      </c>
      <c r="D2326" s="16">
        <v>0.31319444444444444</v>
      </c>
      <c r="E2326" s="1">
        <v>70</v>
      </c>
      <c r="F2326" s="1">
        <v>5</v>
      </c>
      <c r="G2326" s="1">
        <v>0.29951831014189062</v>
      </c>
      <c r="H2326" s="1" t="s">
        <v>0</v>
      </c>
    </row>
    <row r="2327" spans="1:8" x14ac:dyDescent="0.25">
      <c r="A2327" s="1">
        <v>2016</v>
      </c>
      <c r="B2327" s="1">
        <v>215</v>
      </c>
      <c r="C2327" s="15">
        <v>42584</v>
      </c>
      <c r="D2327" s="16">
        <v>0.32361111111111113</v>
      </c>
      <c r="E2327" s="1">
        <v>70</v>
      </c>
      <c r="F2327" s="1">
        <v>6</v>
      </c>
      <c r="G2327" s="1">
        <v>0.31250164762531074</v>
      </c>
      <c r="H2327" s="1" t="s">
        <v>0</v>
      </c>
    </row>
    <row r="2328" spans="1:8" x14ac:dyDescent="0.25">
      <c r="A2328" s="1">
        <v>2016</v>
      </c>
      <c r="B2328" s="1">
        <v>215</v>
      </c>
      <c r="C2328" s="15">
        <v>42584</v>
      </c>
      <c r="D2328" s="16">
        <v>0.3354166666666667</v>
      </c>
      <c r="E2328" s="1">
        <v>70</v>
      </c>
      <c r="F2328" s="1">
        <v>7</v>
      </c>
      <c r="G2328" s="1">
        <v>0.32878234066007561</v>
      </c>
      <c r="H2328" s="1" t="s">
        <v>143</v>
      </c>
    </row>
    <row r="2329" spans="1:8" x14ac:dyDescent="0.25">
      <c r="A2329" s="1">
        <v>2016</v>
      </c>
      <c r="B2329" s="1">
        <v>215</v>
      </c>
      <c r="C2329" s="15">
        <v>42584</v>
      </c>
      <c r="D2329" s="16">
        <v>0.34166666666666662</v>
      </c>
      <c r="E2329" s="1">
        <v>70</v>
      </c>
      <c r="F2329" s="1">
        <v>8</v>
      </c>
      <c r="G2329" s="1">
        <v>0.32214183295250626</v>
      </c>
      <c r="H2329" s="1" t="s">
        <v>143</v>
      </c>
    </row>
    <row r="2330" spans="1:8" x14ac:dyDescent="0.25">
      <c r="A2330" s="1">
        <v>2016</v>
      </c>
      <c r="B2330" s="1">
        <v>215</v>
      </c>
      <c r="C2330" s="15">
        <v>42584</v>
      </c>
      <c r="D2330" s="16">
        <v>0.34791666666666665</v>
      </c>
      <c r="E2330" s="1">
        <v>70</v>
      </c>
      <c r="F2330" s="1">
        <v>9</v>
      </c>
      <c r="G2330" s="1">
        <v>0.30975385133252342</v>
      </c>
      <c r="H2330" s="1" t="s">
        <v>143</v>
      </c>
    </row>
    <row r="2331" spans="1:8" x14ac:dyDescent="0.25">
      <c r="A2331" s="1">
        <v>2016</v>
      </c>
      <c r="B2331" s="1">
        <v>215</v>
      </c>
      <c r="C2331" s="15">
        <v>42584</v>
      </c>
      <c r="D2331" s="16">
        <v>0.34791666666666665</v>
      </c>
      <c r="E2331" s="1">
        <v>70</v>
      </c>
      <c r="F2331" s="1">
        <v>10</v>
      </c>
      <c r="G2331" s="1">
        <v>0.34838328754862513</v>
      </c>
      <c r="H2331" s="1" t="s">
        <v>143</v>
      </c>
    </row>
    <row r="2332" spans="1:8" x14ac:dyDescent="0.25">
      <c r="A2332" s="1">
        <v>2016</v>
      </c>
      <c r="B2332" s="1">
        <v>215</v>
      </c>
      <c r="C2332" s="15">
        <v>42584</v>
      </c>
      <c r="D2332" s="16">
        <v>0.41736111111111113</v>
      </c>
      <c r="E2332" s="1">
        <v>70</v>
      </c>
      <c r="F2332" s="1">
        <v>11</v>
      </c>
      <c r="G2332" s="1">
        <v>0.32823278140151813</v>
      </c>
      <c r="H2332" s="1" t="s">
        <v>144</v>
      </c>
    </row>
    <row r="2333" spans="1:8" x14ac:dyDescent="0.25">
      <c r="A2333" s="1">
        <v>2016</v>
      </c>
      <c r="B2333" s="1">
        <v>215</v>
      </c>
      <c r="C2333" s="15">
        <v>42584</v>
      </c>
      <c r="D2333" s="16">
        <v>0.4236111111111111</v>
      </c>
      <c r="E2333" s="1">
        <v>70</v>
      </c>
      <c r="F2333" s="1">
        <v>12</v>
      </c>
      <c r="G2333" s="1">
        <v>0.32335544298182062</v>
      </c>
      <c r="H2333" s="1" t="s">
        <v>144</v>
      </c>
    </row>
    <row r="2334" spans="1:8" x14ac:dyDescent="0.25">
      <c r="A2334" s="1">
        <v>2016</v>
      </c>
      <c r="B2334" s="1">
        <v>215</v>
      </c>
      <c r="C2334" s="15">
        <v>42584</v>
      </c>
      <c r="D2334" s="16">
        <v>0.4381944444444445</v>
      </c>
      <c r="E2334" s="1">
        <v>70</v>
      </c>
      <c r="F2334" s="1">
        <v>13</v>
      </c>
      <c r="G2334" s="1">
        <v>0.3189818672158008</v>
      </c>
      <c r="H2334" s="1" t="s">
        <v>144</v>
      </c>
    </row>
    <row r="2335" spans="1:8" x14ac:dyDescent="0.25">
      <c r="A2335" s="1">
        <v>2016</v>
      </c>
      <c r="B2335" s="1">
        <v>215</v>
      </c>
      <c r="C2335" s="15">
        <v>42584</v>
      </c>
      <c r="D2335" s="16">
        <v>0.40972222222222227</v>
      </c>
      <c r="E2335" s="1">
        <v>70</v>
      </c>
      <c r="F2335" s="1">
        <v>14</v>
      </c>
      <c r="G2335" s="1">
        <v>0.33157593355774267</v>
      </c>
      <c r="H2335" s="1" t="s">
        <v>144</v>
      </c>
    </row>
    <row r="2336" spans="1:8" x14ac:dyDescent="0.25">
      <c r="A2336" s="1">
        <v>2016</v>
      </c>
      <c r="B2336" s="1">
        <v>215</v>
      </c>
      <c r="C2336" s="15">
        <v>42584</v>
      </c>
      <c r="D2336" s="16">
        <v>0.4465277777777778</v>
      </c>
      <c r="E2336" s="1">
        <v>70</v>
      </c>
      <c r="F2336" s="1">
        <v>15</v>
      </c>
      <c r="G2336" s="1">
        <v>0.30350261476643225</v>
      </c>
      <c r="H2336" s="1" t="s">
        <v>1</v>
      </c>
    </row>
    <row r="2337" spans="1:8" x14ac:dyDescent="0.25">
      <c r="A2337" s="1">
        <v>2016</v>
      </c>
      <c r="B2337" s="1">
        <v>215</v>
      </c>
      <c r="C2337" s="15">
        <v>42584</v>
      </c>
      <c r="D2337" s="16">
        <v>0.4513888888888889</v>
      </c>
      <c r="E2337" s="1">
        <v>70</v>
      </c>
      <c r="F2337" s="1">
        <v>16</v>
      </c>
      <c r="G2337" s="1">
        <v>0.30597563142994083</v>
      </c>
      <c r="H2337" s="1" t="s">
        <v>1</v>
      </c>
    </row>
    <row r="2338" spans="1:8" x14ac:dyDescent="0.25">
      <c r="A2338" s="1">
        <v>2016</v>
      </c>
      <c r="B2338" s="1">
        <v>215</v>
      </c>
      <c r="C2338" s="15">
        <v>42584</v>
      </c>
      <c r="D2338" s="16">
        <v>0.4597222222222222</v>
      </c>
      <c r="E2338" s="1">
        <v>70</v>
      </c>
      <c r="F2338" s="1">
        <v>17</v>
      </c>
      <c r="G2338" s="1">
        <v>0.32621773078680744</v>
      </c>
      <c r="H2338" s="1" t="s">
        <v>144</v>
      </c>
    </row>
    <row r="2339" spans="1:8" x14ac:dyDescent="0.25">
      <c r="A2339" s="1">
        <v>2016</v>
      </c>
      <c r="B2339" s="1">
        <v>215</v>
      </c>
      <c r="C2339" s="15">
        <v>42584</v>
      </c>
      <c r="D2339" s="16">
        <v>0.40277777777777773</v>
      </c>
      <c r="E2339" s="1">
        <v>70</v>
      </c>
      <c r="F2339" s="1">
        <v>18</v>
      </c>
      <c r="G2339" s="1">
        <v>0.31238715611311124</v>
      </c>
      <c r="H2339" s="1" t="s">
        <v>144</v>
      </c>
    </row>
    <row r="2340" spans="1:8" x14ac:dyDescent="0.25">
      <c r="A2340" s="1">
        <v>2016</v>
      </c>
      <c r="B2340" s="1">
        <v>215</v>
      </c>
      <c r="C2340" s="15">
        <v>42584</v>
      </c>
      <c r="D2340" s="16">
        <v>0.39652777777777781</v>
      </c>
      <c r="E2340" s="1">
        <v>70</v>
      </c>
      <c r="F2340" s="1">
        <v>19</v>
      </c>
      <c r="G2340" s="1">
        <v>0.3051970891469844</v>
      </c>
      <c r="H2340" s="1" t="s">
        <v>144</v>
      </c>
    </row>
    <row r="2341" spans="1:8" x14ac:dyDescent="0.25">
      <c r="A2341" s="1">
        <v>2016</v>
      </c>
      <c r="B2341" s="1">
        <v>215</v>
      </c>
      <c r="C2341" s="15">
        <v>42584</v>
      </c>
      <c r="D2341" s="16">
        <v>0.38958333333333334</v>
      </c>
      <c r="E2341" s="1">
        <v>70</v>
      </c>
      <c r="F2341" s="1">
        <v>20</v>
      </c>
      <c r="G2341" s="1">
        <v>0.31669203697181136</v>
      </c>
      <c r="H2341" s="1" t="s">
        <v>144</v>
      </c>
    </row>
    <row r="2342" spans="1:8" x14ac:dyDescent="0.25">
      <c r="A2342" s="1">
        <v>2016</v>
      </c>
      <c r="B2342" s="1">
        <v>215</v>
      </c>
      <c r="C2342" s="15">
        <v>42584</v>
      </c>
      <c r="D2342" s="16">
        <v>0.29236111111111113</v>
      </c>
      <c r="E2342" s="1">
        <v>50</v>
      </c>
      <c r="F2342" s="1">
        <v>1</v>
      </c>
      <c r="G2342" s="1">
        <v>0.33537705176276517</v>
      </c>
      <c r="H2342" s="1" t="s">
        <v>143</v>
      </c>
    </row>
    <row r="2343" spans="1:8" x14ac:dyDescent="0.25">
      <c r="A2343" s="1">
        <v>2016</v>
      </c>
      <c r="B2343" s="1">
        <v>215</v>
      </c>
      <c r="C2343" s="15">
        <v>42584</v>
      </c>
      <c r="D2343" s="16">
        <v>0.2986111111111111</v>
      </c>
      <c r="E2343" s="1">
        <v>50</v>
      </c>
      <c r="F2343" s="1">
        <v>2</v>
      </c>
      <c r="G2343" s="1">
        <v>0.3407352545337004</v>
      </c>
      <c r="H2343" s="1" t="s">
        <v>143</v>
      </c>
    </row>
    <row r="2344" spans="1:8" x14ac:dyDescent="0.25">
      <c r="A2344" s="1">
        <v>2016</v>
      </c>
      <c r="B2344" s="1">
        <v>215</v>
      </c>
      <c r="C2344" s="15">
        <v>42584</v>
      </c>
      <c r="D2344" s="16">
        <v>0.29930555555555555</v>
      </c>
      <c r="E2344" s="1">
        <v>50</v>
      </c>
      <c r="F2344" s="1">
        <v>3</v>
      </c>
      <c r="G2344" s="1">
        <v>0.34185727135325522</v>
      </c>
      <c r="H2344" s="1" t="s">
        <v>143</v>
      </c>
    </row>
    <row r="2345" spans="1:8" x14ac:dyDescent="0.25">
      <c r="A2345" s="1">
        <v>2016</v>
      </c>
      <c r="B2345" s="1">
        <v>215</v>
      </c>
      <c r="C2345" s="15">
        <v>42584</v>
      </c>
      <c r="D2345" s="16">
        <v>0.30555555555555552</v>
      </c>
      <c r="E2345" s="1">
        <v>50</v>
      </c>
      <c r="F2345" s="1">
        <v>4</v>
      </c>
      <c r="G2345" s="1">
        <v>0.32287457863058289</v>
      </c>
      <c r="H2345" s="1" t="s">
        <v>143</v>
      </c>
    </row>
    <row r="2346" spans="1:8" x14ac:dyDescent="0.25">
      <c r="A2346" s="1">
        <v>2016</v>
      </c>
      <c r="B2346" s="1">
        <v>215</v>
      </c>
      <c r="C2346" s="15">
        <v>42584</v>
      </c>
      <c r="D2346" s="16">
        <v>0.31319444444444444</v>
      </c>
      <c r="E2346" s="1">
        <v>50</v>
      </c>
      <c r="F2346" s="1">
        <v>5</v>
      </c>
      <c r="G2346" s="1">
        <v>0.30162495396636091</v>
      </c>
      <c r="H2346" s="1" t="s">
        <v>0</v>
      </c>
    </row>
    <row r="2347" spans="1:8" x14ac:dyDescent="0.25">
      <c r="A2347" s="1">
        <v>2016</v>
      </c>
      <c r="B2347" s="1">
        <v>215</v>
      </c>
      <c r="C2347" s="15">
        <v>42584</v>
      </c>
      <c r="D2347" s="16">
        <v>0.32361111111111113</v>
      </c>
      <c r="E2347" s="1">
        <v>50</v>
      </c>
      <c r="F2347" s="1">
        <v>6</v>
      </c>
      <c r="G2347" s="1">
        <v>0.30977674963496327</v>
      </c>
      <c r="H2347" s="1" t="s">
        <v>0</v>
      </c>
    </row>
    <row r="2348" spans="1:8" x14ac:dyDescent="0.25">
      <c r="A2348" s="1">
        <v>2016</v>
      </c>
      <c r="B2348" s="1">
        <v>215</v>
      </c>
      <c r="C2348" s="15">
        <v>42584</v>
      </c>
      <c r="D2348" s="16">
        <v>0.3354166666666667</v>
      </c>
      <c r="E2348" s="1">
        <v>50</v>
      </c>
      <c r="F2348" s="1">
        <v>7</v>
      </c>
      <c r="G2348" s="1">
        <v>0.33114086581138469</v>
      </c>
      <c r="H2348" s="1" t="s">
        <v>143</v>
      </c>
    </row>
    <row r="2349" spans="1:8" x14ac:dyDescent="0.25">
      <c r="A2349" s="1">
        <v>2016</v>
      </c>
      <c r="B2349" s="1">
        <v>215</v>
      </c>
      <c r="C2349" s="15">
        <v>42584</v>
      </c>
      <c r="D2349" s="16">
        <v>0.34166666666666662</v>
      </c>
      <c r="E2349" s="1">
        <v>50</v>
      </c>
      <c r="F2349" s="1">
        <v>8</v>
      </c>
      <c r="G2349" s="1">
        <v>0.31325729160582721</v>
      </c>
      <c r="H2349" s="1" t="s">
        <v>143</v>
      </c>
    </row>
    <row r="2350" spans="1:8" x14ac:dyDescent="0.25">
      <c r="A2350" s="1">
        <v>2016</v>
      </c>
      <c r="B2350" s="1">
        <v>215</v>
      </c>
      <c r="C2350" s="15">
        <v>42584</v>
      </c>
      <c r="D2350" s="16">
        <v>0.34791666666666665</v>
      </c>
      <c r="E2350" s="1">
        <v>50</v>
      </c>
      <c r="F2350" s="1">
        <v>9</v>
      </c>
      <c r="G2350" s="1">
        <v>0.30109829301024338</v>
      </c>
      <c r="H2350" s="1" t="s">
        <v>143</v>
      </c>
    </row>
    <row r="2351" spans="1:8" x14ac:dyDescent="0.25">
      <c r="A2351" s="1">
        <v>2016</v>
      </c>
      <c r="B2351" s="1">
        <v>215</v>
      </c>
      <c r="C2351" s="15">
        <v>42584</v>
      </c>
      <c r="D2351" s="16">
        <v>0.34791666666666665</v>
      </c>
      <c r="E2351" s="1">
        <v>50</v>
      </c>
      <c r="F2351" s="1">
        <v>10</v>
      </c>
      <c r="G2351" s="1">
        <v>0.35071891439749436</v>
      </c>
      <c r="H2351" s="1" t="s">
        <v>143</v>
      </c>
    </row>
    <row r="2352" spans="1:8" x14ac:dyDescent="0.25">
      <c r="A2352" s="1">
        <v>2016</v>
      </c>
      <c r="B2352" s="1">
        <v>215</v>
      </c>
      <c r="C2352" s="15">
        <v>42584</v>
      </c>
      <c r="D2352" s="16">
        <v>0.41736111111111113</v>
      </c>
      <c r="E2352" s="1">
        <v>50</v>
      </c>
      <c r="F2352" s="1">
        <v>11</v>
      </c>
      <c r="G2352" s="1">
        <v>0.33581211950912315</v>
      </c>
      <c r="H2352" s="1" t="s">
        <v>144</v>
      </c>
    </row>
    <row r="2353" spans="1:8" x14ac:dyDescent="0.25">
      <c r="A2353" s="1">
        <v>2016</v>
      </c>
      <c r="B2353" s="1">
        <v>215</v>
      </c>
      <c r="C2353" s="15">
        <v>42584</v>
      </c>
      <c r="D2353" s="16">
        <v>0.4236111111111111</v>
      </c>
      <c r="E2353" s="1">
        <v>50</v>
      </c>
      <c r="F2353" s="1">
        <v>12</v>
      </c>
      <c r="G2353" s="1">
        <v>0.3238821039379382</v>
      </c>
      <c r="H2353" s="1" t="s">
        <v>144</v>
      </c>
    </row>
    <row r="2354" spans="1:8" x14ac:dyDescent="0.25">
      <c r="A2354" s="1">
        <v>2016</v>
      </c>
      <c r="B2354" s="1">
        <v>215</v>
      </c>
      <c r="C2354" s="15">
        <v>42584</v>
      </c>
      <c r="D2354" s="16">
        <v>0.4381944444444445</v>
      </c>
      <c r="E2354" s="1">
        <v>50</v>
      </c>
      <c r="F2354" s="1">
        <v>13</v>
      </c>
      <c r="G2354" s="1">
        <v>0.30446434346890783</v>
      </c>
      <c r="H2354" s="1" t="s">
        <v>144</v>
      </c>
    </row>
    <row r="2355" spans="1:8" x14ac:dyDescent="0.25">
      <c r="A2355" s="1">
        <v>2016</v>
      </c>
      <c r="B2355" s="1">
        <v>215</v>
      </c>
      <c r="C2355" s="15">
        <v>42584</v>
      </c>
      <c r="D2355" s="16">
        <v>0.40972222222222227</v>
      </c>
      <c r="E2355" s="1">
        <v>50</v>
      </c>
      <c r="F2355" s="1">
        <v>14</v>
      </c>
      <c r="G2355" s="1">
        <v>0.31197498666919316</v>
      </c>
      <c r="H2355" s="1" t="s">
        <v>144</v>
      </c>
    </row>
    <row r="2356" spans="1:8" x14ac:dyDescent="0.25">
      <c r="A2356" s="1">
        <v>2016</v>
      </c>
      <c r="B2356" s="1">
        <v>215</v>
      </c>
      <c r="C2356" s="15">
        <v>42584</v>
      </c>
      <c r="D2356" s="16">
        <v>0.4465277777777778</v>
      </c>
      <c r="E2356" s="1">
        <v>50</v>
      </c>
      <c r="F2356" s="1">
        <v>15</v>
      </c>
      <c r="G2356" s="1">
        <v>0.32353862940133976</v>
      </c>
      <c r="H2356" s="1" t="s">
        <v>1</v>
      </c>
    </row>
    <row r="2357" spans="1:8" x14ac:dyDescent="0.25">
      <c r="A2357" s="1">
        <v>2016</v>
      </c>
      <c r="B2357" s="1">
        <v>215</v>
      </c>
      <c r="C2357" s="15">
        <v>42584</v>
      </c>
      <c r="D2357" s="16">
        <v>0.4513888888888889</v>
      </c>
      <c r="E2357" s="1">
        <v>50</v>
      </c>
      <c r="F2357" s="1">
        <v>16</v>
      </c>
      <c r="G2357" s="1">
        <v>0.30705185164461585</v>
      </c>
      <c r="H2357" s="1" t="s">
        <v>1</v>
      </c>
    </row>
    <row r="2358" spans="1:8" x14ac:dyDescent="0.25">
      <c r="A2358" s="1">
        <v>2016</v>
      </c>
      <c r="B2358" s="1">
        <v>215</v>
      </c>
      <c r="C2358" s="15">
        <v>42584</v>
      </c>
      <c r="D2358" s="16">
        <v>0.4597222222222222</v>
      </c>
      <c r="E2358" s="1">
        <v>50</v>
      </c>
      <c r="F2358" s="1">
        <v>17</v>
      </c>
      <c r="G2358" s="1">
        <v>0.34368913554844677</v>
      </c>
      <c r="H2358" s="1" t="s">
        <v>144</v>
      </c>
    </row>
    <row r="2359" spans="1:8" x14ac:dyDescent="0.25">
      <c r="A2359" s="1">
        <v>2016</v>
      </c>
      <c r="B2359" s="1">
        <v>215</v>
      </c>
      <c r="C2359" s="15">
        <v>42584</v>
      </c>
      <c r="D2359" s="16">
        <v>0.40277777777777773</v>
      </c>
      <c r="E2359" s="1">
        <v>50</v>
      </c>
      <c r="F2359" s="1">
        <v>18</v>
      </c>
      <c r="G2359" s="1">
        <v>0.32823278140151813</v>
      </c>
      <c r="H2359" s="1" t="s">
        <v>144</v>
      </c>
    </row>
    <row r="2360" spans="1:8" x14ac:dyDescent="0.25">
      <c r="A2360" s="1">
        <v>2016</v>
      </c>
      <c r="B2360" s="1">
        <v>215</v>
      </c>
      <c r="C2360" s="15">
        <v>42584</v>
      </c>
      <c r="D2360" s="16">
        <v>0.39652777777777781</v>
      </c>
      <c r="E2360" s="1">
        <v>50</v>
      </c>
      <c r="F2360" s="1">
        <v>19</v>
      </c>
      <c r="G2360" s="1">
        <v>0.31101325796671758</v>
      </c>
      <c r="H2360" s="1" t="s">
        <v>144</v>
      </c>
    </row>
    <row r="2361" spans="1:8" x14ac:dyDescent="0.25">
      <c r="A2361" s="1">
        <v>2016</v>
      </c>
      <c r="B2361" s="1">
        <v>215</v>
      </c>
      <c r="C2361" s="15">
        <v>42584</v>
      </c>
      <c r="D2361" s="16">
        <v>0.38958333333333334</v>
      </c>
      <c r="E2361" s="1">
        <v>50</v>
      </c>
      <c r="F2361" s="1">
        <v>20</v>
      </c>
      <c r="G2361" s="1">
        <v>0.3307515946699065</v>
      </c>
      <c r="H2361" s="1" t="s">
        <v>144</v>
      </c>
    </row>
    <row r="2362" spans="1:8" x14ac:dyDescent="0.25">
      <c r="A2362" s="1">
        <v>2016</v>
      </c>
      <c r="B2362" s="1">
        <v>215</v>
      </c>
      <c r="C2362" s="15">
        <v>42584</v>
      </c>
      <c r="D2362" s="16">
        <v>0.29236111111111113</v>
      </c>
      <c r="E2362" s="1">
        <v>30</v>
      </c>
      <c r="F2362" s="1">
        <v>1</v>
      </c>
      <c r="G2362" s="1">
        <v>0.32113430764515088</v>
      </c>
      <c r="H2362" s="1" t="s">
        <v>143</v>
      </c>
    </row>
    <row r="2363" spans="1:8" x14ac:dyDescent="0.25">
      <c r="A2363" s="1">
        <v>2016</v>
      </c>
      <c r="B2363" s="1">
        <v>215</v>
      </c>
      <c r="C2363" s="15">
        <v>42584</v>
      </c>
      <c r="D2363" s="16">
        <v>0.2986111111111111</v>
      </c>
      <c r="E2363" s="1">
        <v>30</v>
      </c>
      <c r="F2363" s="1">
        <v>2</v>
      </c>
      <c r="G2363" s="1">
        <v>0.32486673094285368</v>
      </c>
      <c r="H2363" s="1" t="s">
        <v>143</v>
      </c>
    </row>
    <row r="2364" spans="1:8" x14ac:dyDescent="0.25">
      <c r="A2364" s="1">
        <v>2016</v>
      </c>
      <c r="B2364" s="1">
        <v>215</v>
      </c>
      <c r="C2364" s="15">
        <v>42584</v>
      </c>
      <c r="D2364" s="16">
        <v>0.29930555555555555</v>
      </c>
      <c r="E2364" s="1">
        <v>30</v>
      </c>
      <c r="F2364" s="1">
        <v>3</v>
      </c>
      <c r="G2364" s="1">
        <v>0.2815431427265736</v>
      </c>
      <c r="H2364" s="1" t="s">
        <v>143</v>
      </c>
    </row>
    <row r="2365" spans="1:8" x14ac:dyDescent="0.25">
      <c r="A2365" s="1">
        <v>2016</v>
      </c>
      <c r="B2365" s="1">
        <v>215</v>
      </c>
      <c r="C2365" s="15">
        <v>42584</v>
      </c>
      <c r="D2365" s="16">
        <v>0.30555555555555552</v>
      </c>
      <c r="E2365" s="1">
        <v>30</v>
      </c>
      <c r="F2365" s="1">
        <v>4</v>
      </c>
      <c r="G2365" s="1">
        <v>0.28635178623895141</v>
      </c>
      <c r="H2365" s="1" t="s">
        <v>143</v>
      </c>
    </row>
    <row r="2366" spans="1:8" x14ac:dyDescent="0.25">
      <c r="A2366" s="1">
        <v>2016</v>
      </c>
      <c r="B2366" s="1">
        <v>215</v>
      </c>
      <c r="C2366" s="15">
        <v>42584</v>
      </c>
      <c r="D2366" s="16">
        <v>0.31319444444444444</v>
      </c>
      <c r="E2366" s="1">
        <v>30</v>
      </c>
      <c r="F2366" s="1">
        <v>5</v>
      </c>
      <c r="G2366" s="1">
        <v>0.28561904056087478</v>
      </c>
      <c r="H2366" s="1" t="s">
        <v>0</v>
      </c>
    </row>
    <row r="2367" spans="1:8" x14ac:dyDescent="0.25">
      <c r="A2367" s="1">
        <v>2016</v>
      </c>
      <c r="B2367" s="1">
        <v>215</v>
      </c>
      <c r="C2367" s="15">
        <v>42584</v>
      </c>
      <c r="D2367" s="16">
        <v>0.32361111111111113</v>
      </c>
      <c r="E2367" s="1">
        <v>30</v>
      </c>
      <c r="F2367" s="1">
        <v>6</v>
      </c>
      <c r="G2367" s="1">
        <v>0.28715322682434768</v>
      </c>
      <c r="H2367" s="1" t="s">
        <v>0</v>
      </c>
    </row>
    <row r="2368" spans="1:8" x14ac:dyDescent="0.25">
      <c r="A2368" s="1">
        <v>2016</v>
      </c>
      <c r="B2368" s="1">
        <v>215</v>
      </c>
      <c r="C2368" s="15">
        <v>42584</v>
      </c>
      <c r="D2368" s="16">
        <v>0.3354166666666667</v>
      </c>
      <c r="E2368" s="1">
        <v>30</v>
      </c>
      <c r="F2368" s="1">
        <v>7</v>
      </c>
      <c r="G2368" s="1">
        <v>0.29326707357579951</v>
      </c>
      <c r="H2368" s="1" t="s">
        <v>143</v>
      </c>
    </row>
    <row r="2369" spans="1:8" x14ac:dyDescent="0.25">
      <c r="A2369" s="1">
        <v>2016</v>
      </c>
      <c r="B2369" s="1">
        <v>215</v>
      </c>
      <c r="C2369" s="15">
        <v>42584</v>
      </c>
      <c r="D2369" s="16">
        <v>0.34166666666666662</v>
      </c>
      <c r="E2369" s="1">
        <v>30</v>
      </c>
      <c r="F2369" s="1">
        <v>8</v>
      </c>
      <c r="G2369" s="1">
        <v>0.28719902342922748</v>
      </c>
      <c r="H2369" s="1" t="s">
        <v>143</v>
      </c>
    </row>
    <row r="2370" spans="1:8" x14ac:dyDescent="0.25">
      <c r="A2370" s="1">
        <v>2016</v>
      </c>
      <c r="B2370" s="1">
        <v>215</v>
      </c>
      <c r="C2370" s="15">
        <v>42584</v>
      </c>
      <c r="D2370" s="16">
        <v>0.34791666666666665</v>
      </c>
      <c r="E2370" s="1">
        <v>30</v>
      </c>
      <c r="F2370" s="1">
        <v>9</v>
      </c>
      <c r="G2370" s="1">
        <v>0.2782686854776687</v>
      </c>
      <c r="H2370" s="1" t="s">
        <v>143</v>
      </c>
    </row>
    <row r="2371" spans="1:8" x14ac:dyDescent="0.25">
      <c r="A2371" s="1">
        <v>2016</v>
      </c>
      <c r="B2371" s="1">
        <v>215</v>
      </c>
      <c r="C2371" s="15">
        <v>42584</v>
      </c>
      <c r="D2371" s="16">
        <v>0.34791666666666665</v>
      </c>
      <c r="E2371" s="1">
        <v>30</v>
      </c>
      <c r="F2371" s="1">
        <v>10</v>
      </c>
      <c r="G2371" s="1">
        <v>0.32266849390862379</v>
      </c>
      <c r="H2371" s="1" t="s">
        <v>143</v>
      </c>
    </row>
    <row r="2372" spans="1:8" x14ac:dyDescent="0.25">
      <c r="A2372" s="1">
        <v>2016</v>
      </c>
      <c r="B2372" s="1">
        <v>215</v>
      </c>
      <c r="C2372" s="15">
        <v>42584</v>
      </c>
      <c r="D2372" s="16">
        <v>0.41736111111111113</v>
      </c>
      <c r="E2372" s="1">
        <v>30</v>
      </c>
      <c r="F2372" s="1">
        <v>11</v>
      </c>
      <c r="G2372" s="1">
        <v>0.2642778226868932</v>
      </c>
      <c r="H2372" s="1" t="s">
        <v>144</v>
      </c>
    </row>
    <row r="2373" spans="1:8" x14ac:dyDescent="0.25">
      <c r="A2373" s="1">
        <v>2016</v>
      </c>
      <c r="B2373" s="1">
        <v>215</v>
      </c>
      <c r="C2373" s="15">
        <v>42584</v>
      </c>
      <c r="D2373" s="16">
        <v>0.4236111111111111</v>
      </c>
      <c r="E2373" s="1">
        <v>30</v>
      </c>
      <c r="F2373" s="1">
        <v>12</v>
      </c>
      <c r="G2373" s="1">
        <v>0.24914204477412311</v>
      </c>
      <c r="H2373" s="1" t="s">
        <v>144</v>
      </c>
    </row>
    <row r="2374" spans="1:8" x14ac:dyDescent="0.25">
      <c r="A2374" s="1">
        <v>2016</v>
      </c>
      <c r="B2374" s="1">
        <v>215</v>
      </c>
      <c r="C2374" s="15">
        <v>42584</v>
      </c>
      <c r="D2374" s="16">
        <v>0.4381944444444445</v>
      </c>
      <c r="E2374" s="1">
        <v>30</v>
      </c>
      <c r="F2374" s="1">
        <v>13</v>
      </c>
      <c r="G2374" s="1">
        <v>0.20971116797262501</v>
      </c>
      <c r="H2374" s="1" t="s">
        <v>144</v>
      </c>
    </row>
    <row r="2375" spans="1:8" x14ac:dyDescent="0.25">
      <c r="A2375" s="1">
        <v>2016</v>
      </c>
      <c r="B2375" s="1">
        <v>215</v>
      </c>
      <c r="C2375" s="15">
        <v>42584</v>
      </c>
      <c r="D2375" s="16">
        <v>0.40972222222222227</v>
      </c>
      <c r="E2375" s="1">
        <v>30</v>
      </c>
      <c r="F2375" s="1">
        <v>14</v>
      </c>
      <c r="G2375" s="1">
        <v>0.20794799868475317</v>
      </c>
      <c r="H2375" s="1" t="s">
        <v>144</v>
      </c>
    </row>
    <row r="2376" spans="1:8" x14ac:dyDescent="0.25">
      <c r="A2376" s="1">
        <v>2016</v>
      </c>
      <c r="B2376" s="1">
        <v>215</v>
      </c>
      <c r="C2376" s="15">
        <v>42584</v>
      </c>
      <c r="D2376" s="16">
        <v>0.4465277777777778</v>
      </c>
      <c r="E2376" s="1">
        <v>30</v>
      </c>
      <c r="F2376" s="1">
        <v>15</v>
      </c>
      <c r="G2376" s="1">
        <v>0.30512839423966476</v>
      </c>
      <c r="H2376" s="1" t="s">
        <v>1</v>
      </c>
    </row>
    <row r="2377" spans="1:8" x14ac:dyDescent="0.25">
      <c r="A2377" s="1">
        <v>2016</v>
      </c>
      <c r="B2377" s="1">
        <v>215</v>
      </c>
      <c r="C2377" s="15">
        <v>42584</v>
      </c>
      <c r="D2377" s="16">
        <v>0.4513888888888889</v>
      </c>
      <c r="E2377" s="1">
        <v>30</v>
      </c>
      <c r="F2377" s="1">
        <v>16</v>
      </c>
      <c r="G2377" s="1">
        <v>0.31241005441555114</v>
      </c>
      <c r="H2377" s="1" t="s">
        <v>1</v>
      </c>
    </row>
    <row r="2378" spans="1:8" x14ac:dyDescent="0.25">
      <c r="A2378" s="1">
        <v>2016</v>
      </c>
      <c r="B2378" s="1">
        <v>215</v>
      </c>
      <c r="C2378" s="15">
        <v>42584</v>
      </c>
      <c r="D2378" s="16">
        <v>0.4597222222222222</v>
      </c>
      <c r="E2378" s="1">
        <v>30</v>
      </c>
      <c r="F2378" s="1">
        <v>17</v>
      </c>
      <c r="G2378" s="1">
        <v>0.32095112122563174</v>
      </c>
      <c r="H2378" s="1" t="s">
        <v>144</v>
      </c>
    </row>
    <row r="2379" spans="1:8" x14ac:dyDescent="0.25">
      <c r="A2379" s="1">
        <v>2016</v>
      </c>
      <c r="B2379" s="1">
        <v>215</v>
      </c>
      <c r="C2379" s="15">
        <v>42584</v>
      </c>
      <c r="D2379" s="16">
        <v>0.40277777777777773</v>
      </c>
      <c r="E2379" s="1">
        <v>30</v>
      </c>
      <c r="F2379" s="1">
        <v>18</v>
      </c>
      <c r="G2379" s="1">
        <v>0.2950302428636713</v>
      </c>
      <c r="H2379" s="1" t="s">
        <v>144</v>
      </c>
    </row>
    <row r="2380" spans="1:8" x14ac:dyDescent="0.25">
      <c r="A2380" s="1">
        <v>2016</v>
      </c>
      <c r="B2380" s="1">
        <v>215</v>
      </c>
      <c r="C2380" s="15">
        <v>42584</v>
      </c>
      <c r="D2380" s="16">
        <v>0.39652777777777781</v>
      </c>
      <c r="E2380" s="1">
        <v>30</v>
      </c>
      <c r="F2380" s="1">
        <v>19</v>
      </c>
      <c r="G2380" s="1">
        <v>0.27696348223859474</v>
      </c>
      <c r="H2380" s="1" t="s">
        <v>144</v>
      </c>
    </row>
    <row r="2381" spans="1:8" x14ac:dyDescent="0.25">
      <c r="A2381" s="1">
        <v>2016</v>
      </c>
      <c r="B2381" s="1">
        <v>215</v>
      </c>
      <c r="C2381" s="15">
        <v>42584</v>
      </c>
      <c r="D2381" s="16">
        <v>0.38958333333333334</v>
      </c>
      <c r="E2381" s="1">
        <v>30</v>
      </c>
      <c r="F2381" s="1">
        <v>20</v>
      </c>
      <c r="G2381" s="1">
        <v>0.28211560028757093</v>
      </c>
      <c r="H2381" s="1" t="s">
        <v>144</v>
      </c>
    </row>
    <row r="2382" spans="1:8" x14ac:dyDescent="0.25">
      <c r="A2382" s="1">
        <v>2016</v>
      </c>
      <c r="B2382" s="1">
        <v>215</v>
      </c>
      <c r="C2382" s="15">
        <v>42584</v>
      </c>
      <c r="D2382" s="16">
        <v>0.29236111111111113</v>
      </c>
      <c r="E2382" s="1">
        <v>10</v>
      </c>
      <c r="F2382" s="1">
        <v>1</v>
      </c>
      <c r="G2382" s="1">
        <v>0.20366784027553309</v>
      </c>
      <c r="H2382" s="1" t="s">
        <v>143</v>
      </c>
    </row>
    <row r="2383" spans="1:8" x14ac:dyDescent="0.25">
      <c r="A2383" s="1">
        <v>2016</v>
      </c>
      <c r="B2383" s="1">
        <v>215</v>
      </c>
      <c r="C2383" s="15">
        <v>42584</v>
      </c>
      <c r="D2383" s="16">
        <v>0.2986111111111111</v>
      </c>
      <c r="E2383" s="1">
        <v>10</v>
      </c>
      <c r="F2383" s="1">
        <v>2</v>
      </c>
      <c r="G2383" s="1">
        <v>0.19768323882876154</v>
      </c>
      <c r="H2383" s="1" t="s">
        <v>143</v>
      </c>
    </row>
    <row r="2384" spans="1:8" x14ac:dyDescent="0.25">
      <c r="A2384" s="1">
        <v>2016</v>
      </c>
      <c r="B2384" s="1">
        <v>215</v>
      </c>
      <c r="C2384" s="15">
        <v>42584</v>
      </c>
      <c r="D2384" s="16">
        <v>0.29930555555555555</v>
      </c>
      <c r="E2384" s="1">
        <v>10</v>
      </c>
      <c r="F2384" s="1">
        <v>3</v>
      </c>
      <c r="G2384" s="1">
        <v>0.14855963528651203</v>
      </c>
      <c r="H2384" s="1" t="s">
        <v>143</v>
      </c>
    </row>
    <row r="2385" spans="1:8" x14ac:dyDescent="0.25">
      <c r="A2385" s="1">
        <v>2016</v>
      </c>
      <c r="B2385" s="1">
        <v>215</v>
      </c>
      <c r="C2385" s="15">
        <v>42584</v>
      </c>
      <c r="D2385" s="16">
        <v>0.30555555555555552</v>
      </c>
      <c r="E2385" s="1">
        <v>10</v>
      </c>
      <c r="F2385" s="1">
        <v>4</v>
      </c>
      <c r="G2385" s="1">
        <v>0.13018383981854054</v>
      </c>
      <c r="H2385" s="1" t="s">
        <v>143</v>
      </c>
    </row>
    <row r="2386" spans="1:8" x14ac:dyDescent="0.25">
      <c r="A2386" s="1">
        <v>2016</v>
      </c>
      <c r="B2386" s="1">
        <v>215</v>
      </c>
      <c r="C2386" s="15">
        <v>42584</v>
      </c>
      <c r="D2386" s="16">
        <v>0.31319444444444444</v>
      </c>
      <c r="E2386" s="1">
        <v>10</v>
      </c>
      <c r="F2386" s="1">
        <v>5</v>
      </c>
      <c r="G2386" s="1">
        <v>0.19472930093516277</v>
      </c>
      <c r="H2386" s="1" t="s">
        <v>0</v>
      </c>
    </row>
    <row r="2387" spans="1:8" x14ac:dyDescent="0.25">
      <c r="A2387" s="1">
        <v>2016</v>
      </c>
      <c r="B2387" s="1">
        <v>215</v>
      </c>
      <c r="C2387" s="15">
        <v>42584</v>
      </c>
      <c r="D2387" s="16">
        <v>0.32361111111111113</v>
      </c>
      <c r="E2387" s="1">
        <v>10</v>
      </c>
      <c r="F2387" s="1">
        <v>6</v>
      </c>
      <c r="G2387" s="1">
        <v>0.19672416808408666</v>
      </c>
      <c r="H2387" s="1" t="s">
        <v>0</v>
      </c>
    </row>
    <row r="2388" spans="1:8" x14ac:dyDescent="0.25">
      <c r="A2388" s="1">
        <v>2016</v>
      </c>
      <c r="B2388" s="1">
        <v>215</v>
      </c>
      <c r="C2388" s="15">
        <v>42584</v>
      </c>
      <c r="D2388" s="16">
        <v>0.3354166666666667</v>
      </c>
      <c r="E2388" s="1">
        <v>10</v>
      </c>
      <c r="F2388" s="1">
        <v>7</v>
      </c>
      <c r="G2388" s="1">
        <v>0.20763839315848726</v>
      </c>
      <c r="H2388" s="1" t="s">
        <v>143</v>
      </c>
    </row>
    <row r="2389" spans="1:8" x14ac:dyDescent="0.25">
      <c r="A2389" s="1">
        <v>2016</v>
      </c>
      <c r="B2389" s="1">
        <v>215</v>
      </c>
      <c r="C2389" s="15">
        <v>42584</v>
      </c>
      <c r="D2389" s="16">
        <v>0.34166666666666662</v>
      </c>
      <c r="E2389" s="1">
        <v>10</v>
      </c>
      <c r="F2389" s="1">
        <v>8</v>
      </c>
      <c r="G2389" s="1">
        <v>0.16599554142470213</v>
      </c>
      <c r="H2389" s="1" t="s">
        <v>143</v>
      </c>
    </row>
    <row r="2390" spans="1:8" x14ac:dyDescent="0.25">
      <c r="A2390" s="1">
        <v>2016</v>
      </c>
      <c r="B2390" s="1">
        <v>215</v>
      </c>
      <c r="C2390" s="15">
        <v>42584</v>
      </c>
      <c r="D2390" s="16">
        <v>0.34791666666666665</v>
      </c>
      <c r="E2390" s="1">
        <v>10</v>
      </c>
      <c r="F2390" s="1">
        <v>9</v>
      </c>
      <c r="G2390" s="1">
        <v>0.1893968675947702</v>
      </c>
      <c r="H2390" s="1" t="s">
        <v>143</v>
      </c>
    </row>
    <row r="2391" spans="1:8" x14ac:dyDescent="0.25">
      <c r="A2391" s="1">
        <v>2016</v>
      </c>
      <c r="B2391" s="1">
        <v>215</v>
      </c>
      <c r="C2391" s="15">
        <v>42584</v>
      </c>
      <c r="D2391" s="16">
        <v>0.34791666666666665</v>
      </c>
      <c r="E2391" s="1">
        <v>10</v>
      </c>
      <c r="F2391" s="1">
        <v>10</v>
      </c>
      <c r="G2391" s="1">
        <v>0.22825841416899806</v>
      </c>
      <c r="H2391" s="1" t="s">
        <v>143</v>
      </c>
    </row>
    <row r="2392" spans="1:8" x14ac:dyDescent="0.25">
      <c r="A2392" s="1">
        <v>2016</v>
      </c>
      <c r="B2392" s="1">
        <v>215</v>
      </c>
      <c r="C2392" s="15">
        <v>42584</v>
      </c>
      <c r="D2392" s="16">
        <v>0.41736111111111113</v>
      </c>
      <c r="E2392" s="1">
        <v>10</v>
      </c>
      <c r="F2392" s="1">
        <v>11</v>
      </c>
      <c r="G2392" s="1">
        <v>0.16672443519065505</v>
      </c>
      <c r="H2392" s="1" t="s">
        <v>144</v>
      </c>
    </row>
    <row r="2393" spans="1:8" x14ac:dyDescent="0.25">
      <c r="A2393" s="1">
        <v>2016</v>
      </c>
      <c r="B2393" s="1">
        <v>215</v>
      </c>
      <c r="C2393" s="15">
        <v>42584</v>
      </c>
      <c r="D2393" s="16">
        <v>0.4236111111111111</v>
      </c>
      <c r="E2393" s="1">
        <v>10</v>
      </c>
      <c r="F2393" s="1">
        <v>12</v>
      </c>
      <c r="G2393" s="1">
        <v>0.1415776002652786</v>
      </c>
      <c r="H2393" s="1" t="s">
        <v>144</v>
      </c>
    </row>
    <row r="2394" spans="1:8" x14ac:dyDescent="0.25">
      <c r="A2394" s="1">
        <v>2016</v>
      </c>
      <c r="B2394" s="1">
        <v>215</v>
      </c>
      <c r="C2394" s="15">
        <v>42584</v>
      </c>
      <c r="D2394" s="16">
        <v>0.4381944444444445</v>
      </c>
      <c r="E2394" s="1">
        <v>10</v>
      </c>
      <c r="F2394" s="1">
        <v>13</v>
      </c>
      <c r="G2394" s="1">
        <v>0.18793908006286436</v>
      </c>
      <c r="H2394" s="1" t="s">
        <v>144</v>
      </c>
    </row>
    <row r="2395" spans="1:8" x14ac:dyDescent="0.25">
      <c r="A2395" s="1">
        <v>2016</v>
      </c>
      <c r="B2395" s="1">
        <v>215</v>
      </c>
      <c r="C2395" s="15">
        <v>42584</v>
      </c>
      <c r="D2395" s="16">
        <v>0.40972222222222227</v>
      </c>
      <c r="E2395" s="1">
        <v>10</v>
      </c>
      <c r="F2395" s="1">
        <v>14</v>
      </c>
      <c r="G2395" s="1">
        <v>0.14435890542483587</v>
      </c>
      <c r="H2395" s="1" t="s">
        <v>144</v>
      </c>
    </row>
    <row r="2396" spans="1:8" x14ac:dyDescent="0.25">
      <c r="A2396" s="1">
        <v>2016</v>
      </c>
      <c r="B2396" s="1">
        <v>215</v>
      </c>
      <c r="C2396" s="15">
        <v>42584</v>
      </c>
      <c r="D2396" s="16">
        <v>0.4465277777777778</v>
      </c>
      <c r="E2396" s="1">
        <v>10</v>
      </c>
      <c r="F2396" s="1">
        <v>15</v>
      </c>
      <c r="G2396" s="1">
        <v>0.20334175622234357</v>
      </c>
      <c r="H2396" s="1" t="s">
        <v>1</v>
      </c>
    </row>
    <row r="2397" spans="1:8" x14ac:dyDescent="0.25">
      <c r="A2397" s="1">
        <v>2016</v>
      </c>
      <c r="B2397" s="1">
        <v>215</v>
      </c>
      <c r="C2397" s="15">
        <v>42584</v>
      </c>
      <c r="D2397" s="16">
        <v>0.4513888888888889</v>
      </c>
      <c r="E2397" s="1">
        <v>10</v>
      </c>
      <c r="F2397" s="1">
        <v>16</v>
      </c>
      <c r="G2397" s="1">
        <v>0.22233135696690703</v>
      </c>
      <c r="H2397" s="1" t="s">
        <v>1</v>
      </c>
    </row>
    <row r="2398" spans="1:8" x14ac:dyDescent="0.25">
      <c r="A2398" s="1">
        <v>2016</v>
      </c>
      <c r="B2398" s="1">
        <v>215</v>
      </c>
      <c r="C2398" s="15">
        <v>42584</v>
      </c>
      <c r="D2398" s="16">
        <v>0.4597222222222222</v>
      </c>
      <c r="E2398" s="1">
        <v>10</v>
      </c>
      <c r="F2398" s="1">
        <v>17</v>
      </c>
      <c r="G2398" s="1">
        <v>0.20234432264788166</v>
      </c>
      <c r="H2398" s="1" t="s">
        <v>144</v>
      </c>
    </row>
    <row r="2399" spans="1:8" x14ac:dyDescent="0.25">
      <c r="A2399" s="1">
        <v>2016</v>
      </c>
      <c r="B2399" s="1">
        <v>215</v>
      </c>
      <c r="C2399" s="15">
        <v>42584</v>
      </c>
      <c r="D2399" s="16">
        <v>0.40277777777777773</v>
      </c>
      <c r="E2399" s="1">
        <v>10</v>
      </c>
      <c r="F2399" s="1">
        <v>18</v>
      </c>
      <c r="G2399" s="1">
        <v>0.15318235627584517</v>
      </c>
      <c r="H2399" s="1" t="s">
        <v>144</v>
      </c>
    </row>
    <row r="2400" spans="1:8" x14ac:dyDescent="0.25">
      <c r="A2400" s="1">
        <v>2016</v>
      </c>
      <c r="B2400" s="1">
        <v>215</v>
      </c>
      <c r="C2400" s="15">
        <v>42584</v>
      </c>
      <c r="D2400" s="16">
        <v>0.39652777777777781</v>
      </c>
      <c r="E2400" s="1">
        <v>10</v>
      </c>
      <c r="F2400" s="1">
        <v>19</v>
      </c>
      <c r="G2400" s="1">
        <v>0.18051587249908047</v>
      </c>
      <c r="H2400" s="1" t="s">
        <v>144</v>
      </c>
    </row>
    <row r="2401" spans="1:8" x14ac:dyDescent="0.25">
      <c r="A2401" s="1">
        <v>2016</v>
      </c>
      <c r="B2401" s="1">
        <v>215</v>
      </c>
      <c r="C2401" s="15">
        <v>42584</v>
      </c>
      <c r="D2401" s="16">
        <v>0.38958333333333334</v>
      </c>
      <c r="E2401" s="1">
        <v>10</v>
      </c>
      <c r="F2401" s="1">
        <v>20</v>
      </c>
      <c r="G2401" s="1">
        <v>0.17831000978632811</v>
      </c>
      <c r="H2401" s="1" t="s">
        <v>144</v>
      </c>
    </row>
    <row r="2402" spans="1:8" x14ac:dyDescent="0.25">
      <c r="A2402" s="1">
        <v>2016</v>
      </c>
      <c r="B2402" s="1">
        <v>224</v>
      </c>
      <c r="C2402" s="15">
        <v>42593</v>
      </c>
      <c r="D2402" s="16">
        <v>0.35486111111111113</v>
      </c>
      <c r="E2402" s="1">
        <v>230</v>
      </c>
      <c r="F2402" s="1">
        <v>1</v>
      </c>
      <c r="G2402" s="1">
        <v>0.30032875003622506</v>
      </c>
      <c r="H2402" s="1" t="s">
        <v>143</v>
      </c>
    </row>
    <row r="2403" spans="1:8" x14ac:dyDescent="0.25">
      <c r="A2403" s="1">
        <v>2016</v>
      </c>
      <c r="B2403" s="1">
        <v>224</v>
      </c>
      <c r="C2403" s="15">
        <v>42593</v>
      </c>
      <c r="D2403" s="16">
        <v>0.34722222222222227</v>
      </c>
      <c r="E2403" s="1">
        <v>230</v>
      </c>
      <c r="F2403" s="1">
        <v>2</v>
      </c>
      <c r="G2403" s="1">
        <v>0.3011267947434712</v>
      </c>
      <c r="H2403" s="1" t="s">
        <v>143</v>
      </c>
    </row>
    <row r="2404" spans="1:8" x14ac:dyDescent="0.25">
      <c r="A2404" s="1">
        <v>2016</v>
      </c>
      <c r="B2404" s="1">
        <v>224</v>
      </c>
      <c r="C2404" s="15">
        <v>42593</v>
      </c>
      <c r="D2404" s="16">
        <v>0.36944444444444446</v>
      </c>
      <c r="E2404" s="1">
        <v>230</v>
      </c>
      <c r="F2404" s="1">
        <v>3</v>
      </c>
      <c r="G2404" s="1">
        <v>0.27582293817225279</v>
      </c>
      <c r="H2404" s="1" t="s">
        <v>143</v>
      </c>
    </row>
    <row r="2405" spans="1:8" x14ac:dyDescent="0.25">
      <c r="A2405" s="1">
        <v>2016</v>
      </c>
      <c r="B2405" s="1">
        <v>224</v>
      </c>
      <c r="C2405" s="15">
        <v>42593</v>
      </c>
      <c r="D2405" s="16">
        <v>0.36249999999999999</v>
      </c>
      <c r="E2405" s="1">
        <v>230</v>
      </c>
      <c r="F2405" s="1">
        <v>4</v>
      </c>
      <c r="G2405" s="1">
        <v>0.27786671120300505</v>
      </c>
      <c r="H2405" s="1" t="s">
        <v>143</v>
      </c>
    </row>
    <row r="2406" spans="1:8" x14ac:dyDescent="0.25">
      <c r="A2406" s="1">
        <v>2016</v>
      </c>
      <c r="B2406" s="1">
        <v>224</v>
      </c>
      <c r="C2406" s="15">
        <v>42593</v>
      </c>
      <c r="D2406" s="16">
        <v>0.37777777777777777</v>
      </c>
      <c r="E2406" s="1">
        <v>230</v>
      </c>
      <c r="F2406" s="1">
        <v>5</v>
      </c>
      <c r="G2406" s="1" t="e">
        <v>#N/A</v>
      </c>
      <c r="H2406" s="1" t="s">
        <v>0</v>
      </c>
    </row>
    <row r="2407" spans="1:8" x14ac:dyDescent="0.25">
      <c r="A2407" s="1">
        <v>2016</v>
      </c>
      <c r="B2407" s="1">
        <v>224</v>
      </c>
      <c r="C2407" s="15">
        <v>42593</v>
      </c>
      <c r="D2407" s="16">
        <v>0.38472222222222219</v>
      </c>
      <c r="E2407" s="1">
        <v>230</v>
      </c>
      <c r="F2407" s="1">
        <v>6</v>
      </c>
      <c r="G2407" s="1" t="e">
        <v>#N/A</v>
      </c>
      <c r="H2407" s="1" t="s">
        <v>0</v>
      </c>
    </row>
    <row r="2408" spans="1:8" x14ac:dyDescent="0.25">
      <c r="A2408" s="1">
        <v>2016</v>
      </c>
      <c r="B2408" s="1">
        <v>224</v>
      </c>
      <c r="C2408" s="15">
        <v>42593</v>
      </c>
      <c r="D2408" s="16">
        <v>0.39027777777777778</v>
      </c>
      <c r="E2408" s="1">
        <v>230</v>
      </c>
      <c r="F2408" s="1">
        <v>7</v>
      </c>
      <c r="G2408" s="1">
        <v>0.27720491803114239</v>
      </c>
      <c r="H2408" s="1" t="s">
        <v>143</v>
      </c>
    </row>
    <row r="2409" spans="1:8" x14ac:dyDescent="0.25">
      <c r="A2409" s="1">
        <v>2016</v>
      </c>
      <c r="B2409" s="1">
        <v>224</v>
      </c>
      <c r="C2409" s="15">
        <v>42593</v>
      </c>
      <c r="D2409" s="16">
        <v>0.3972222222222222</v>
      </c>
      <c r="E2409" s="1">
        <v>230</v>
      </c>
      <c r="F2409" s="1">
        <v>8</v>
      </c>
      <c r="G2409" s="1">
        <v>0.30969117696757587</v>
      </c>
      <c r="H2409" s="1" t="s">
        <v>143</v>
      </c>
    </row>
    <row r="2410" spans="1:8" x14ac:dyDescent="0.25">
      <c r="A2410" s="1">
        <v>2016</v>
      </c>
      <c r="B2410" s="1">
        <v>224</v>
      </c>
      <c r="C2410" s="15">
        <v>42593</v>
      </c>
      <c r="D2410" s="16">
        <v>0.40416666666666662</v>
      </c>
      <c r="E2410" s="1">
        <v>230</v>
      </c>
      <c r="F2410" s="1">
        <v>9</v>
      </c>
      <c r="G2410" s="1">
        <v>0.30291752920851123</v>
      </c>
      <c r="H2410" s="1" t="s">
        <v>143</v>
      </c>
    </row>
    <row r="2411" spans="1:8" x14ac:dyDescent="0.25">
      <c r="A2411" s="1">
        <v>2016</v>
      </c>
      <c r="B2411" s="1">
        <v>224</v>
      </c>
      <c r="C2411" s="15">
        <v>42593</v>
      </c>
      <c r="D2411" s="16">
        <v>0.41111111111111115</v>
      </c>
      <c r="E2411" s="1">
        <v>230</v>
      </c>
      <c r="F2411" s="1">
        <v>10</v>
      </c>
      <c r="G2411" s="1">
        <v>0.2529716092379371</v>
      </c>
      <c r="H2411" s="1" t="s">
        <v>143</v>
      </c>
    </row>
    <row r="2412" spans="1:8" x14ac:dyDescent="0.25">
      <c r="A2412" s="1">
        <v>2016</v>
      </c>
      <c r="B2412" s="1">
        <v>224</v>
      </c>
      <c r="C2412" s="15">
        <v>42593</v>
      </c>
      <c r="D2412" s="16">
        <v>0.43124999999999997</v>
      </c>
      <c r="E2412" s="1">
        <v>230</v>
      </c>
      <c r="F2412" s="1">
        <v>11</v>
      </c>
      <c r="G2412" s="1">
        <v>0.29172543880201079</v>
      </c>
      <c r="H2412" s="1" t="s">
        <v>144</v>
      </c>
    </row>
    <row r="2413" spans="1:8" x14ac:dyDescent="0.25">
      <c r="A2413" s="1">
        <v>2016</v>
      </c>
      <c r="B2413" s="1">
        <v>224</v>
      </c>
      <c r="C2413" s="15">
        <v>42593</v>
      </c>
      <c r="D2413" s="16">
        <v>0.4375</v>
      </c>
      <c r="E2413" s="1">
        <v>230</v>
      </c>
      <c r="F2413" s="1">
        <v>12</v>
      </c>
      <c r="G2413" s="1">
        <v>0.29809033195492496</v>
      </c>
      <c r="H2413" s="1" t="s">
        <v>144</v>
      </c>
    </row>
    <row r="2414" spans="1:8" x14ac:dyDescent="0.25">
      <c r="A2414" s="1">
        <v>2016</v>
      </c>
      <c r="B2414" s="1">
        <v>224</v>
      </c>
      <c r="C2414" s="15">
        <v>42593</v>
      </c>
      <c r="D2414" s="16">
        <v>0.44444444444444442</v>
      </c>
      <c r="E2414" s="1">
        <v>230</v>
      </c>
      <c r="F2414" s="1">
        <v>13</v>
      </c>
      <c r="G2414" s="1">
        <v>0.29104418112509339</v>
      </c>
      <c r="H2414" s="1" t="s">
        <v>144</v>
      </c>
    </row>
    <row r="2415" spans="1:8" x14ac:dyDescent="0.25">
      <c r="A2415" s="1">
        <v>2016</v>
      </c>
      <c r="B2415" s="1">
        <v>224</v>
      </c>
      <c r="C2415" s="15">
        <v>42593</v>
      </c>
      <c r="D2415" s="16">
        <v>0.45277777777777778</v>
      </c>
      <c r="E2415" s="1">
        <v>230</v>
      </c>
      <c r="F2415" s="1">
        <v>14</v>
      </c>
      <c r="G2415" s="1">
        <v>0.28004673576914074</v>
      </c>
      <c r="H2415" s="1" t="s">
        <v>144</v>
      </c>
    </row>
    <row r="2416" spans="1:8" x14ac:dyDescent="0.25">
      <c r="A2416" s="1">
        <v>2016</v>
      </c>
      <c r="B2416" s="1">
        <v>224</v>
      </c>
      <c r="C2416" s="15">
        <v>42593</v>
      </c>
      <c r="D2416" s="16">
        <v>0.45902777777777781</v>
      </c>
      <c r="E2416" s="1">
        <v>230</v>
      </c>
      <c r="F2416" s="1">
        <v>15</v>
      </c>
      <c r="G2416" s="1" t="e">
        <v>#N/A</v>
      </c>
      <c r="H2416" s="1" t="s">
        <v>1</v>
      </c>
    </row>
    <row r="2417" spans="1:8" x14ac:dyDescent="0.25">
      <c r="A2417" s="1">
        <v>2016</v>
      </c>
      <c r="B2417" s="1">
        <v>224</v>
      </c>
      <c r="C2417" s="15">
        <v>42593</v>
      </c>
      <c r="D2417" s="16">
        <v>0.45902777777777781</v>
      </c>
      <c r="E2417" s="1">
        <v>230</v>
      </c>
      <c r="F2417" s="1">
        <v>16</v>
      </c>
      <c r="G2417" s="1" t="e">
        <v>#N/A</v>
      </c>
      <c r="H2417" s="1" t="s">
        <v>1</v>
      </c>
    </row>
    <row r="2418" spans="1:8" x14ac:dyDescent="0.25">
      <c r="A2418" s="1">
        <v>2016</v>
      </c>
      <c r="B2418" s="1">
        <v>224</v>
      </c>
      <c r="C2418" s="15">
        <v>42593</v>
      </c>
      <c r="D2418" s="16">
        <v>0.47291666666666665</v>
      </c>
      <c r="E2418" s="1">
        <v>230</v>
      </c>
      <c r="F2418" s="1">
        <v>17</v>
      </c>
      <c r="G2418" s="1">
        <v>0.30895152577549406</v>
      </c>
      <c r="H2418" s="1" t="s">
        <v>144</v>
      </c>
    </row>
    <row r="2419" spans="1:8" x14ac:dyDescent="0.25">
      <c r="A2419" s="1">
        <v>2016</v>
      </c>
      <c r="B2419" s="1">
        <v>224</v>
      </c>
      <c r="C2419" s="15">
        <v>42593</v>
      </c>
      <c r="D2419" s="16">
        <v>0.48055555555555557</v>
      </c>
      <c r="E2419" s="1">
        <v>230</v>
      </c>
      <c r="F2419" s="1">
        <v>18</v>
      </c>
      <c r="G2419" s="1">
        <v>0.29690299714658319</v>
      </c>
      <c r="H2419" s="1" t="s">
        <v>144</v>
      </c>
    </row>
    <row r="2420" spans="1:8" x14ac:dyDescent="0.25">
      <c r="A2420" s="1">
        <v>2016</v>
      </c>
      <c r="B2420" s="1">
        <v>224</v>
      </c>
      <c r="C2420" s="15">
        <v>42593</v>
      </c>
      <c r="D2420" s="16">
        <v>0.48749999999999999</v>
      </c>
      <c r="E2420" s="1">
        <v>230</v>
      </c>
      <c r="F2420" s="1">
        <v>19</v>
      </c>
      <c r="G2420" s="1">
        <v>0.29302956064068131</v>
      </c>
      <c r="H2420" s="1" t="s">
        <v>144</v>
      </c>
    </row>
    <row r="2421" spans="1:8" x14ac:dyDescent="0.25">
      <c r="A2421" s="1">
        <v>2016</v>
      </c>
      <c r="B2421" s="1">
        <v>224</v>
      </c>
      <c r="C2421" s="15">
        <v>42593</v>
      </c>
      <c r="D2421" s="16">
        <v>0.49305555555555558</v>
      </c>
      <c r="E2421" s="1">
        <v>230</v>
      </c>
      <c r="F2421" s="1">
        <v>20</v>
      </c>
      <c r="G2421" s="1">
        <v>0.31161816296799938</v>
      </c>
      <c r="H2421" s="1" t="s">
        <v>144</v>
      </c>
    </row>
    <row r="2422" spans="1:8" x14ac:dyDescent="0.25">
      <c r="A2422" s="1">
        <v>2016</v>
      </c>
      <c r="B2422" s="1">
        <v>224</v>
      </c>
      <c r="C2422" s="15">
        <v>42593</v>
      </c>
      <c r="D2422" s="16">
        <v>0.35486111111111113</v>
      </c>
      <c r="E2422" s="1">
        <v>210</v>
      </c>
      <c r="F2422" s="1">
        <v>1</v>
      </c>
      <c r="G2422" s="1">
        <v>0.29945284730875982</v>
      </c>
      <c r="H2422" s="1" t="s">
        <v>143</v>
      </c>
    </row>
    <row r="2423" spans="1:8" x14ac:dyDescent="0.25">
      <c r="A2423" s="1">
        <v>2016</v>
      </c>
      <c r="B2423" s="1">
        <v>224</v>
      </c>
      <c r="C2423" s="15">
        <v>42593</v>
      </c>
      <c r="D2423" s="16">
        <v>0.34722222222222227</v>
      </c>
      <c r="E2423" s="1">
        <v>210</v>
      </c>
      <c r="F2423" s="1">
        <v>2</v>
      </c>
      <c r="G2423" s="1">
        <v>0.30719972032056359</v>
      </c>
      <c r="H2423" s="1" t="s">
        <v>143</v>
      </c>
    </row>
    <row r="2424" spans="1:8" x14ac:dyDescent="0.25">
      <c r="A2424" s="1">
        <v>2016</v>
      </c>
      <c r="B2424" s="1">
        <v>224</v>
      </c>
      <c r="C2424" s="15">
        <v>42593</v>
      </c>
      <c r="D2424" s="16">
        <v>0.36944444444444446</v>
      </c>
      <c r="E2424" s="1">
        <v>210</v>
      </c>
      <c r="F2424" s="1">
        <v>3</v>
      </c>
      <c r="G2424" s="1">
        <v>0.28035816785001727</v>
      </c>
      <c r="H2424" s="1" t="s">
        <v>143</v>
      </c>
    </row>
    <row r="2425" spans="1:8" x14ac:dyDescent="0.25">
      <c r="A2425" s="1">
        <v>2016</v>
      </c>
      <c r="B2425" s="1">
        <v>224</v>
      </c>
      <c r="C2425" s="15">
        <v>42593</v>
      </c>
      <c r="D2425" s="16">
        <v>0.36249999999999999</v>
      </c>
      <c r="E2425" s="1">
        <v>210</v>
      </c>
      <c r="F2425" s="1">
        <v>4</v>
      </c>
      <c r="G2425" s="1">
        <v>0.29754532581339105</v>
      </c>
      <c r="H2425" s="1" t="s">
        <v>143</v>
      </c>
    </row>
    <row r="2426" spans="1:8" x14ac:dyDescent="0.25">
      <c r="A2426" s="1">
        <v>2016</v>
      </c>
      <c r="B2426" s="1">
        <v>224</v>
      </c>
      <c r="C2426" s="15">
        <v>42593</v>
      </c>
      <c r="D2426" s="16">
        <v>0.37777777777777777</v>
      </c>
      <c r="E2426" s="1">
        <v>210</v>
      </c>
      <c r="F2426" s="1">
        <v>5</v>
      </c>
      <c r="G2426" s="1" t="e">
        <v>#N/A</v>
      </c>
      <c r="H2426" s="1" t="s">
        <v>0</v>
      </c>
    </row>
    <row r="2427" spans="1:8" x14ac:dyDescent="0.25">
      <c r="A2427" s="1">
        <v>2016</v>
      </c>
      <c r="B2427" s="1">
        <v>224</v>
      </c>
      <c r="C2427" s="15">
        <v>42593</v>
      </c>
      <c r="D2427" s="16">
        <v>0.38472222222222219</v>
      </c>
      <c r="E2427" s="1">
        <v>210</v>
      </c>
      <c r="F2427" s="1">
        <v>6</v>
      </c>
      <c r="G2427" s="1" t="e">
        <v>#N/A</v>
      </c>
      <c r="H2427" s="1" t="s">
        <v>0</v>
      </c>
    </row>
    <row r="2428" spans="1:8" x14ac:dyDescent="0.25">
      <c r="A2428" s="1">
        <v>2016</v>
      </c>
      <c r="B2428" s="1">
        <v>224</v>
      </c>
      <c r="C2428" s="15">
        <v>42593</v>
      </c>
      <c r="D2428" s="16">
        <v>0.39027777777777778</v>
      </c>
      <c r="E2428" s="1">
        <v>210</v>
      </c>
      <c r="F2428" s="1">
        <v>7</v>
      </c>
      <c r="G2428" s="1">
        <v>0.28105889003198953</v>
      </c>
      <c r="H2428" s="1" t="s">
        <v>143</v>
      </c>
    </row>
    <row r="2429" spans="1:8" x14ac:dyDescent="0.25">
      <c r="A2429" s="1">
        <v>2016</v>
      </c>
      <c r="B2429" s="1">
        <v>224</v>
      </c>
      <c r="C2429" s="15">
        <v>42593</v>
      </c>
      <c r="D2429" s="16">
        <v>0.3972222222222222</v>
      </c>
      <c r="E2429" s="1">
        <v>210</v>
      </c>
      <c r="F2429" s="1">
        <v>8</v>
      </c>
      <c r="G2429" s="1">
        <v>0.30610970803749571</v>
      </c>
      <c r="H2429" s="1" t="s">
        <v>143</v>
      </c>
    </row>
    <row r="2430" spans="1:8" x14ac:dyDescent="0.25">
      <c r="A2430" s="1">
        <v>2016</v>
      </c>
      <c r="B2430" s="1">
        <v>224</v>
      </c>
      <c r="C2430" s="15">
        <v>42593</v>
      </c>
      <c r="D2430" s="16">
        <v>0.40416666666666662</v>
      </c>
      <c r="E2430" s="1">
        <v>210</v>
      </c>
      <c r="F2430" s="1">
        <v>9</v>
      </c>
      <c r="G2430" s="1">
        <v>0.30116572375358075</v>
      </c>
      <c r="H2430" s="1" t="s">
        <v>143</v>
      </c>
    </row>
    <row r="2431" spans="1:8" x14ac:dyDescent="0.25">
      <c r="A2431" s="1">
        <v>2016</v>
      </c>
      <c r="B2431" s="1">
        <v>224</v>
      </c>
      <c r="C2431" s="15">
        <v>42593</v>
      </c>
      <c r="D2431" s="16">
        <v>0.41111111111111115</v>
      </c>
      <c r="E2431" s="1">
        <v>210</v>
      </c>
      <c r="F2431" s="1">
        <v>10</v>
      </c>
      <c r="G2431" s="1">
        <v>0.27449935182852753</v>
      </c>
      <c r="H2431" s="1" t="s">
        <v>143</v>
      </c>
    </row>
    <row r="2432" spans="1:8" x14ac:dyDescent="0.25">
      <c r="A2432" s="1">
        <v>2016</v>
      </c>
      <c r="B2432" s="1">
        <v>224</v>
      </c>
      <c r="C2432" s="15">
        <v>42593</v>
      </c>
      <c r="D2432" s="16">
        <v>0.43124999999999997</v>
      </c>
      <c r="E2432" s="1">
        <v>210</v>
      </c>
      <c r="F2432" s="1">
        <v>11</v>
      </c>
      <c r="G2432" s="1">
        <v>0.31455730323127168</v>
      </c>
      <c r="H2432" s="1" t="s">
        <v>144</v>
      </c>
    </row>
    <row r="2433" spans="1:8" x14ac:dyDescent="0.25">
      <c r="A2433" s="1">
        <v>2016</v>
      </c>
      <c r="B2433" s="1">
        <v>224</v>
      </c>
      <c r="C2433" s="15">
        <v>42593</v>
      </c>
      <c r="D2433" s="16">
        <v>0.4375</v>
      </c>
      <c r="E2433" s="1">
        <v>210</v>
      </c>
      <c r="F2433" s="1">
        <v>12</v>
      </c>
      <c r="G2433" s="1">
        <v>0.31545267046379172</v>
      </c>
      <c r="H2433" s="1" t="s">
        <v>144</v>
      </c>
    </row>
    <row r="2434" spans="1:8" x14ac:dyDescent="0.25">
      <c r="A2434" s="1">
        <v>2016</v>
      </c>
      <c r="B2434" s="1">
        <v>224</v>
      </c>
      <c r="C2434" s="15">
        <v>42593</v>
      </c>
      <c r="D2434" s="16">
        <v>0.44444444444444442</v>
      </c>
      <c r="E2434" s="1">
        <v>210</v>
      </c>
      <c r="F2434" s="1">
        <v>13</v>
      </c>
      <c r="G2434" s="1">
        <v>0.30568148892629049</v>
      </c>
      <c r="H2434" s="1" t="s">
        <v>144</v>
      </c>
    </row>
    <row r="2435" spans="1:8" x14ac:dyDescent="0.25">
      <c r="A2435" s="1">
        <v>2016</v>
      </c>
      <c r="B2435" s="1">
        <v>224</v>
      </c>
      <c r="C2435" s="15">
        <v>42593</v>
      </c>
      <c r="D2435" s="16">
        <v>0.45277777777777778</v>
      </c>
      <c r="E2435" s="1">
        <v>210</v>
      </c>
      <c r="F2435" s="1">
        <v>14</v>
      </c>
      <c r="G2435" s="1">
        <v>0.27463560336391102</v>
      </c>
      <c r="H2435" s="1" t="s">
        <v>144</v>
      </c>
    </row>
    <row r="2436" spans="1:8" x14ac:dyDescent="0.25">
      <c r="A2436" s="1">
        <v>2016</v>
      </c>
      <c r="B2436" s="1">
        <v>224</v>
      </c>
      <c r="C2436" s="15">
        <v>42593</v>
      </c>
      <c r="D2436" s="16">
        <v>0.45902777777777781</v>
      </c>
      <c r="E2436" s="1">
        <v>210</v>
      </c>
      <c r="F2436" s="1">
        <v>15</v>
      </c>
      <c r="G2436" s="1" t="e">
        <v>#N/A</v>
      </c>
      <c r="H2436" s="1" t="s">
        <v>1</v>
      </c>
    </row>
    <row r="2437" spans="1:8" x14ac:dyDescent="0.25">
      <c r="A2437" s="1">
        <v>2016</v>
      </c>
      <c r="B2437" s="1">
        <v>224</v>
      </c>
      <c r="C2437" s="15">
        <v>42593</v>
      </c>
      <c r="D2437" s="16">
        <v>0.45902777777777781</v>
      </c>
      <c r="E2437" s="1">
        <v>210</v>
      </c>
      <c r="F2437" s="1">
        <v>16</v>
      </c>
      <c r="G2437" s="1" t="e">
        <v>#N/A</v>
      </c>
      <c r="H2437" s="1" t="s">
        <v>1</v>
      </c>
    </row>
    <row r="2438" spans="1:8" x14ac:dyDescent="0.25">
      <c r="A2438" s="1">
        <v>2016</v>
      </c>
      <c r="B2438" s="1">
        <v>224</v>
      </c>
      <c r="C2438" s="15">
        <v>42593</v>
      </c>
      <c r="D2438" s="16">
        <v>0.47291666666666665</v>
      </c>
      <c r="E2438" s="1">
        <v>210</v>
      </c>
      <c r="F2438" s="1">
        <v>17</v>
      </c>
      <c r="G2438" s="1">
        <v>0.31410961961501166</v>
      </c>
      <c r="H2438" s="1" t="s">
        <v>144</v>
      </c>
    </row>
    <row r="2439" spans="1:8" x14ac:dyDescent="0.25">
      <c r="A2439" s="1">
        <v>2016</v>
      </c>
      <c r="B2439" s="1">
        <v>224</v>
      </c>
      <c r="C2439" s="15">
        <v>42593</v>
      </c>
      <c r="D2439" s="16">
        <v>0.48055555555555557</v>
      </c>
      <c r="E2439" s="1">
        <v>210</v>
      </c>
      <c r="F2439" s="1">
        <v>18</v>
      </c>
      <c r="G2439" s="1">
        <v>0.31083958276580809</v>
      </c>
      <c r="H2439" s="1" t="s">
        <v>144</v>
      </c>
    </row>
    <row r="2440" spans="1:8" x14ac:dyDescent="0.25">
      <c r="A2440" s="1">
        <v>2016</v>
      </c>
      <c r="B2440" s="1">
        <v>224</v>
      </c>
      <c r="C2440" s="15">
        <v>42593</v>
      </c>
      <c r="D2440" s="16">
        <v>0.48749999999999999</v>
      </c>
      <c r="E2440" s="1">
        <v>210</v>
      </c>
      <c r="F2440" s="1">
        <v>19</v>
      </c>
      <c r="G2440" s="1">
        <v>0.30406593500674345</v>
      </c>
      <c r="H2440" s="1" t="s">
        <v>144</v>
      </c>
    </row>
    <row r="2441" spans="1:8" x14ac:dyDescent="0.25">
      <c r="A2441" s="1">
        <v>2016</v>
      </c>
      <c r="B2441" s="1">
        <v>224</v>
      </c>
      <c r="C2441" s="15">
        <v>42593</v>
      </c>
      <c r="D2441" s="16">
        <v>0.49305555555555558</v>
      </c>
      <c r="E2441" s="1">
        <v>210</v>
      </c>
      <c r="F2441" s="1">
        <v>20</v>
      </c>
      <c r="G2441" s="1">
        <v>0.30908777731087755</v>
      </c>
      <c r="H2441" s="1" t="s">
        <v>144</v>
      </c>
    </row>
    <row r="2442" spans="1:8" x14ac:dyDescent="0.25">
      <c r="A2442" s="1">
        <v>2016</v>
      </c>
      <c r="B2442" s="1">
        <v>224</v>
      </c>
      <c r="C2442" s="15">
        <v>42593</v>
      </c>
      <c r="D2442" s="16">
        <v>0.35486111111111113</v>
      </c>
      <c r="E2442" s="1">
        <v>190</v>
      </c>
      <c r="F2442" s="1">
        <v>1</v>
      </c>
      <c r="G2442" s="1">
        <v>0.29760371932855539</v>
      </c>
      <c r="H2442" s="1" t="s">
        <v>143</v>
      </c>
    </row>
    <row r="2443" spans="1:8" x14ac:dyDescent="0.25">
      <c r="A2443" s="1">
        <v>2016</v>
      </c>
      <c r="B2443" s="1">
        <v>224</v>
      </c>
      <c r="C2443" s="15">
        <v>42593</v>
      </c>
      <c r="D2443" s="16">
        <v>0.34722222222222227</v>
      </c>
      <c r="E2443" s="1">
        <v>190</v>
      </c>
      <c r="F2443" s="1">
        <v>2</v>
      </c>
      <c r="G2443" s="1">
        <v>0.28917558863983417</v>
      </c>
      <c r="H2443" s="1" t="s">
        <v>143</v>
      </c>
    </row>
    <row r="2444" spans="1:8" x14ac:dyDescent="0.25">
      <c r="A2444" s="1">
        <v>2016</v>
      </c>
      <c r="B2444" s="1">
        <v>224</v>
      </c>
      <c r="C2444" s="15">
        <v>42593</v>
      </c>
      <c r="D2444" s="16">
        <v>0.36944444444444446</v>
      </c>
      <c r="E2444" s="1">
        <v>190</v>
      </c>
      <c r="F2444" s="1">
        <v>3</v>
      </c>
      <c r="G2444" s="1">
        <v>0.30391021896630521</v>
      </c>
      <c r="H2444" s="1" t="s">
        <v>143</v>
      </c>
    </row>
    <row r="2445" spans="1:8" x14ac:dyDescent="0.25">
      <c r="A2445" s="1">
        <v>2016</v>
      </c>
      <c r="B2445" s="1">
        <v>224</v>
      </c>
      <c r="C2445" s="15">
        <v>42593</v>
      </c>
      <c r="D2445" s="16">
        <v>0.36249999999999999</v>
      </c>
      <c r="E2445" s="1">
        <v>190</v>
      </c>
      <c r="F2445" s="1">
        <v>4</v>
      </c>
      <c r="G2445" s="1">
        <v>0.30194430395577204</v>
      </c>
      <c r="H2445" s="1" t="s">
        <v>143</v>
      </c>
    </row>
    <row r="2446" spans="1:8" x14ac:dyDescent="0.25">
      <c r="A2446" s="1">
        <v>2016</v>
      </c>
      <c r="B2446" s="1">
        <v>224</v>
      </c>
      <c r="C2446" s="15">
        <v>42593</v>
      </c>
      <c r="D2446" s="16">
        <v>0.37777777777777777</v>
      </c>
      <c r="E2446" s="1">
        <v>190</v>
      </c>
      <c r="F2446" s="1">
        <v>5</v>
      </c>
      <c r="G2446" s="1">
        <v>0.33929668915590139</v>
      </c>
      <c r="H2446" s="1" t="s">
        <v>0</v>
      </c>
    </row>
    <row r="2447" spans="1:8" x14ac:dyDescent="0.25">
      <c r="A2447" s="1">
        <v>2016</v>
      </c>
      <c r="B2447" s="1">
        <v>224</v>
      </c>
      <c r="C2447" s="15">
        <v>42593</v>
      </c>
      <c r="D2447" s="16">
        <v>0.38472222222222219</v>
      </c>
      <c r="E2447" s="1">
        <v>190</v>
      </c>
      <c r="F2447" s="1">
        <v>6</v>
      </c>
      <c r="G2447" s="1">
        <v>0.35679527920015158</v>
      </c>
      <c r="H2447" s="1" t="s">
        <v>0</v>
      </c>
    </row>
    <row r="2448" spans="1:8" x14ac:dyDescent="0.25">
      <c r="A2448" s="1">
        <v>2016</v>
      </c>
      <c r="B2448" s="1">
        <v>224</v>
      </c>
      <c r="C2448" s="15">
        <v>42593</v>
      </c>
      <c r="D2448" s="16">
        <v>0.39027777777777778</v>
      </c>
      <c r="E2448" s="1">
        <v>190</v>
      </c>
      <c r="F2448" s="1">
        <v>7</v>
      </c>
      <c r="G2448" s="1">
        <v>0.29690299714658319</v>
      </c>
      <c r="H2448" s="1" t="s">
        <v>143</v>
      </c>
    </row>
    <row r="2449" spans="1:8" x14ac:dyDescent="0.25">
      <c r="A2449" s="1">
        <v>2016</v>
      </c>
      <c r="B2449" s="1">
        <v>224</v>
      </c>
      <c r="C2449" s="15">
        <v>42593</v>
      </c>
      <c r="D2449" s="16">
        <v>0.3972222222222222</v>
      </c>
      <c r="E2449" s="1">
        <v>190</v>
      </c>
      <c r="F2449" s="1">
        <v>8</v>
      </c>
      <c r="G2449" s="1">
        <v>0.30248931009730601</v>
      </c>
      <c r="H2449" s="1" t="s">
        <v>143</v>
      </c>
    </row>
    <row r="2450" spans="1:8" x14ac:dyDescent="0.25">
      <c r="A2450" s="1">
        <v>2016</v>
      </c>
      <c r="B2450" s="1">
        <v>224</v>
      </c>
      <c r="C2450" s="15">
        <v>42593</v>
      </c>
      <c r="D2450" s="16">
        <v>0.40416666666666662</v>
      </c>
      <c r="E2450" s="1">
        <v>190</v>
      </c>
      <c r="F2450" s="1">
        <v>9</v>
      </c>
      <c r="G2450" s="1">
        <v>0.29180329682222994</v>
      </c>
      <c r="H2450" s="1" t="s">
        <v>143</v>
      </c>
    </row>
    <row r="2451" spans="1:8" x14ac:dyDescent="0.25">
      <c r="A2451" s="1">
        <v>2016</v>
      </c>
      <c r="B2451" s="1">
        <v>224</v>
      </c>
      <c r="C2451" s="15">
        <v>42593</v>
      </c>
      <c r="D2451" s="16">
        <v>0.41111111111111115</v>
      </c>
      <c r="E2451" s="1">
        <v>190</v>
      </c>
      <c r="F2451" s="1">
        <v>10</v>
      </c>
      <c r="G2451" s="1">
        <v>0.29805140294481541</v>
      </c>
      <c r="H2451" s="1" t="s">
        <v>143</v>
      </c>
    </row>
    <row r="2452" spans="1:8" x14ac:dyDescent="0.25">
      <c r="A2452" s="1">
        <v>2016</v>
      </c>
      <c r="B2452" s="1">
        <v>224</v>
      </c>
      <c r="C2452" s="15">
        <v>42593</v>
      </c>
      <c r="D2452" s="16">
        <v>0.43124999999999997</v>
      </c>
      <c r="E2452" s="1">
        <v>190</v>
      </c>
      <c r="F2452" s="1">
        <v>11</v>
      </c>
      <c r="G2452" s="1">
        <v>0.31588088957499699</v>
      </c>
      <c r="H2452" s="1" t="s">
        <v>144</v>
      </c>
    </row>
    <row r="2453" spans="1:8" x14ac:dyDescent="0.25">
      <c r="A2453" s="1">
        <v>2016</v>
      </c>
      <c r="B2453" s="1">
        <v>224</v>
      </c>
      <c r="C2453" s="15">
        <v>42593</v>
      </c>
      <c r="D2453" s="16">
        <v>0.4375</v>
      </c>
      <c r="E2453" s="1">
        <v>190</v>
      </c>
      <c r="F2453" s="1">
        <v>12</v>
      </c>
      <c r="G2453" s="1">
        <v>0.31175441450338287</v>
      </c>
      <c r="H2453" s="1" t="s">
        <v>144</v>
      </c>
    </row>
    <row r="2454" spans="1:8" x14ac:dyDescent="0.25">
      <c r="A2454" s="1">
        <v>2016</v>
      </c>
      <c r="B2454" s="1">
        <v>224</v>
      </c>
      <c r="C2454" s="15">
        <v>42593</v>
      </c>
      <c r="D2454" s="16">
        <v>0.44444444444444442</v>
      </c>
      <c r="E2454" s="1">
        <v>190</v>
      </c>
      <c r="F2454" s="1">
        <v>13</v>
      </c>
      <c r="G2454" s="1">
        <v>0.29591030738878921</v>
      </c>
      <c r="H2454" s="1" t="s">
        <v>144</v>
      </c>
    </row>
    <row r="2455" spans="1:8" x14ac:dyDescent="0.25">
      <c r="A2455" s="1">
        <v>2016</v>
      </c>
      <c r="B2455" s="1">
        <v>224</v>
      </c>
      <c r="C2455" s="15">
        <v>42593</v>
      </c>
      <c r="D2455" s="16">
        <v>0.45277777777777778</v>
      </c>
      <c r="E2455" s="1">
        <v>190</v>
      </c>
      <c r="F2455" s="1">
        <v>14</v>
      </c>
      <c r="G2455" s="1">
        <v>0.30089322068281377</v>
      </c>
      <c r="H2455" s="1" t="s">
        <v>144</v>
      </c>
    </row>
    <row r="2456" spans="1:8" x14ac:dyDescent="0.25">
      <c r="A2456" s="1">
        <v>2016</v>
      </c>
      <c r="B2456" s="1">
        <v>224</v>
      </c>
      <c r="C2456" s="15">
        <v>42593</v>
      </c>
      <c r="D2456" s="16">
        <v>0.45902777777777781</v>
      </c>
      <c r="E2456" s="1">
        <v>190</v>
      </c>
      <c r="F2456" s="1">
        <v>15</v>
      </c>
      <c r="G2456" s="1">
        <v>0.35208486897689401</v>
      </c>
      <c r="H2456" s="1" t="s">
        <v>1</v>
      </c>
    </row>
    <row r="2457" spans="1:8" x14ac:dyDescent="0.25">
      <c r="A2457" s="1">
        <v>2016</v>
      </c>
      <c r="B2457" s="1">
        <v>224</v>
      </c>
      <c r="C2457" s="15">
        <v>42593</v>
      </c>
      <c r="D2457" s="16">
        <v>0.45902777777777781</v>
      </c>
      <c r="E2457" s="1">
        <v>190</v>
      </c>
      <c r="F2457" s="1">
        <v>16</v>
      </c>
      <c r="G2457" s="1">
        <v>0.35181236590612708</v>
      </c>
      <c r="H2457" s="1" t="s">
        <v>1</v>
      </c>
    </row>
    <row r="2458" spans="1:8" x14ac:dyDescent="0.25">
      <c r="A2458" s="1">
        <v>2016</v>
      </c>
      <c r="B2458" s="1">
        <v>224</v>
      </c>
      <c r="C2458" s="15">
        <v>42593</v>
      </c>
      <c r="D2458" s="16">
        <v>0.47291666666666665</v>
      </c>
      <c r="E2458" s="1">
        <v>190</v>
      </c>
      <c r="F2458" s="1">
        <v>17</v>
      </c>
      <c r="G2458" s="1">
        <v>0.3230048984250477</v>
      </c>
      <c r="H2458" s="1" t="s">
        <v>144</v>
      </c>
    </row>
    <row r="2459" spans="1:8" x14ac:dyDescent="0.25">
      <c r="A2459" s="1">
        <v>2016</v>
      </c>
      <c r="B2459" s="1">
        <v>224</v>
      </c>
      <c r="C2459" s="15">
        <v>42593</v>
      </c>
      <c r="D2459" s="16">
        <v>0.48055555555555557</v>
      </c>
      <c r="E2459" s="1">
        <v>190</v>
      </c>
      <c r="F2459" s="1">
        <v>18</v>
      </c>
      <c r="G2459" s="1">
        <v>0.31704875987828396</v>
      </c>
      <c r="H2459" s="1" t="s">
        <v>144</v>
      </c>
    </row>
    <row r="2460" spans="1:8" x14ac:dyDescent="0.25">
      <c r="A2460" s="1">
        <v>2016</v>
      </c>
      <c r="B2460" s="1">
        <v>224</v>
      </c>
      <c r="C2460" s="15">
        <v>42593</v>
      </c>
      <c r="D2460" s="16">
        <v>0.48749999999999999</v>
      </c>
      <c r="E2460" s="1">
        <v>190</v>
      </c>
      <c r="F2460" s="1">
        <v>19</v>
      </c>
      <c r="G2460" s="1">
        <v>0.30928242236142539</v>
      </c>
      <c r="H2460" s="1" t="s">
        <v>144</v>
      </c>
    </row>
    <row r="2461" spans="1:8" x14ac:dyDescent="0.25">
      <c r="A2461" s="1">
        <v>2016</v>
      </c>
      <c r="B2461" s="1">
        <v>224</v>
      </c>
      <c r="C2461" s="15">
        <v>42593</v>
      </c>
      <c r="D2461" s="16">
        <v>0.49305555555555558</v>
      </c>
      <c r="E2461" s="1">
        <v>190</v>
      </c>
      <c r="F2461" s="1">
        <v>20</v>
      </c>
      <c r="G2461" s="1">
        <v>0.31305853634205338</v>
      </c>
      <c r="H2461" s="1" t="s">
        <v>144</v>
      </c>
    </row>
    <row r="2462" spans="1:8" x14ac:dyDescent="0.25">
      <c r="A2462" s="1">
        <v>2016</v>
      </c>
      <c r="B2462" s="1">
        <v>224</v>
      </c>
      <c r="C2462" s="15">
        <v>42593</v>
      </c>
      <c r="D2462" s="16">
        <v>0.35486111111111113</v>
      </c>
      <c r="E2462" s="1">
        <v>170</v>
      </c>
      <c r="F2462" s="1">
        <v>1</v>
      </c>
      <c r="G2462" s="1">
        <v>0.28701502857875322</v>
      </c>
      <c r="H2462" s="1" t="s">
        <v>143</v>
      </c>
    </row>
    <row r="2463" spans="1:8" x14ac:dyDescent="0.25">
      <c r="A2463" s="1">
        <v>2016</v>
      </c>
      <c r="B2463" s="1">
        <v>224</v>
      </c>
      <c r="C2463" s="15">
        <v>42593</v>
      </c>
      <c r="D2463" s="16">
        <v>0.34722222222222227</v>
      </c>
      <c r="E2463" s="1">
        <v>170</v>
      </c>
      <c r="F2463" s="1">
        <v>2</v>
      </c>
      <c r="G2463" s="1">
        <v>0.28004673576914074</v>
      </c>
      <c r="H2463" s="1" t="s">
        <v>143</v>
      </c>
    </row>
    <row r="2464" spans="1:8" x14ac:dyDescent="0.25">
      <c r="A2464" s="1">
        <v>2016</v>
      </c>
      <c r="B2464" s="1">
        <v>224</v>
      </c>
      <c r="C2464" s="15">
        <v>42593</v>
      </c>
      <c r="D2464" s="16">
        <v>0.36944444444444446</v>
      </c>
      <c r="E2464" s="1">
        <v>170</v>
      </c>
      <c r="F2464" s="1">
        <v>3</v>
      </c>
      <c r="G2464" s="1">
        <v>0.29258187702442129</v>
      </c>
      <c r="H2464" s="1" t="s">
        <v>143</v>
      </c>
    </row>
    <row r="2465" spans="1:8" x14ac:dyDescent="0.25">
      <c r="A2465" s="1">
        <v>2016</v>
      </c>
      <c r="B2465" s="1">
        <v>224</v>
      </c>
      <c r="C2465" s="15">
        <v>42593</v>
      </c>
      <c r="D2465" s="16">
        <v>0.36249999999999999</v>
      </c>
      <c r="E2465" s="1">
        <v>170</v>
      </c>
      <c r="F2465" s="1">
        <v>4</v>
      </c>
      <c r="G2465" s="1">
        <v>0.28831915041742373</v>
      </c>
      <c r="H2465" s="1" t="s">
        <v>143</v>
      </c>
    </row>
    <row r="2466" spans="1:8" x14ac:dyDescent="0.25">
      <c r="A2466" s="1">
        <v>2016</v>
      </c>
      <c r="B2466" s="1">
        <v>224</v>
      </c>
      <c r="C2466" s="15">
        <v>42593</v>
      </c>
      <c r="D2466" s="16">
        <v>0.37777777777777777</v>
      </c>
      <c r="E2466" s="1">
        <v>170</v>
      </c>
      <c r="F2466" s="1">
        <v>5</v>
      </c>
      <c r="G2466" s="1">
        <v>0.3376422062262448</v>
      </c>
      <c r="H2466" s="1" t="s">
        <v>0</v>
      </c>
    </row>
    <row r="2467" spans="1:8" x14ac:dyDescent="0.25">
      <c r="A2467" s="1">
        <v>2016</v>
      </c>
      <c r="B2467" s="1">
        <v>224</v>
      </c>
      <c r="C2467" s="15">
        <v>42593</v>
      </c>
      <c r="D2467" s="16">
        <v>0.38472222222222219</v>
      </c>
      <c r="E2467" s="1">
        <v>170</v>
      </c>
      <c r="F2467" s="1">
        <v>6</v>
      </c>
      <c r="G2467" s="1">
        <v>0.35247415907798973</v>
      </c>
      <c r="H2467" s="1" t="s">
        <v>0</v>
      </c>
    </row>
    <row r="2468" spans="1:8" x14ac:dyDescent="0.25">
      <c r="A2468" s="1">
        <v>2016</v>
      </c>
      <c r="B2468" s="1">
        <v>224</v>
      </c>
      <c r="C2468" s="15">
        <v>42593</v>
      </c>
      <c r="D2468" s="16">
        <v>0.39027777777777778</v>
      </c>
      <c r="E2468" s="1">
        <v>170</v>
      </c>
      <c r="F2468" s="1">
        <v>7</v>
      </c>
      <c r="G2468" s="1">
        <v>0.30840651963396015</v>
      </c>
      <c r="H2468" s="1" t="s">
        <v>143</v>
      </c>
    </row>
    <row r="2469" spans="1:8" x14ac:dyDescent="0.25">
      <c r="A2469" s="1">
        <v>2016</v>
      </c>
      <c r="B2469" s="1">
        <v>224</v>
      </c>
      <c r="C2469" s="15">
        <v>42593</v>
      </c>
      <c r="D2469" s="16">
        <v>0.3972222222222222</v>
      </c>
      <c r="E2469" s="1">
        <v>170</v>
      </c>
      <c r="F2469" s="1">
        <v>8</v>
      </c>
      <c r="G2469" s="1">
        <v>0.31416801313017606</v>
      </c>
      <c r="H2469" s="1" t="s">
        <v>143</v>
      </c>
    </row>
    <row r="2470" spans="1:8" x14ac:dyDescent="0.25">
      <c r="A2470" s="1">
        <v>2016</v>
      </c>
      <c r="B2470" s="1">
        <v>224</v>
      </c>
      <c r="C2470" s="15">
        <v>42593</v>
      </c>
      <c r="D2470" s="16">
        <v>0.40416666666666662</v>
      </c>
      <c r="E2470" s="1">
        <v>170</v>
      </c>
      <c r="F2470" s="1">
        <v>9</v>
      </c>
      <c r="G2470" s="1">
        <v>0.30525326981508522</v>
      </c>
      <c r="H2470" s="1" t="s">
        <v>143</v>
      </c>
    </row>
    <row r="2471" spans="1:8" x14ac:dyDescent="0.25">
      <c r="A2471" s="1">
        <v>2016</v>
      </c>
      <c r="B2471" s="1">
        <v>224</v>
      </c>
      <c r="C2471" s="15">
        <v>42593</v>
      </c>
      <c r="D2471" s="16">
        <v>0.41111111111111115</v>
      </c>
      <c r="E2471" s="1">
        <v>170</v>
      </c>
      <c r="F2471" s="1">
        <v>10</v>
      </c>
      <c r="G2471" s="1">
        <v>0.30850384215923404</v>
      </c>
      <c r="H2471" s="1" t="s">
        <v>143</v>
      </c>
    </row>
    <row r="2472" spans="1:8" x14ac:dyDescent="0.25">
      <c r="A2472" s="1">
        <v>2016</v>
      </c>
      <c r="B2472" s="1">
        <v>224</v>
      </c>
      <c r="C2472" s="15">
        <v>42593</v>
      </c>
      <c r="D2472" s="16">
        <v>0.43124999999999997</v>
      </c>
      <c r="E2472" s="1">
        <v>170</v>
      </c>
      <c r="F2472" s="1">
        <v>11</v>
      </c>
      <c r="G2472" s="1">
        <v>0.3288637144465375</v>
      </c>
      <c r="H2472" s="1" t="s">
        <v>144</v>
      </c>
    </row>
    <row r="2473" spans="1:8" x14ac:dyDescent="0.25">
      <c r="A2473" s="1">
        <v>2016</v>
      </c>
      <c r="B2473" s="1">
        <v>224</v>
      </c>
      <c r="C2473" s="15">
        <v>42593</v>
      </c>
      <c r="D2473" s="16">
        <v>0.4375</v>
      </c>
      <c r="E2473" s="1">
        <v>170</v>
      </c>
      <c r="F2473" s="1">
        <v>12</v>
      </c>
      <c r="G2473" s="1">
        <v>0.34250833248994067</v>
      </c>
      <c r="H2473" s="1" t="s">
        <v>144</v>
      </c>
    </row>
    <row r="2474" spans="1:8" x14ac:dyDescent="0.25">
      <c r="A2474" s="1">
        <v>2016</v>
      </c>
      <c r="B2474" s="1">
        <v>224</v>
      </c>
      <c r="C2474" s="15">
        <v>42593</v>
      </c>
      <c r="D2474" s="16">
        <v>0.44444444444444442</v>
      </c>
      <c r="E2474" s="1">
        <v>170</v>
      </c>
      <c r="F2474" s="1">
        <v>13</v>
      </c>
      <c r="G2474" s="1">
        <v>0.30823133908846712</v>
      </c>
      <c r="H2474" s="1" t="s">
        <v>144</v>
      </c>
    </row>
    <row r="2475" spans="1:8" x14ac:dyDescent="0.25">
      <c r="A2475" s="1">
        <v>2016</v>
      </c>
      <c r="B2475" s="1">
        <v>224</v>
      </c>
      <c r="C2475" s="15">
        <v>42593</v>
      </c>
      <c r="D2475" s="16">
        <v>0.45277777777777778</v>
      </c>
      <c r="E2475" s="1">
        <v>170</v>
      </c>
      <c r="F2475" s="1">
        <v>14</v>
      </c>
      <c r="G2475" s="1">
        <v>0.32789048919379832</v>
      </c>
      <c r="H2475" s="1" t="s">
        <v>144</v>
      </c>
    </row>
    <row r="2476" spans="1:8" x14ac:dyDescent="0.25">
      <c r="A2476" s="1">
        <v>2016</v>
      </c>
      <c r="B2476" s="1">
        <v>224</v>
      </c>
      <c r="C2476" s="15">
        <v>42593</v>
      </c>
      <c r="D2476" s="16">
        <v>0.45902777777777781</v>
      </c>
      <c r="E2476" s="1">
        <v>170</v>
      </c>
      <c r="F2476" s="1">
        <v>15</v>
      </c>
      <c r="G2476" s="1">
        <v>0.34887322564285478</v>
      </c>
      <c r="H2476" s="1" t="s">
        <v>1</v>
      </c>
    </row>
    <row r="2477" spans="1:8" x14ac:dyDescent="0.25">
      <c r="A2477" s="1">
        <v>2016</v>
      </c>
      <c r="B2477" s="1">
        <v>224</v>
      </c>
      <c r="C2477" s="15">
        <v>42593</v>
      </c>
      <c r="D2477" s="16">
        <v>0.45902777777777781</v>
      </c>
      <c r="E2477" s="1">
        <v>170</v>
      </c>
      <c r="F2477" s="1">
        <v>16</v>
      </c>
      <c r="G2477" s="1">
        <v>0.34102903010577712</v>
      </c>
      <c r="H2477" s="1" t="s">
        <v>1</v>
      </c>
    </row>
    <row r="2478" spans="1:8" x14ac:dyDescent="0.25">
      <c r="A2478" s="1">
        <v>2016</v>
      </c>
      <c r="B2478" s="1">
        <v>224</v>
      </c>
      <c r="C2478" s="15">
        <v>42593</v>
      </c>
      <c r="D2478" s="16">
        <v>0.47291666666666665</v>
      </c>
      <c r="E2478" s="1">
        <v>170</v>
      </c>
      <c r="F2478" s="1">
        <v>17</v>
      </c>
      <c r="G2478" s="1">
        <v>0.31185173702865682</v>
      </c>
      <c r="H2478" s="1" t="s">
        <v>144</v>
      </c>
    </row>
    <row r="2479" spans="1:8" x14ac:dyDescent="0.25">
      <c r="A2479" s="1">
        <v>2016</v>
      </c>
      <c r="B2479" s="1">
        <v>224</v>
      </c>
      <c r="C2479" s="15">
        <v>42593</v>
      </c>
      <c r="D2479" s="16">
        <v>0.48055555555555557</v>
      </c>
      <c r="E2479" s="1">
        <v>170</v>
      </c>
      <c r="F2479" s="1">
        <v>18</v>
      </c>
      <c r="G2479" s="1">
        <v>0.33355466016474028</v>
      </c>
      <c r="H2479" s="1" t="s">
        <v>144</v>
      </c>
    </row>
    <row r="2480" spans="1:8" x14ac:dyDescent="0.25">
      <c r="A2480" s="1">
        <v>2016</v>
      </c>
      <c r="B2480" s="1">
        <v>224</v>
      </c>
      <c r="C2480" s="15">
        <v>42593</v>
      </c>
      <c r="D2480" s="16">
        <v>0.48749999999999999</v>
      </c>
      <c r="E2480" s="1">
        <v>170</v>
      </c>
      <c r="F2480" s="1">
        <v>19</v>
      </c>
      <c r="G2480" s="1">
        <v>0.31745751448443443</v>
      </c>
      <c r="H2480" s="1" t="s">
        <v>144</v>
      </c>
    </row>
    <row r="2481" spans="1:8" x14ac:dyDescent="0.25">
      <c r="A2481" s="1">
        <v>2016</v>
      </c>
      <c r="B2481" s="1">
        <v>224</v>
      </c>
      <c r="C2481" s="15">
        <v>42593</v>
      </c>
      <c r="D2481" s="16">
        <v>0.49305555555555558</v>
      </c>
      <c r="E2481" s="1">
        <v>170</v>
      </c>
      <c r="F2481" s="1">
        <v>20</v>
      </c>
      <c r="G2481" s="1">
        <v>0.32267400183911638</v>
      </c>
      <c r="H2481" s="1" t="s">
        <v>144</v>
      </c>
    </row>
    <row r="2482" spans="1:8" x14ac:dyDescent="0.25">
      <c r="A2482" s="1">
        <v>2016</v>
      </c>
      <c r="B2482" s="1">
        <v>224</v>
      </c>
      <c r="C2482" s="15">
        <v>42593</v>
      </c>
      <c r="D2482" s="16">
        <v>0.35486111111111113</v>
      </c>
      <c r="E2482" s="1">
        <v>150</v>
      </c>
      <c r="F2482" s="1">
        <v>1</v>
      </c>
      <c r="G2482" s="1">
        <v>0.33454734992253427</v>
      </c>
      <c r="H2482" s="1" t="s">
        <v>143</v>
      </c>
    </row>
    <row r="2483" spans="1:8" x14ac:dyDescent="0.25">
      <c r="A2483" s="1">
        <v>2016</v>
      </c>
      <c r="B2483" s="1">
        <v>224</v>
      </c>
      <c r="C2483" s="15">
        <v>42593</v>
      </c>
      <c r="D2483" s="16">
        <v>0.34722222222222227</v>
      </c>
      <c r="E2483" s="1">
        <v>150</v>
      </c>
      <c r="F2483" s="1">
        <v>2</v>
      </c>
      <c r="G2483" s="1">
        <v>0.32755959260786699</v>
      </c>
      <c r="H2483" s="1" t="s">
        <v>143</v>
      </c>
    </row>
    <row r="2484" spans="1:8" x14ac:dyDescent="0.25">
      <c r="A2484" s="1">
        <v>2016</v>
      </c>
      <c r="B2484" s="1">
        <v>224</v>
      </c>
      <c r="C2484" s="15">
        <v>42593</v>
      </c>
      <c r="D2484" s="16">
        <v>0.36944444444444446</v>
      </c>
      <c r="E2484" s="1">
        <v>150</v>
      </c>
      <c r="F2484" s="1">
        <v>3</v>
      </c>
      <c r="G2484" s="1">
        <v>0.32417276872833467</v>
      </c>
      <c r="H2484" s="1" t="s">
        <v>143</v>
      </c>
    </row>
    <row r="2485" spans="1:8" x14ac:dyDescent="0.25">
      <c r="A2485" s="1">
        <v>2016</v>
      </c>
      <c r="B2485" s="1">
        <v>224</v>
      </c>
      <c r="C2485" s="15">
        <v>42593</v>
      </c>
      <c r="D2485" s="16">
        <v>0.36249999999999999</v>
      </c>
      <c r="E2485" s="1">
        <v>150</v>
      </c>
      <c r="F2485" s="1">
        <v>4</v>
      </c>
      <c r="G2485" s="1">
        <v>0.30058178860193724</v>
      </c>
      <c r="H2485" s="1" t="s">
        <v>143</v>
      </c>
    </row>
    <row r="2486" spans="1:8" x14ac:dyDescent="0.25">
      <c r="A2486" s="1">
        <v>2016</v>
      </c>
      <c r="B2486" s="1">
        <v>224</v>
      </c>
      <c r="C2486" s="15">
        <v>42593</v>
      </c>
      <c r="D2486" s="16">
        <v>0.37777777777777777</v>
      </c>
      <c r="E2486" s="1">
        <v>150</v>
      </c>
      <c r="F2486" s="1">
        <v>5</v>
      </c>
      <c r="G2486" s="1">
        <v>0.37059561328399304</v>
      </c>
      <c r="H2486" s="1" t="s">
        <v>0</v>
      </c>
    </row>
    <row r="2487" spans="1:8" x14ac:dyDescent="0.25">
      <c r="A2487" s="1">
        <v>2016</v>
      </c>
      <c r="B2487" s="1">
        <v>224</v>
      </c>
      <c r="C2487" s="15">
        <v>42593</v>
      </c>
      <c r="D2487" s="16">
        <v>0.38472222222222219</v>
      </c>
      <c r="E2487" s="1">
        <v>150</v>
      </c>
      <c r="F2487" s="1">
        <v>6</v>
      </c>
      <c r="G2487" s="1">
        <v>0.36049353516056043</v>
      </c>
      <c r="H2487" s="1" t="s">
        <v>0</v>
      </c>
    </row>
    <row r="2488" spans="1:8" x14ac:dyDescent="0.25">
      <c r="A2488" s="1">
        <v>2016</v>
      </c>
      <c r="B2488" s="1">
        <v>224</v>
      </c>
      <c r="C2488" s="15">
        <v>42593</v>
      </c>
      <c r="D2488" s="16">
        <v>0.39027777777777778</v>
      </c>
      <c r="E2488" s="1">
        <v>150</v>
      </c>
      <c r="F2488" s="1">
        <v>7</v>
      </c>
      <c r="G2488" s="1">
        <v>0.33302911852826111</v>
      </c>
      <c r="H2488" s="1" t="s">
        <v>143</v>
      </c>
    </row>
    <row r="2489" spans="1:8" x14ac:dyDescent="0.25">
      <c r="A2489" s="1">
        <v>2016</v>
      </c>
      <c r="B2489" s="1">
        <v>224</v>
      </c>
      <c r="C2489" s="15">
        <v>42593</v>
      </c>
      <c r="D2489" s="16">
        <v>0.3972222222222222</v>
      </c>
      <c r="E2489" s="1">
        <v>150</v>
      </c>
      <c r="F2489" s="1">
        <v>8</v>
      </c>
      <c r="G2489" s="1">
        <v>0.34490246661167895</v>
      </c>
      <c r="H2489" s="1" t="s">
        <v>143</v>
      </c>
    </row>
    <row r="2490" spans="1:8" x14ac:dyDescent="0.25">
      <c r="A2490" s="1">
        <v>2016</v>
      </c>
      <c r="B2490" s="1">
        <v>224</v>
      </c>
      <c r="C2490" s="15">
        <v>42593</v>
      </c>
      <c r="D2490" s="16">
        <v>0.40416666666666662</v>
      </c>
      <c r="E2490" s="1">
        <v>150</v>
      </c>
      <c r="F2490" s="1">
        <v>9</v>
      </c>
      <c r="G2490" s="1">
        <v>0.33853757345876478</v>
      </c>
      <c r="H2490" s="1" t="s">
        <v>143</v>
      </c>
    </row>
    <row r="2491" spans="1:8" x14ac:dyDescent="0.25">
      <c r="A2491" s="1">
        <v>2016</v>
      </c>
      <c r="B2491" s="1">
        <v>224</v>
      </c>
      <c r="C2491" s="15">
        <v>42593</v>
      </c>
      <c r="D2491" s="16">
        <v>0.41111111111111115</v>
      </c>
      <c r="E2491" s="1">
        <v>150</v>
      </c>
      <c r="F2491" s="1">
        <v>10</v>
      </c>
      <c r="G2491" s="1">
        <v>0.35054717307756617</v>
      </c>
      <c r="H2491" s="1" t="s">
        <v>143</v>
      </c>
    </row>
    <row r="2492" spans="1:8" x14ac:dyDescent="0.25">
      <c r="A2492" s="1">
        <v>2016</v>
      </c>
      <c r="B2492" s="1">
        <v>224</v>
      </c>
      <c r="C2492" s="15">
        <v>42593</v>
      </c>
      <c r="D2492" s="16">
        <v>0.43124999999999997</v>
      </c>
      <c r="E2492" s="1">
        <v>150</v>
      </c>
      <c r="F2492" s="1">
        <v>11</v>
      </c>
      <c r="G2492" s="1">
        <v>0.34099010109566757</v>
      </c>
      <c r="H2492" s="1" t="s">
        <v>144</v>
      </c>
    </row>
    <row r="2493" spans="1:8" x14ac:dyDescent="0.25">
      <c r="A2493" s="1">
        <v>2016</v>
      </c>
      <c r="B2493" s="1">
        <v>224</v>
      </c>
      <c r="C2493" s="15">
        <v>42593</v>
      </c>
      <c r="D2493" s="16">
        <v>0.4375</v>
      </c>
      <c r="E2493" s="1">
        <v>150</v>
      </c>
      <c r="F2493" s="1">
        <v>12</v>
      </c>
      <c r="G2493" s="1">
        <v>0.33380769873045246</v>
      </c>
      <c r="H2493" s="1" t="s">
        <v>144</v>
      </c>
    </row>
    <row r="2494" spans="1:8" x14ac:dyDescent="0.25">
      <c r="A2494" s="1">
        <v>2016</v>
      </c>
      <c r="B2494" s="1">
        <v>224</v>
      </c>
      <c r="C2494" s="15">
        <v>42593</v>
      </c>
      <c r="D2494" s="16">
        <v>0.44444444444444442</v>
      </c>
      <c r="E2494" s="1">
        <v>150</v>
      </c>
      <c r="F2494" s="1">
        <v>13</v>
      </c>
      <c r="G2494" s="1">
        <v>0.31048922167482196</v>
      </c>
      <c r="H2494" s="1" t="s">
        <v>144</v>
      </c>
    </row>
    <row r="2495" spans="1:8" x14ac:dyDescent="0.25">
      <c r="A2495" s="1">
        <v>2016</v>
      </c>
      <c r="B2495" s="1">
        <v>224</v>
      </c>
      <c r="C2495" s="15">
        <v>42593</v>
      </c>
      <c r="D2495" s="16">
        <v>0.45277777777777778</v>
      </c>
      <c r="E2495" s="1">
        <v>150</v>
      </c>
      <c r="F2495" s="1">
        <v>14</v>
      </c>
      <c r="G2495" s="1">
        <v>0.31253299470557422</v>
      </c>
      <c r="H2495" s="1" t="s">
        <v>144</v>
      </c>
    </row>
    <row r="2496" spans="1:8" x14ac:dyDescent="0.25">
      <c r="A2496" s="1">
        <v>2016</v>
      </c>
      <c r="B2496" s="1">
        <v>224</v>
      </c>
      <c r="C2496" s="15">
        <v>42593</v>
      </c>
      <c r="D2496" s="16">
        <v>0.45902777777777781</v>
      </c>
      <c r="E2496" s="1">
        <v>150</v>
      </c>
      <c r="F2496" s="1">
        <v>15</v>
      </c>
      <c r="G2496" s="1">
        <v>0.35916994881683517</v>
      </c>
      <c r="H2496" s="1" t="s">
        <v>1</v>
      </c>
    </row>
    <row r="2497" spans="1:8" x14ac:dyDescent="0.25">
      <c r="A2497" s="1">
        <v>2016</v>
      </c>
      <c r="B2497" s="1">
        <v>224</v>
      </c>
      <c r="C2497" s="15">
        <v>42593</v>
      </c>
      <c r="D2497" s="16">
        <v>0.45902777777777781</v>
      </c>
      <c r="E2497" s="1">
        <v>150</v>
      </c>
      <c r="F2497" s="1">
        <v>16</v>
      </c>
      <c r="G2497" s="1">
        <v>0.33542325264999945</v>
      </c>
      <c r="H2497" s="1" t="s">
        <v>1</v>
      </c>
    </row>
    <row r="2498" spans="1:8" x14ac:dyDescent="0.25">
      <c r="A2498" s="1">
        <v>2016</v>
      </c>
      <c r="B2498" s="1">
        <v>224</v>
      </c>
      <c r="C2498" s="15">
        <v>42593</v>
      </c>
      <c r="D2498" s="16">
        <v>0.47291666666666665</v>
      </c>
      <c r="E2498" s="1">
        <v>150</v>
      </c>
      <c r="F2498" s="1">
        <v>17</v>
      </c>
      <c r="G2498" s="1">
        <v>0.33028462331553665</v>
      </c>
      <c r="H2498" s="1" t="s">
        <v>144</v>
      </c>
    </row>
    <row r="2499" spans="1:8" x14ac:dyDescent="0.25">
      <c r="A2499" s="1">
        <v>2016</v>
      </c>
      <c r="B2499" s="1">
        <v>224</v>
      </c>
      <c r="C2499" s="15">
        <v>42593</v>
      </c>
      <c r="D2499" s="16">
        <v>0.48055555555555557</v>
      </c>
      <c r="E2499" s="1">
        <v>150</v>
      </c>
      <c r="F2499" s="1">
        <v>18</v>
      </c>
      <c r="G2499" s="1">
        <v>0.33376876972034292</v>
      </c>
      <c r="H2499" s="1" t="s">
        <v>144</v>
      </c>
    </row>
    <row r="2500" spans="1:8" x14ac:dyDescent="0.25">
      <c r="A2500" s="1">
        <v>2016</v>
      </c>
      <c r="B2500" s="1">
        <v>224</v>
      </c>
      <c r="C2500" s="15">
        <v>42593</v>
      </c>
      <c r="D2500" s="16">
        <v>0.48749999999999999</v>
      </c>
      <c r="E2500" s="1">
        <v>150</v>
      </c>
      <c r="F2500" s="1">
        <v>19</v>
      </c>
      <c r="G2500" s="1">
        <v>0.33672737448866996</v>
      </c>
      <c r="H2500" s="1" t="s">
        <v>144</v>
      </c>
    </row>
    <row r="2501" spans="1:8" x14ac:dyDescent="0.25">
      <c r="A2501" s="1">
        <v>2016</v>
      </c>
      <c r="B2501" s="1">
        <v>224</v>
      </c>
      <c r="C2501" s="15">
        <v>42593</v>
      </c>
      <c r="D2501" s="16">
        <v>0.49305555555555558</v>
      </c>
      <c r="E2501" s="1">
        <v>150</v>
      </c>
      <c r="F2501" s="1">
        <v>20</v>
      </c>
      <c r="G2501" s="1">
        <v>0.3471798137030887</v>
      </c>
      <c r="H2501" s="1" t="s">
        <v>144</v>
      </c>
    </row>
    <row r="2502" spans="1:8" x14ac:dyDescent="0.25">
      <c r="A2502" s="1">
        <v>2016</v>
      </c>
      <c r="B2502" s="1">
        <v>224</v>
      </c>
      <c r="C2502" s="15">
        <v>42593</v>
      </c>
      <c r="D2502" s="16">
        <v>0.35486111111111113</v>
      </c>
      <c r="E2502" s="1">
        <v>130</v>
      </c>
      <c r="F2502" s="1">
        <v>1</v>
      </c>
      <c r="G2502" s="1">
        <v>0.31895628137365278</v>
      </c>
      <c r="H2502" s="1" t="s">
        <v>143</v>
      </c>
    </row>
    <row r="2503" spans="1:8" x14ac:dyDescent="0.25">
      <c r="A2503" s="1">
        <v>2016</v>
      </c>
      <c r="B2503" s="1">
        <v>224</v>
      </c>
      <c r="C2503" s="15">
        <v>42593</v>
      </c>
      <c r="D2503" s="16">
        <v>0.34722222222222227</v>
      </c>
      <c r="E2503" s="1">
        <v>130</v>
      </c>
      <c r="F2503" s="1">
        <v>2</v>
      </c>
      <c r="G2503" s="1">
        <v>0.31430426466555955</v>
      </c>
      <c r="H2503" s="1" t="s">
        <v>143</v>
      </c>
    </row>
    <row r="2504" spans="1:8" x14ac:dyDescent="0.25">
      <c r="A2504" s="1">
        <v>2016</v>
      </c>
      <c r="B2504" s="1">
        <v>224</v>
      </c>
      <c r="C2504" s="15">
        <v>42593</v>
      </c>
      <c r="D2504" s="16">
        <v>0.36944444444444446</v>
      </c>
      <c r="E2504" s="1">
        <v>130</v>
      </c>
      <c r="F2504" s="1">
        <v>3</v>
      </c>
      <c r="G2504" s="1">
        <v>0.3136814005038065</v>
      </c>
      <c r="H2504" s="1" t="s">
        <v>143</v>
      </c>
    </row>
    <row r="2505" spans="1:8" x14ac:dyDescent="0.25">
      <c r="A2505" s="1">
        <v>2016</v>
      </c>
      <c r="B2505" s="1">
        <v>224</v>
      </c>
      <c r="C2505" s="15">
        <v>42593</v>
      </c>
      <c r="D2505" s="16">
        <v>0.36249999999999999</v>
      </c>
      <c r="E2505" s="1">
        <v>130</v>
      </c>
      <c r="F2505" s="1">
        <v>4</v>
      </c>
      <c r="G2505" s="1">
        <v>0.3171266178985031</v>
      </c>
      <c r="H2505" s="1" t="s">
        <v>143</v>
      </c>
    </row>
    <row r="2506" spans="1:8" x14ac:dyDescent="0.25">
      <c r="A2506" s="1">
        <v>2016</v>
      </c>
      <c r="B2506" s="1">
        <v>224</v>
      </c>
      <c r="C2506" s="15">
        <v>42593</v>
      </c>
      <c r="D2506" s="16">
        <v>0.37777777777777777</v>
      </c>
      <c r="E2506" s="1">
        <v>130</v>
      </c>
      <c r="F2506" s="1">
        <v>5</v>
      </c>
      <c r="G2506" s="1">
        <v>0.31259138822073862</v>
      </c>
      <c r="H2506" s="1" t="s">
        <v>0</v>
      </c>
    </row>
    <row r="2507" spans="1:8" x14ac:dyDescent="0.25">
      <c r="A2507" s="1">
        <v>2016</v>
      </c>
      <c r="B2507" s="1">
        <v>224</v>
      </c>
      <c r="C2507" s="15">
        <v>42593</v>
      </c>
      <c r="D2507" s="16">
        <v>0.38472222222222219</v>
      </c>
      <c r="E2507" s="1">
        <v>130</v>
      </c>
      <c r="F2507" s="1">
        <v>6</v>
      </c>
      <c r="G2507" s="1">
        <v>0.3150049868475317</v>
      </c>
      <c r="H2507" s="1" t="s">
        <v>0</v>
      </c>
    </row>
    <row r="2508" spans="1:8" x14ac:dyDescent="0.25">
      <c r="A2508" s="1">
        <v>2016</v>
      </c>
      <c r="B2508" s="1">
        <v>224</v>
      </c>
      <c r="C2508" s="15">
        <v>42593</v>
      </c>
      <c r="D2508" s="16">
        <v>0.39027777777777778</v>
      </c>
      <c r="E2508" s="1">
        <v>130</v>
      </c>
      <c r="F2508" s="1">
        <v>7</v>
      </c>
      <c r="G2508" s="1">
        <v>0.31482980630203866</v>
      </c>
      <c r="H2508" s="1" t="s">
        <v>143</v>
      </c>
    </row>
    <row r="2509" spans="1:8" x14ac:dyDescent="0.25">
      <c r="A2509" s="1">
        <v>2016</v>
      </c>
      <c r="B2509" s="1">
        <v>224</v>
      </c>
      <c r="C2509" s="15">
        <v>42593</v>
      </c>
      <c r="D2509" s="16">
        <v>0.3972222222222222</v>
      </c>
      <c r="E2509" s="1">
        <v>130</v>
      </c>
      <c r="F2509" s="1">
        <v>8</v>
      </c>
      <c r="G2509" s="1">
        <v>0.33951079871150402</v>
      </c>
      <c r="H2509" s="1" t="s">
        <v>143</v>
      </c>
    </row>
    <row r="2510" spans="1:8" x14ac:dyDescent="0.25">
      <c r="A2510" s="1">
        <v>2016</v>
      </c>
      <c r="B2510" s="1">
        <v>224</v>
      </c>
      <c r="C2510" s="15">
        <v>42593</v>
      </c>
      <c r="D2510" s="16">
        <v>0.40416666666666662</v>
      </c>
      <c r="E2510" s="1">
        <v>130</v>
      </c>
      <c r="F2510" s="1">
        <v>9</v>
      </c>
      <c r="G2510" s="1">
        <v>0.30681043021946791</v>
      </c>
      <c r="H2510" s="1" t="s">
        <v>143</v>
      </c>
    </row>
    <row r="2511" spans="1:8" x14ac:dyDescent="0.25">
      <c r="A2511" s="1">
        <v>2016</v>
      </c>
      <c r="B2511" s="1">
        <v>224</v>
      </c>
      <c r="C2511" s="15">
        <v>42593</v>
      </c>
      <c r="D2511" s="16">
        <v>0.41111111111111115</v>
      </c>
      <c r="E2511" s="1">
        <v>130</v>
      </c>
      <c r="F2511" s="1">
        <v>10</v>
      </c>
      <c r="G2511" s="1">
        <v>0.31611446363565437</v>
      </c>
      <c r="H2511" s="1" t="s">
        <v>143</v>
      </c>
    </row>
    <row r="2512" spans="1:8" x14ac:dyDescent="0.25">
      <c r="A2512" s="1">
        <v>2016</v>
      </c>
      <c r="B2512" s="1">
        <v>224</v>
      </c>
      <c r="C2512" s="15">
        <v>42593</v>
      </c>
      <c r="D2512" s="16">
        <v>0.43124999999999997</v>
      </c>
      <c r="E2512" s="1">
        <v>130</v>
      </c>
      <c r="F2512" s="1">
        <v>11</v>
      </c>
      <c r="G2512" s="1">
        <v>0.31344782644314906</v>
      </c>
      <c r="H2512" s="1" t="s">
        <v>144</v>
      </c>
    </row>
    <row r="2513" spans="1:8" x14ac:dyDescent="0.25">
      <c r="A2513" s="1">
        <v>2016</v>
      </c>
      <c r="B2513" s="1">
        <v>224</v>
      </c>
      <c r="C2513" s="15">
        <v>42593</v>
      </c>
      <c r="D2513" s="16">
        <v>0.4375</v>
      </c>
      <c r="E2513" s="1">
        <v>130</v>
      </c>
      <c r="F2513" s="1">
        <v>12</v>
      </c>
      <c r="G2513" s="1">
        <v>0.30173019440016946</v>
      </c>
      <c r="H2513" s="1" t="s">
        <v>144</v>
      </c>
    </row>
    <row r="2514" spans="1:8" x14ac:dyDescent="0.25">
      <c r="A2514" s="1">
        <v>2016</v>
      </c>
      <c r="B2514" s="1">
        <v>224</v>
      </c>
      <c r="C2514" s="15">
        <v>42593</v>
      </c>
      <c r="D2514" s="16">
        <v>0.44444444444444442</v>
      </c>
      <c r="E2514" s="1">
        <v>130</v>
      </c>
      <c r="F2514" s="1">
        <v>13</v>
      </c>
      <c r="G2514" s="1">
        <v>0.31952075202024144</v>
      </c>
      <c r="H2514" s="1" t="s">
        <v>144</v>
      </c>
    </row>
    <row r="2515" spans="1:8" x14ac:dyDescent="0.25">
      <c r="A2515" s="1">
        <v>2016</v>
      </c>
      <c r="B2515" s="1">
        <v>224</v>
      </c>
      <c r="C2515" s="15">
        <v>42593</v>
      </c>
      <c r="D2515" s="16">
        <v>0.45277777777777778</v>
      </c>
      <c r="E2515" s="1">
        <v>130</v>
      </c>
      <c r="F2515" s="1">
        <v>14</v>
      </c>
      <c r="G2515" s="1">
        <v>0.31691250834290047</v>
      </c>
      <c r="H2515" s="1" t="s">
        <v>144</v>
      </c>
    </row>
    <row r="2516" spans="1:8" x14ac:dyDescent="0.25">
      <c r="A2516" s="1">
        <v>2016</v>
      </c>
      <c r="B2516" s="1">
        <v>224</v>
      </c>
      <c r="C2516" s="15">
        <v>42593</v>
      </c>
      <c r="D2516" s="16">
        <v>0.45902777777777781</v>
      </c>
      <c r="E2516" s="1">
        <v>130</v>
      </c>
      <c r="F2516" s="1">
        <v>15</v>
      </c>
      <c r="G2516" s="1">
        <v>0.31590035408005174</v>
      </c>
      <c r="H2516" s="1" t="s">
        <v>1</v>
      </c>
    </row>
    <row r="2517" spans="1:8" x14ac:dyDescent="0.25">
      <c r="A2517" s="1">
        <v>2016</v>
      </c>
      <c r="B2517" s="1">
        <v>224</v>
      </c>
      <c r="C2517" s="15">
        <v>42593</v>
      </c>
      <c r="D2517" s="16">
        <v>0.45902777777777781</v>
      </c>
      <c r="E2517" s="1">
        <v>130</v>
      </c>
      <c r="F2517" s="1">
        <v>16</v>
      </c>
      <c r="G2517" s="1">
        <v>0.30729704284583753</v>
      </c>
      <c r="H2517" s="1" t="s">
        <v>1</v>
      </c>
    </row>
    <row r="2518" spans="1:8" x14ac:dyDescent="0.25">
      <c r="A2518" s="1">
        <v>2016</v>
      </c>
      <c r="B2518" s="1">
        <v>224</v>
      </c>
      <c r="C2518" s="15">
        <v>42593</v>
      </c>
      <c r="D2518" s="16">
        <v>0.47291666666666665</v>
      </c>
      <c r="E2518" s="1">
        <v>130</v>
      </c>
      <c r="F2518" s="1">
        <v>17</v>
      </c>
      <c r="G2518" s="1">
        <v>0.31031404112932892</v>
      </c>
      <c r="H2518" s="1" t="s">
        <v>144</v>
      </c>
    </row>
    <row r="2519" spans="1:8" x14ac:dyDescent="0.25">
      <c r="A2519" s="1">
        <v>2016</v>
      </c>
      <c r="B2519" s="1">
        <v>224</v>
      </c>
      <c r="C2519" s="15">
        <v>42593</v>
      </c>
      <c r="D2519" s="16">
        <v>0.48055555555555557</v>
      </c>
      <c r="E2519" s="1">
        <v>130</v>
      </c>
      <c r="F2519" s="1">
        <v>18</v>
      </c>
      <c r="G2519" s="1">
        <v>0.31393443906951862</v>
      </c>
      <c r="H2519" s="1" t="s">
        <v>144</v>
      </c>
    </row>
    <row r="2520" spans="1:8" x14ac:dyDescent="0.25">
      <c r="A2520" s="1">
        <v>2016</v>
      </c>
      <c r="B2520" s="1">
        <v>224</v>
      </c>
      <c r="C2520" s="15">
        <v>42593</v>
      </c>
      <c r="D2520" s="16">
        <v>0.48749999999999999</v>
      </c>
      <c r="E2520" s="1">
        <v>130</v>
      </c>
      <c r="F2520" s="1">
        <v>19</v>
      </c>
      <c r="G2520" s="1">
        <v>0.30924349335131585</v>
      </c>
      <c r="H2520" s="1" t="s">
        <v>144</v>
      </c>
    </row>
    <row r="2521" spans="1:8" x14ac:dyDescent="0.25">
      <c r="A2521" s="1">
        <v>2016</v>
      </c>
      <c r="B2521" s="1">
        <v>224</v>
      </c>
      <c r="C2521" s="15">
        <v>42593</v>
      </c>
      <c r="D2521" s="16">
        <v>0.49305555555555558</v>
      </c>
      <c r="E2521" s="1">
        <v>130</v>
      </c>
      <c r="F2521" s="1">
        <v>20</v>
      </c>
      <c r="G2521" s="1">
        <v>0.29993945993512938</v>
      </c>
      <c r="H2521" s="1" t="s">
        <v>144</v>
      </c>
    </row>
    <row r="2522" spans="1:8" x14ac:dyDescent="0.25">
      <c r="A2522" s="1">
        <v>2016</v>
      </c>
      <c r="B2522" s="1">
        <v>224</v>
      </c>
      <c r="C2522" s="15">
        <v>42593</v>
      </c>
      <c r="D2522" s="16">
        <v>0.35486111111111113</v>
      </c>
      <c r="E2522" s="1">
        <v>110</v>
      </c>
      <c r="F2522" s="1">
        <v>1</v>
      </c>
      <c r="G2522" s="1">
        <v>0.33649906858231998</v>
      </c>
      <c r="H2522" s="1" t="s">
        <v>143</v>
      </c>
    </row>
    <row r="2523" spans="1:8" x14ac:dyDescent="0.25">
      <c r="A2523" s="1">
        <v>2016</v>
      </c>
      <c r="B2523" s="1">
        <v>224</v>
      </c>
      <c r="C2523" s="15">
        <v>42593</v>
      </c>
      <c r="D2523" s="16">
        <v>0.34722222222222227</v>
      </c>
      <c r="E2523" s="1">
        <v>110</v>
      </c>
      <c r="F2523" s="1">
        <v>2</v>
      </c>
      <c r="G2523" s="1">
        <v>0.34313957628988934</v>
      </c>
      <c r="H2523" s="1" t="s">
        <v>143</v>
      </c>
    </row>
    <row r="2524" spans="1:8" x14ac:dyDescent="0.25">
      <c r="A2524" s="1">
        <v>2016</v>
      </c>
      <c r="B2524" s="1">
        <v>224</v>
      </c>
      <c r="C2524" s="15">
        <v>42593</v>
      </c>
      <c r="D2524" s="16">
        <v>0.36944444444444446</v>
      </c>
      <c r="E2524" s="1">
        <v>110</v>
      </c>
      <c r="F2524" s="1">
        <v>3</v>
      </c>
      <c r="G2524" s="1">
        <v>0.32642381550876648</v>
      </c>
      <c r="H2524" s="1" t="s">
        <v>143</v>
      </c>
    </row>
    <row r="2525" spans="1:8" x14ac:dyDescent="0.25">
      <c r="A2525" s="1">
        <v>2016</v>
      </c>
      <c r="B2525" s="1">
        <v>224</v>
      </c>
      <c r="C2525" s="15">
        <v>42593</v>
      </c>
      <c r="D2525" s="16">
        <v>0.36249999999999999</v>
      </c>
      <c r="E2525" s="1">
        <v>110</v>
      </c>
      <c r="F2525" s="1">
        <v>4</v>
      </c>
      <c r="G2525" s="1">
        <v>0.32921740840643354</v>
      </c>
      <c r="H2525" s="1" t="s">
        <v>143</v>
      </c>
    </row>
    <row r="2526" spans="1:8" x14ac:dyDescent="0.25">
      <c r="A2526" s="1">
        <v>2016</v>
      </c>
      <c r="B2526" s="1">
        <v>224</v>
      </c>
      <c r="C2526" s="15">
        <v>42593</v>
      </c>
      <c r="D2526" s="16">
        <v>0.37777777777777777</v>
      </c>
      <c r="E2526" s="1">
        <v>110</v>
      </c>
      <c r="F2526" s="1">
        <v>5</v>
      </c>
      <c r="G2526" s="1">
        <v>0.33173622167482197</v>
      </c>
      <c r="H2526" s="1" t="s">
        <v>0</v>
      </c>
    </row>
    <row r="2527" spans="1:8" x14ac:dyDescent="0.25">
      <c r="A2527" s="1">
        <v>2016</v>
      </c>
      <c r="B2527" s="1">
        <v>224</v>
      </c>
      <c r="C2527" s="15">
        <v>42593</v>
      </c>
      <c r="D2527" s="16">
        <v>0.38472222222222219</v>
      </c>
      <c r="E2527" s="1">
        <v>110</v>
      </c>
      <c r="F2527" s="1">
        <v>6</v>
      </c>
      <c r="G2527" s="1">
        <v>0.31982910440607693</v>
      </c>
      <c r="H2527" s="1" t="s">
        <v>0</v>
      </c>
    </row>
    <row r="2528" spans="1:8" x14ac:dyDescent="0.25">
      <c r="A2528" s="1">
        <v>2016</v>
      </c>
      <c r="B2528" s="1">
        <v>224</v>
      </c>
      <c r="C2528" s="15">
        <v>42593</v>
      </c>
      <c r="D2528" s="16">
        <v>0.39027777777777778</v>
      </c>
      <c r="E2528" s="1">
        <v>110</v>
      </c>
      <c r="F2528" s="1">
        <v>7</v>
      </c>
      <c r="G2528" s="1">
        <v>0.34423869480700425</v>
      </c>
      <c r="H2528" s="1" t="s">
        <v>143</v>
      </c>
    </row>
    <row r="2529" spans="1:8" x14ac:dyDescent="0.25">
      <c r="A2529" s="1">
        <v>2016</v>
      </c>
      <c r="B2529" s="1">
        <v>224</v>
      </c>
      <c r="C2529" s="15">
        <v>42593</v>
      </c>
      <c r="D2529" s="16">
        <v>0.3972222222222222</v>
      </c>
      <c r="E2529" s="1">
        <v>110</v>
      </c>
      <c r="F2529" s="1">
        <v>8</v>
      </c>
      <c r="G2529" s="1">
        <v>0.33395735701149171</v>
      </c>
      <c r="H2529" s="1" t="s">
        <v>143</v>
      </c>
    </row>
    <row r="2530" spans="1:8" x14ac:dyDescent="0.25">
      <c r="A2530" s="1">
        <v>2016</v>
      </c>
      <c r="B2530" s="1">
        <v>224</v>
      </c>
      <c r="C2530" s="15">
        <v>42593</v>
      </c>
      <c r="D2530" s="16">
        <v>0.40416666666666662</v>
      </c>
      <c r="E2530" s="1">
        <v>110</v>
      </c>
      <c r="F2530" s="1">
        <v>9</v>
      </c>
      <c r="G2530" s="1">
        <v>0.33478169589932794</v>
      </c>
      <c r="H2530" s="1" t="s">
        <v>143</v>
      </c>
    </row>
    <row r="2531" spans="1:8" x14ac:dyDescent="0.25">
      <c r="A2531" s="1">
        <v>2016</v>
      </c>
      <c r="B2531" s="1">
        <v>224</v>
      </c>
      <c r="C2531" s="15">
        <v>42593</v>
      </c>
      <c r="D2531" s="16">
        <v>0.41111111111111115</v>
      </c>
      <c r="E2531" s="1">
        <v>110</v>
      </c>
      <c r="F2531" s="1">
        <v>10</v>
      </c>
      <c r="G2531" s="1">
        <v>0.34197176286545472</v>
      </c>
      <c r="H2531" s="1" t="s">
        <v>143</v>
      </c>
    </row>
    <row r="2532" spans="1:8" x14ac:dyDescent="0.25">
      <c r="A2532" s="1">
        <v>2016</v>
      </c>
      <c r="B2532" s="1">
        <v>224</v>
      </c>
      <c r="C2532" s="15">
        <v>42593</v>
      </c>
      <c r="D2532" s="16">
        <v>0.43124999999999997</v>
      </c>
      <c r="E2532" s="1">
        <v>110</v>
      </c>
      <c r="F2532" s="1">
        <v>11</v>
      </c>
      <c r="G2532" s="1">
        <v>0.3207450365036727</v>
      </c>
      <c r="H2532" s="1" t="s">
        <v>144</v>
      </c>
    </row>
    <row r="2533" spans="1:8" x14ac:dyDescent="0.25">
      <c r="A2533" s="1">
        <v>2016</v>
      </c>
      <c r="B2533" s="1">
        <v>224</v>
      </c>
      <c r="C2533" s="15">
        <v>42593</v>
      </c>
      <c r="D2533" s="16">
        <v>0.4375</v>
      </c>
      <c r="E2533" s="1">
        <v>110</v>
      </c>
      <c r="F2533" s="1">
        <v>12</v>
      </c>
      <c r="G2533" s="1">
        <v>0.34066655962638076</v>
      </c>
      <c r="H2533" s="1" t="s">
        <v>144</v>
      </c>
    </row>
    <row r="2534" spans="1:8" x14ac:dyDescent="0.25">
      <c r="A2534" s="1">
        <v>2016</v>
      </c>
      <c r="B2534" s="1">
        <v>224</v>
      </c>
      <c r="C2534" s="15">
        <v>42593</v>
      </c>
      <c r="D2534" s="16">
        <v>0.44444444444444442</v>
      </c>
      <c r="E2534" s="1">
        <v>110</v>
      </c>
      <c r="F2534" s="1">
        <v>13</v>
      </c>
      <c r="G2534" s="1">
        <v>0.34206335607521432</v>
      </c>
      <c r="H2534" s="1" t="s">
        <v>144</v>
      </c>
    </row>
    <row r="2535" spans="1:8" x14ac:dyDescent="0.25">
      <c r="A2535" s="1">
        <v>2016</v>
      </c>
      <c r="B2535" s="1">
        <v>224</v>
      </c>
      <c r="C2535" s="15">
        <v>42593</v>
      </c>
      <c r="D2535" s="16">
        <v>0.45277777777777778</v>
      </c>
      <c r="E2535" s="1">
        <v>110</v>
      </c>
      <c r="F2535" s="1">
        <v>14</v>
      </c>
      <c r="G2535" s="1">
        <v>0.31520364731321826</v>
      </c>
      <c r="H2535" s="1" t="s">
        <v>144</v>
      </c>
    </row>
    <row r="2536" spans="1:8" x14ac:dyDescent="0.25">
      <c r="A2536" s="1">
        <v>2016</v>
      </c>
      <c r="B2536" s="1">
        <v>224</v>
      </c>
      <c r="C2536" s="15">
        <v>42593</v>
      </c>
      <c r="D2536" s="16">
        <v>0.45902777777777781</v>
      </c>
      <c r="E2536" s="1">
        <v>110</v>
      </c>
      <c r="F2536" s="1">
        <v>15</v>
      </c>
      <c r="G2536" s="1">
        <v>0.32124879915735038</v>
      </c>
      <c r="H2536" s="1" t="s">
        <v>1</v>
      </c>
    </row>
    <row r="2537" spans="1:8" x14ac:dyDescent="0.25">
      <c r="A2537" s="1">
        <v>2016</v>
      </c>
      <c r="B2537" s="1">
        <v>224</v>
      </c>
      <c r="C2537" s="15">
        <v>42593</v>
      </c>
      <c r="D2537" s="16">
        <v>0.45902777777777781</v>
      </c>
      <c r="E2537" s="1">
        <v>110</v>
      </c>
      <c r="F2537" s="1">
        <v>16</v>
      </c>
      <c r="G2537" s="1">
        <v>0.3220960363476264</v>
      </c>
      <c r="H2537" s="1" t="s">
        <v>1</v>
      </c>
    </row>
    <row r="2538" spans="1:8" x14ac:dyDescent="0.25">
      <c r="A2538" s="1">
        <v>2016</v>
      </c>
      <c r="B2538" s="1">
        <v>224</v>
      </c>
      <c r="C2538" s="15">
        <v>42593</v>
      </c>
      <c r="D2538" s="16">
        <v>0.47291666666666665</v>
      </c>
      <c r="E2538" s="1">
        <v>110</v>
      </c>
      <c r="F2538" s="1">
        <v>17</v>
      </c>
      <c r="G2538" s="1">
        <v>0.34364333894356702</v>
      </c>
      <c r="H2538" s="1" t="s">
        <v>144</v>
      </c>
    </row>
    <row r="2539" spans="1:8" x14ac:dyDescent="0.25">
      <c r="A2539" s="1">
        <v>2016</v>
      </c>
      <c r="B2539" s="1">
        <v>224</v>
      </c>
      <c r="C2539" s="15">
        <v>42593</v>
      </c>
      <c r="D2539" s="16">
        <v>0.48055555555555557</v>
      </c>
      <c r="E2539" s="1">
        <v>110</v>
      </c>
      <c r="F2539" s="1">
        <v>18</v>
      </c>
      <c r="G2539" s="1">
        <v>0.33572052629936355</v>
      </c>
      <c r="H2539" s="1" t="s">
        <v>144</v>
      </c>
    </row>
    <row r="2540" spans="1:8" x14ac:dyDescent="0.25">
      <c r="A2540" s="1">
        <v>2016</v>
      </c>
      <c r="B2540" s="1">
        <v>224</v>
      </c>
      <c r="C2540" s="15">
        <v>42593</v>
      </c>
      <c r="D2540" s="16">
        <v>0.48749999999999999</v>
      </c>
      <c r="E2540" s="1">
        <v>110</v>
      </c>
      <c r="F2540" s="1">
        <v>19</v>
      </c>
      <c r="G2540" s="1">
        <v>0.33730050916771626</v>
      </c>
      <c r="H2540" s="1" t="s">
        <v>144</v>
      </c>
    </row>
    <row r="2541" spans="1:8" x14ac:dyDescent="0.25">
      <c r="A2541" s="1">
        <v>2016</v>
      </c>
      <c r="B2541" s="1">
        <v>224</v>
      </c>
      <c r="C2541" s="15">
        <v>42593</v>
      </c>
      <c r="D2541" s="16">
        <v>0.49305555555555558</v>
      </c>
      <c r="E2541" s="1">
        <v>110</v>
      </c>
      <c r="F2541" s="1">
        <v>20</v>
      </c>
      <c r="G2541" s="1">
        <v>0.3308202895772262</v>
      </c>
      <c r="H2541" s="1" t="s">
        <v>144</v>
      </c>
    </row>
    <row r="2542" spans="1:8" x14ac:dyDescent="0.25">
      <c r="A2542" s="1">
        <v>2016</v>
      </c>
      <c r="B2542" s="1">
        <v>224</v>
      </c>
      <c r="C2542" s="15">
        <v>42593</v>
      </c>
      <c r="D2542" s="16">
        <v>0.35486111111111113</v>
      </c>
      <c r="E2542" s="1">
        <v>90</v>
      </c>
      <c r="F2542" s="1">
        <v>1</v>
      </c>
      <c r="G2542" s="1">
        <v>0.3154326303376172</v>
      </c>
      <c r="H2542" s="1" t="s">
        <v>143</v>
      </c>
    </row>
    <row r="2543" spans="1:8" x14ac:dyDescent="0.25">
      <c r="A2543" s="1">
        <v>2016</v>
      </c>
      <c r="B2543" s="1">
        <v>224</v>
      </c>
      <c r="C2543" s="15">
        <v>42593</v>
      </c>
      <c r="D2543" s="16">
        <v>0.34722222222222227</v>
      </c>
      <c r="E2543" s="1">
        <v>90</v>
      </c>
      <c r="F2543" s="1">
        <v>2</v>
      </c>
      <c r="G2543" s="1">
        <v>0.34018569527514297</v>
      </c>
      <c r="H2543" s="1" t="s">
        <v>143</v>
      </c>
    </row>
    <row r="2544" spans="1:8" x14ac:dyDescent="0.25">
      <c r="A2544" s="1">
        <v>2016</v>
      </c>
      <c r="B2544" s="1">
        <v>224</v>
      </c>
      <c r="C2544" s="15">
        <v>42593</v>
      </c>
      <c r="D2544" s="16">
        <v>0.36944444444444446</v>
      </c>
      <c r="E2544" s="1">
        <v>90</v>
      </c>
      <c r="F2544" s="1">
        <v>3</v>
      </c>
      <c r="G2544" s="1">
        <v>0.32688178155756437</v>
      </c>
      <c r="H2544" s="1" t="s">
        <v>143</v>
      </c>
    </row>
    <row r="2545" spans="1:8" x14ac:dyDescent="0.25">
      <c r="A2545" s="1">
        <v>2016</v>
      </c>
      <c r="B2545" s="1">
        <v>224</v>
      </c>
      <c r="C2545" s="15">
        <v>42593</v>
      </c>
      <c r="D2545" s="16">
        <v>0.36249999999999999</v>
      </c>
      <c r="E2545" s="1">
        <v>90</v>
      </c>
      <c r="F2545" s="1">
        <v>4</v>
      </c>
      <c r="G2545" s="1">
        <v>0.33061420485526716</v>
      </c>
      <c r="H2545" s="1" t="s">
        <v>143</v>
      </c>
    </row>
    <row r="2546" spans="1:8" x14ac:dyDescent="0.25">
      <c r="A2546" s="1">
        <v>2016</v>
      </c>
      <c r="B2546" s="1">
        <v>224</v>
      </c>
      <c r="C2546" s="15">
        <v>42593</v>
      </c>
      <c r="D2546" s="16">
        <v>0.37777777777777777</v>
      </c>
      <c r="E2546" s="1">
        <v>90</v>
      </c>
      <c r="F2546" s="1">
        <v>5</v>
      </c>
      <c r="G2546" s="1">
        <v>0.31279932555702938</v>
      </c>
      <c r="H2546" s="1" t="s">
        <v>0</v>
      </c>
    </row>
    <row r="2547" spans="1:8" x14ac:dyDescent="0.25">
      <c r="A2547" s="1">
        <v>2016</v>
      </c>
      <c r="B2547" s="1">
        <v>224</v>
      </c>
      <c r="C2547" s="15">
        <v>42593</v>
      </c>
      <c r="D2547" s="16">
        <v>0.38472222222222219</v>
      </c>
      <c r="E2547" s="1">
        <v>90</v>
      </c>
      <c r="F2547" s="1">
        <v>6</v>
      </c>
      <c r="G2547" s="1">
        <v>0.30549476707870304</v>
      </c>
      <c r="H2547" s="1" t="s">
        <v>0</v>
      </c>
    </row>
    <row r="2548" spans="1:8" x14ac:dyDescent="0.25">
      <c r="A2548" s="1">
        <v>2016</v>
      </c>
      <c r="B2548" s="1">
        <v>224</v>
      </c>
      <c r="C2548" s="15">
        <v>42593</v>
      </c>
      <c r="D2548" s="16">
        <v>0.39027777777777778</v>
      </c>
      <c r="E2548" s="1">
        <v>90</v>
      </c>
      <c r="F2548" s="1">
        <v>7</v>
      </c>
      <c r="G2548" s="1">
        <v>0.3321712894211799</v>
      </c>
      <c r="H2548" s="1" t="s">
        <v>143</v>
      </c>
    </row>
    <row r="2549" spans="1:8" x14ac:dyDescent="0.25">
      <c r="A2549" s="1">
        <v>2016</v>
      </c>
      <c r="B2549" s="1">
        <v>224</v>
      </c>
      <c r="C2549" s="15">
        <v>42593</v>
      </c>
      <c r="D2549" s="16">
        <v>0.3972222222222222</v>
      </c>
      <c r="E2549" s="1">
        <v>90</v>
      </c>
      <c r="F2549" s="1">
        <v>8</v>
      </c>
      <c r="G2549" s="1">
        <v>0.3189818672158008</v>
      </c>
      <c r="H2549" s="1" t="s">
        <v>143</v>
      </c>
    </row>
    <row r="2550" spans="1:8" x14ac:dyDescent="0.25">
      <c r="A2550" s="1">
        <v>2016</v>
      </c>
      <c r="B2550" s="1">
        <v>224</v>
      </c>
      <c r="C2550" s="15">
        <v>42593</v>
      </c>
      <c r="D2550" s="16">
        <v>0.40416666666666662</v>
      </c>
      <c r="E2550" s="1">
        <v>90</v>
      </c>
      <c r="F2550" s="1">
        <v>9</v>
      </c>
      <c r="G2550" s="1">
        <v>0.31666913866937152</v>
      </c>
      <c r="H2550" s="1" t="s">
        <v>143</v>
      </c>
    </row>
    <row r="2551" spans="1:8" x14ac:dyDescent="0.25">
      <c r="A2551" s="1">
        <v>2016</v>
      </c>
      <c r="B2551" s="1">
        <v>224</v>
      </c>
      <c r="C2551" s="15">
        <v>42593</v>
      </c>
      <c r="D2551" s="16">
        <v>0.41111111111111115</v>
      </c>
      <c r="E2551" s="1">
        <v>90</v>
      </c>
      <c r="F2551" s="1">
        <v>10</v>
      </c>
      <c r="G2551" s="1">
        <v>0.33542284836764491</v>
      </c>
      <c r="H2551" s="1" t="s">
        <v>143</v>
      </c>
    </row>
    <row r="2552" spans="1:8" x14ac:dyDescent="0.25">
      <c r="A2552" s="1">
        <v>2016</v>
      </c>
      <c r="B2552" s="1">
        <v>224</v>
      </c>
      <c r="C2552" s="15">
        <v>42593</v>
      </c>
      <c r="D2552" s="16">
        <v>0.43124999999999997</v>
      </c>
      <c r="E2552" s="1">
        <v>90</v>
      </c>
      <c r="F2552" s="1">
        <v>11</v>
      </c>
      <c r="G2552" s="1">
        <v>0.32424847677697649</v>
      </c>
      <c r="H2552" s="1" t="s">
        <v>144</v>
      </c>
    </row>
    <row r="2553" spans="1:8" x14ac:dyDescent="0.25">
      <c r="A2553" s="1">
        <v>2016</v>
      </c>
      <c r="B2553" s="1">
        <v>224</v>
      </c>
      <c r="C2553" s="15">
        <v>42593</v>
      </c>
      <c r="D2553" s="16">
        <v>0.4375</v>
      </c>
      <c r="E2553" s="1">
        <v>90</v>
      </c>
      <c r="F2553" s="1">
        <v>12</v>
      </c>
      <c r="G2553" s="1">
        <v>0.31973751119631733</v>
      </c>
      <c r="H2553" s="1" t="s">
        <v>144</v>
      </c>
    </row>
    <row r="2554" spans="1:8" x14ac:dyDescent="0.25">
      <c r="A2554" s="1">
        <v>2016</v>
      </c>
      <c r="B2554" s="1">
        <v>224</v>
      </c>
      <c r="C2554" s="15">
        <v>42593</v>
      </c>
      <c r="D2554" s="16">
        <v>0.44444444444444442</v>
      </c>
      <c r="E2554" s="1">
        <v>90</v>
      </c>
      <c r="F2554" s="1">
        <v>13</v>
      </c>
      <c r="G2554" s="1">
        <v>0.31799724021088538</v>
      </c>
      <c r="H2554" s="1" t="s">
        <v>144</v>
      </c>
    </row>
    <row r="2555" spans="1:8" x14ac:dyDescent="0.25">
      <c r="A2555" s="1">
        <v>2016</v>
      </c>
      <c r="B2555" s="1">
        <v>224</v>
      </c>
      <c r="C2555" s="15">
        <v>42593</v>
      </c>
      <c r="D2555" s="16">
        <v>0.45277777777777778</v>
      </c>
      <c r="E2555" s="1">
        <v>90</v>
      </c>
      <c r="F2555" s="1">
        <v>14</v>
      </c>
      <c r="G2555" s="1">
        <v>0.30496810612258551</v>
      </c>
      <c r="H2555" s="1" t="s">
        <v>144</v>
      </c>
    </row>
    <row r="2556" spans="1:8" x14ac:dyDescent="0.25">
      <c r="A2556" s="1">
        <v>2016</v>
      </c>
      <c r="B2556" s="1">
        <v>224</v>
      </c>
      <c r="C2556" s="15">
        <v>42593</v>
      </c>
      <c r="D2556" s="16">
        <v>0.45902777777777781</v>
      </c>
      <c r="E2556" s="1">
        <v>90</v>
      </c>
      <c r="F2556" s="1">
        <v>15</v>
      </c>
      <c r="G2556" s="1">
        <v>0.31078427494231864</v>
      </c>
      <c r="H2556" s="1" t="s">
        <v>1</v>
      </c>
    </row>
    <row r="2557" spans="1:8" x14ac:dyDescent="0.25">
      <c r="A2557" s="1">
        <v>2016</v>
      </c>
      <c r="B2557" s="1">
        <v>224</v>
      </c>
      <c r="C2557" s="15">
        <v>42593</v>
      </c>
      <c r="D2557" s="16">
        <v>0.45902777777777781</v>
      </c>
      <c r="E2557" s="1">
        <v>90</v>
      </c>
      <c r="F2557" s="1">
        <v>16</v>
      </c>
      <c r="G2557" s="1">
        <v>0.29759485273693947</v>
      </c>
      <c r="H2557" s="1" t="s">
        <v>1</v>
      </c>
    </row>
    <row r="2558" spans="1:8" x14ac:dyDescent="0.25">
      <c r="A2558" s="1">
        <v>2016</v>
      </c>
      <c r="B2558" s="1">
        <v>224</v>
      </c>
      <c r="C2558" s="15">
        <v>42593</v>
      </c>
      <c r="D2558" s="16">
        <v>0.47291666666666665</v>
      </c>
      <c r="E2558" s="1">
        <v>90</v>
      </c>
      <c r="F2558" s="1">
        <v>17</v>
      </c>
      <c r="G2558" s="1">
        <v>0.33029362862110861</v>
      </c>
      <c r="H2558" s="1" t="s">
        <v>144</v>
      </c>
    </row>
    <row r="2559" spans="1:8" x14ac:dyDescent="0.25">
      <c r="A2559" s="1">
        <v>2016</v>
      </c>
      <c r="B2559" s="1">
        <v>224</v>
      </c>
      <c r="C2559" s="15">
        <v>42593</v>
      </c>
      <c r="D2559" s="16">
        <v>0.48055555555555557</v>
      </c>
      <c r="E2559" s="1">
        <v>90</v>
      </c>
      <c r="F2559" s="1">
        <v>18</v>
      </c>
      <c r="G2559" s="1">
        <v>0.32521020547945206</v>
      </c>
      <c r="H2559" s="1" t="s">
        <v>144</v>
      </c>
    </row>
    <row r="2560" spans="1:8" x14ac:dyDescent="0.25">
      <c r="A2560" s="1">
        <v>2016</v>
      </c>
      <c r="B2560" s="1">
        <v>224</v>
      </c>
      <c r="C2560" s="15">
        <v>42593</v>
      </c>
      <c r="D2560" s="16">
        <v>0.48749999999999999</v>
      </c>
      <c r="E2560" s="1">
        <v>90</v>
      </c>
      <c r="F2560" s="1">
        <v>19</v>
      </c>
      <c r="G2560" s="1">
        <v>0.31291381706922883</v>
      </c>
      <c r="H2560" s="1" t="s">
        <v>144</v>
      </c>
    </row>
    <row r="2561" spans="1:8" x14ac:dyDescent="0.25">
      <c r="A2561" s="1">
        <v>2016</v>
      </c>
      <c r="B2561" s="1">
        <v>224</v>
      </c>
      <c r="C2561" s="15">
        <v>42593</v>
      </c>
      <c r="D2561" s="16">
        <v>0.49305555555555558</v>
      </c>
      <c r="E2561" s="1">
        <v>90</v>
      </c>
      <c r="F2561" s="1">
        <v>20</v>
      </c>
      <c r="G2561" s="1">
        <v>0.32257690069886424</v>
      </c>
      <c r="H2561" s="1" t="s">
        <v>144</v>
      </c>
    </row>
    <row r="2562" spans="1:8" x14ac:dyDescent="0.25">
      <c r="A2562" s="1">
        <v>2016</v>
      </c>
      <c r="B2562" s="1">
        <v>224</v>
      </c>
      <c r="C2562" s="15">
        <v>42593</v>
      </c>
      <c r="D2562" s="16">
        <v>0.35486111111111113</v>
      </c>
      <c r="E2562" s="1">
        <v>70</v>
      </c>
      <c r="F2562" s="1">
        <v>1</v>
      </c>
      <c r="G2562" s="1">
        <v>0.32573686643556965</v>
      </c>
      <c r="H2562" s="1" t="s">
        <v>143</v>
      </c>
    </row>
    <row r="2563" spans="1:8" x14ac:dyDescent="0.25">
      <c r="A2563" s="1">
        <v>2016</v>
      </c>
      <c r="B2563" s="1">
        <v>224</v>
      </c>
      <c r="C2563" s="15">
        <v>42593</v>
      </c>
      <c r="D2563" s="16">
        <v>0.34722222222222227</v>
      </c>
      <c r="E2563" s="1">
        <v>70</v>
      </c>
      <c r="F2563" s="1">
        <v>2</v>
      </c>
      <c r="G2563" s="1">
        <v>0.33812484805555248</v>
      </c>
      <c r="H2563" s="1" t="s">
        <v>143</v>
      </c>
    </row>
    <row r="2564" spans="1:8" x14ac:dyDescent="0.25">
      <c r="A2564" s="1">
        <v>2016</v>
      </c>
      <c r="B2564" s="1">
        <v>224</v>
      </c>
      <c r="C2564" s="15">
        <v>42593</v>
      </c>
      <c r="D2564" s="16">
        <v>0.36944444444444446</v>
      </c>
      <c r="E2564" s="1">
        <v>70</v>
      </c>
      <c r="F2564" s="1">
        <v>3</v>
      </c>
      <c r="G2564" s="1">
        <v>0.33670515330427903</v>
      </c>
      <c r="H2564" s="1" t="s">
        <v>143</v>
      </c>
    </row>
    <row r="2565" spans="1:8" x14ac:dyDescent="0.25">
      <c r="A2565" s="1">
        <v>2016</v>
      </c>
      <c r="B2565" s="1">
        <v>224</v>
      </c>
      <c r="C2565" s="15">
        <v>42593</v>
      </c>
      <c r="D2565" s="16">
        <v>0.36249999999999999</v>
      </c>
      <c r="E2565" s="1">
        <v>70</v>
      </c>
      <c r="F2565" s="1">
        <v>4</v>
      </c>
      <c r="G2565" s="1">
        <v>0.31792854530356568</v>
      </c>
      <c r="H2565" s="1" t="s">
        <v>143</v>
      </c>
    </row>
    <row r="2566" spans="1:8" x14ac:dyDescent="0.25">
      <c r="A2566" s="1">
        <v>2016</v>
      </c>
      <c r="B2566" s="1">
        <v>224</v>
      </c>
      <c r="C2566" s="15">
        <v>42593</v>
      </c>
      <c r="D2566" s="16">
        <v>0.37777777777777777</v>
      </c>
      <c r="E2566" s="1">
        <v>70</v>
      </c>
      <c r="F2566" s="1">
        <v>5</v>
      </c>
      <c r="G2566" s="1">
        <v>0.31666913866937152</v>
      </c>
      <c r="H2566" s="1" t="s">
        <v>0</v>
      </c>
    </row>
    <row r="2567" spans="1:8" x14ac:dyDescent="0.25">
      <c r="A2567" s="1">
        <v>2016</v>
      </c>
      <c r="B2567" s="1">
        <v>224</v>
      </c>
      <c r="C2567" s="15">
        <v>42593</v>
      </c>
      <c r="D2567" s="16">
        <v>0.38472222222222219</v>
      </c>
      <c r="E2567" s="1">
        <v>70</v>
      </c>
      <c r="F2567" s="1">
        <v>6</v>
      </c>
      <c r="G2567" s="1">
        <v>0.32857625593811657</v>
      </c>
      <c r="H2567" s="1" t="s">
        <v>0</v>
      </c>
    </row>
    <row r="2568" spans="1:8" x14ac:dyDescent="0.25">
      <c r="A2568" s="1">
        <v>2016</v>
      </c>
      <c r="B2568" s="1">
        <v>224</v>
      </c>
      <c r="C2568" s="15">
        <v>42593</v>
      </c>
      <c r="D2568" s="16">
        <v>0.39027777777777778</v>
      </c>
      <c r="E2568" s="1">
        <v>70</v>
      </c>
      <c r="F2568" s="1">
        <v>7</v>
      </c>
      <c r="G2568" s="1">
        <v>0.3291487134991139</v>
      </c>
      <c r="H2568" s="1" t="s">
        <v>143</v>
      </c>
    </row>
    <row r="2569" spans="1:8" x14ac:dyDescent="0.25">
      <c r="A2569" s="1">
        <v>2016</v>
      </c>
      <c r="B2569" s="1">
        <v>224</v>
      </c>
      <c r="C2569" s="15">
        <v>42593</v>
      </c>
      <c r="D2569" s="16">
        <v>0.3972222222222222</v>
      </c>
      <c r="E2569" s="1">
        <v>70</v>
      </c>
      <c r="F2569" s="1">
        <v>8</v>
      </c>
      <c r="G2569" s="1">
        <v>0.31394424067902404</v>
      </c>
      <c r="H2569" s="1" t="s">
        <v>143</v>
      </c>
    </row>
    <row r="2570" spans="1:8" x14ac:dyDescent="0.25">
      <c r="A2570" s="1">
        <v>2016</v>
      </c>
      <c r="B2570" s="1">
        <v>224</v>
      </c>
      <c r="C2570" s="15">
        <v>42593</v>
      </c>
      <c r="D2570" s="16">
        <v>0.40416666666666662</v>
      </c>
      <c r="E2570" s="1">
        <v>70</v>
      </c>
      <c r="F2570" s="1">
        <v>9</v>
      </c>
      <c r="G2570" s="1">
        <v>0.32042446026951416</v>
      </c>
      <c r="H2570" s="1" t="s">
        <v>143</v>
      </c>
    </row>
    <row r="2571" spans="1:8" x14ac:dyDescent="0.25">
      <c r="A2571" s="1">
        <v>2016</v>
      </c>
      <c r="B2571" s="1">
        <v>224</v>
      </c>
      <c r="C2571" s="15">
        <v>42593</v>
      </c>
      <c r="D2571" s="16">
        <v>0.41111111111111115</v>
      </c>
      <c r="E2571" s="1">
        <v>70</v>
      </c>
      <c r="F2571" s="1">
        <v>10</v>
      </c>
      <c r="G2571" s="1">
        <v>0.3408497460458999</v>
      </c>
      <c r="H2571" s="1" t="s">
        <v>143</v>
      </c>
    </row>
    <row r="2572" spans="1:8" x14ac:dyDescent="0.25">
      <c r="A2572" s="1">
        <v>2016</v>
      </c>
      <c r="B2572" s="1">
        <v>224</v>
      </c>
      <c r="C2572" s="15">
        <v>42593</v>
      </c>
      <c r="D2572" s="16">
        <v>0.43124999999999997</v>
      </c>
      <c r="E2572" s="1">
        <v>70</v>
      </c>
      <c r="F2572" s="1">
        <v>11</v>
      </c>
      <c r="G2572" s="1">
        <v>0.33253766226021825</v>
      </c>
      <c r="H2572" s="1" t="s">
        <v>144</v>
      </c>
    </row>
    <row r="2573" spans="1:8" x14ac:dyDescent="0.25">
      <c r="A2573" s="1">
        <v>2016</v>
      </c>
      <c r="B2573" s="1">
        <v>224</v>
      </c>
      <c r="C2573" s="15">
        <v>42593</v>
      </c>
      <c r="D2573" s="16">
        <v>0.4375</v>
      </c>
      <c r="E2573" s="1">
        <v>70</v>
      </c>
      <c r="F2573" s="1">
        <v>12</v>
      </c>
      <c r="G2573" s="1">
        <v>0.31257034253263039</v>
      </c>
      <c r="H2573" s="1" t="s">
        <v>144</v>
      </c>
    </row>
    <row r="2574" spans="1:8" x14ac:dyDescent="0.25">
      <c r="A2574" s="1">
        <v>2016</v>
      </c>
      <c r="B2574" s="1">
        <v>224</v>
      </c>
      <c r="C2574" s="15">
        <v>42593</v>
      </c>
      <c r="D2574" s="16">
        <v>0.44444444444444442</v>
      </c>
      <c r="E2574" s="1">
        <v>70</v>
      </c>
      <c r="F2574" s="1">
        <v>13</v>
      </c>
      <c r="G2574" s="1">
        <v>0.3136694610497453</v>
      </c>
      <c r="H2574" s="1" t="s">
        <v>144</v>
      </c>
    </row>
    <row r="2575" spans="1:8" x14ac:dyDescent="0.25">
      <c r="A2575" s="1">
        <v>2016</v>
      </c>
      <c r="B2575" s="1">
        <v>224</v>
      </c>
      <c r="C2575" s="15">
        <v>42593</v>
      </c>
      <c r="D2575" s="16">
        <v>0.45277777777777778</v>
      </c>
      <c r="E2575" s="1">
        <v>70</v>
      </c>
      <c r="F2575" s="1">
        <v>14</v>
      </c>
      <c r="G2575" s="1">
        <v>0.3223479176744653</v>
      </c>
      <c r="H2575" s="1" t="s">
        <v>144</v>
      </c>
    </row>
    <row r="2576" spans="1:8" x14ac:dyDescent="0.25">
      <c r="A2576" s="1">
        <v>2016</v>
      </c>
      <c r="B2576" s="1">
        <v>224</v>
      </c>
      <c r="C2576" s="15">
        <v>42593</v>
      </c>
      <c r="D2576" s="16">
        <v>0.45902777777777781</v>
      </c>
      <c r="E2576" s="1">
        <v>70</v>
      </c>
      <c r="F2576" s="1">
        <v>15</v>
      </c>
      <c r="G2576" s="1">
        <v>0.31142542741063567</v>
      </c>
      <c r="H2576" s="1" t="s">
        <v>1</v>
      </c>
    </row>
    <row r="2577" spans="1:8" x14ac:dyDescent="0.25">
      <c r="A2577" s="1">
        <v>2016</v>
      </c>
      <c r="B2577" s="1">
        <v>224</v>
      </c>
      <c r="C2577" s="15">
        <v>42593</v>
      </c>
      <c r="D2577" s="16">
        <v>0.45902777777777781</v>
      </c>
      <c r="E2577" s="1">
        <v>70</v>
      </c>
      <c r="F2577" s="1">
        <v>16</v>
      </c>
      <c r="G2577" s="1">
        <v>0.3122497662984719</v>
      </c>
      <c r="H2577" s="1" t="s">
        <v>1</v>
      </c>
    </row>
    <row r="2578" spans="1:8" x14ac:dyDescent="0.25">
      <c r="A2578" s="1">
        <v>2016</v>
      </c>
      <c r="B2578" s="1">
        <v>224</v>
      </c>
      <c r="C2578" s="15">
        <v>42593</v>
      </c>
      <c r="D2578" s="16">
        <v>0.47291666666666665</v>
      </c>
      <c r="E2578" s="1">
        <v>70</v>
      </c>
      <c r="F2578" s="1">
        <v>17</v>
      </c>
      <c r="G2578" s="1">
        <v>0.33551444157740451</v>
      </c>
      <c r="H2578" s="1" t="s">
        <v>144</v>
      </c>
    </row>
    <row r="2579" spans="1:8" x14ac:dyDescent="0.25">
      <c r="A2579" s="1">
        <v>2016</v>
      </c>
      <c r="B2579" s="1">
        <v>224</v>
      </c>
      <c r="C2579" s="15">
        <v>42593</v>
      </c>
      <c r="D2579" s="16">
        <v>0.48055555555555557</v>
      </c>
      <c r="E2579" s="1">
        <v>70</v>
      </c>
      <c r="F2579" s="1">
        <v>18</v>
      </c>
      <c r="G2579" s="1">
        <v>0.31884447740116145</v>
      </c>
      <c r="H2579" s="1" t="s">
        <v>144</v>
      </c>
    </row>
    <row r="2580" spans="1:8" x14ac:dyDescent="0.25">
      <c r="A2580" s="1">
        <v>2016</v>
      </c>
      <c r="B2580" s="1">
        <v>224</v>
      </c>
      <c r="C2580" s="15">
        <v>42593</v>
      </c>
      <c r="D2580" s="16">
        <v>0.48749999999999999</v>
      </c>
      <c r="E2580" s="1">
        <v>70</v>
      </c>
      <c r="F2580" s="1">
        <v>19</v>
      </c>
      <c r="G2580" s="1">
        <v>0.30977674963496327</v>
      </c>
      <c r="H2580" s="1" t="s">
        <v>144</v>
      </c>
    </row>
    <row r="2581" spans="1:8" x14ac:dyDescent="0.25">
      <c r="A2581" s="1">
        <v>2016</v>
      </c>
      <c r="B2581" s="1">
        <v>224</v>
      </c>
      <c r="C2581" s="15">
        <v>42593</v>
      </c>
      <c r="D2581" s="16">
        <v>0.49305555555555558</v>
      </c>
      <c r="E2581" s="1">
        <v>70</v>
      </c>
      <c r="F2581" s="1">
        <v>20</v>
      </c>
      <c r="G2581" s="1">
        <v>0.32882813726495536</v>
      </c>
      <c r="H2581" s="1" t="s">
        <v>144</v>
      </c>
    </row>
    <row r="2582" spans="1:8" x14ac:dyDescent="0.25">
      <c r="A2582" s="1">
        <v>2016</v>
      </c>
      <c r="B2582" s="1">
        <v>224</v>
      </c>
      <c r="C2582" s="15">
        <v>42593</v>
      </c>
      <c r="D2582" s="16">
        <v>0.35486111111111113</v>
      </c>
      <c r="E2582" s="1">
        <v>50</v>
      </c>
      <c r="F2582" s="1">
        <v>1</v>
      </c>
      <c r="G2582" s="1">
        <v>0.33615559404572154</v>
      </c>
      <c r="H2582" s="1" t="s">
        <v>143</v>
      </c>
    </row>
    <row r="2583" spans="1:8" x14ac:dyDescent="0.25">
      <c r="A2583" s="1">
        <v>2016</v>
      </c>
      <c r="B2583" s="1">
        <v>224</v>
      </c>
      <c r="C2583" s="15">
        <v>42593</v>
      </c>
      <c r="D2583" s="16">
        <v>0.34722222222222227</v>
      </c>
      <c r="E2583" s="1">
        <v>50</v>
      </c>
      <c r="F2583" s="1">
        <v>2</v>
      </c>
      <c r="G2583" s="1">
        <v>0.34355174573380748</v>
      </c>
      <c r="H2583" s="1" t="s">
        <v>143</v>
      </c>
    </row>
    <row r="2584" spans="1:8" x14ac:dyDescent="0.25">
      <c r="A2584" s="1">
        <v>2016</v>
      </c>
      <c r="B2584" s="1">
        <v>224</v>
      </c>
      <c r="C2584" s="15">
        <v>42593</v>
      </c>
      <c r="D2584" s="16">
        <v>0.36944444444444446</v>
      </c>
      <c r="E2584" s="1">
        <v>50</v>
      </c>
      <c r="F2584" s="1">
        <v>3</v>
      </c>
      <c r="G2584" s="1">
        <v>0.34666591486563308</v>
      </c>
      <c r="H2584" s="1" t="s">
        <v>143</v>
      </c>
    </row>
    <row r="2585" spans="1:8" x14ac:dyDescent="0.25">
      <c r="A2585" s="1">
        <v>2016</v>
      </c>
      <c r="B2585" s="1">
        <v>224</v>
      </c>
      <c r="C2585" s="15">
        <v>42593</v>
      </c>
      <c r="D2585" s="16">
        <v>0.36249999999999999</v>
      </c>
      <c r="E2585" s="1">
        <v>50</v>
      </c>
      <c r="F2585" s="1">
        <v>4</v>
      </c>
      <c r="G2585" s="1">
        <v>0.33457561117736889</v>
      </c>
      <c r="H2585" s="1" t="s">
        <v>143</v>
      </c>
    </row>
    <row r="2586" spans="1:8" x14ac:dyDescent="0.25">
      <c r="A2586" s="1">
        <v>2016</v>
      </c>
      <c r="B2586" s="1">
        <v>224</v>
      </c>
      <c r="C2586" s="15">
        <v>42593</v>
      </c>
      <c r="D2586" s="16">
        <v>0.37777777777777777</v>
      </c>
      <c r="E2586" s="1">
        <v>50</v>
      </c>
      <c r="F2586" s="1">
        <v>5</v>
      </c>
      <c r="G2586" s="1">
        <v>0.32866784914787611</v>
      </c>
      <c r="H2586" s="1" t="s">
        <v>0</v>
      </c>
    </row>
    <row r="2587" spans="1:8" x14ac:dyDescent="0.25">
      <c r="A2587" s="1">
        <v>2016</v>
      </c>
      <c r="B2587" s="1">
        <v>224</v>
      </c>
      <c r="C2587" s="15">
        <v>42593</v>
      </c>
      <c r="D2587" s="16">
        <v>0.38472222222222219</v>
      </c>
      <c r="E2587" s="1">
        <v>50</v>
      </c>
      <c r="F2587" s="1">
        <v>6</v>
      </c>
      <c r="G2587" s="1">
        <v>0.33556023818228431</v>
      </c>
      <c r="H2587" s="1" t="s">
        <v>0</v>
      </c>
    </row>
    <row r="2588" spans="1:8" x14ac:dyDescent="0.25">
      <c r="A2588" s="1">
        <v>2016</v>
      </c>
      <c r="B2588" s="1">
        <v>224</v>
      </c>
      <c r="C2588" s="15">
        <v>42593</v>
      </c>
      <c r="D2588" s="16">
        <v>0.39027777777777778</v>
      </c>
      <c r="E2588" s="1">
        <v>50</v>
      </c>
      <c r="F2588" s="1">
        <v>7</v>
      </c>
      <c r="G2588" s="1">
        <v>0.33636167876768058</v>
      </c>
      <c r="H2588" s="1" t="s">
        <v>143</v>
      </c>
    </row>
    <row r="2589" spans="1:8" x14ac:dyDescent="0.25">
      <c r="A2589" s="1">
        <v>2016</v>
      </c>
      <c r="B2589" s="1">
        <v>224</v>
      </c>
      <c r="C2589" s="15">
        <v>42593</v>
      </c>
      <c r="D2589" s="16">
        <v>0.3972222222222222</v>
      </c>
      <c r="E2589" s="1">
        <v>50</v>
      </c>
      <c r="F2589" s="1">
        <v>8</v>
      </c>
      <c r="G2589" s="1">
        <v>0.32005808743047581</v>
      </c>
      <c r="H2589" s="1" t="s">
        <v>143</v>
      </c>
    </row>
    <row r="2590" spans="1:8" x14ac:dyDescent="0.25">
      <c r="A2590" s="1">
        <v>2016</v>
      </c>
      <c r="B2590" s="1">
        <v>224</v>
      </c>
      <c r="C2590" s="15">
        <v>42593</v>
      </c>
      <c r="D2590" s="16">
        <v>0.40416666666666662</v>
      </c>
      <c r="E2590" s="1">
        <v>50</v>
      </c>
      <c r="F2590" s="1">
        <v>9</v>
      </c>
      <c r="G2590" s="1">
        <v>0.31293671537166867</v>
      </c>
      <c r="H2590" s="1" t="s">
        <v>143</v>
      </c>
    </row>
    <row r="2591" spans="1:8" x14ac:dyDescent="0.25">
      <c r="A2591" s="1">
        <v>2016</v>
      </c>
      <c r="B2591" s="1">
        <v>224</v>
      </c>
      <c r="C2591" s="15">
        <v>42593</v>
      </c>
      <c r="D2591" s="16">
        <v>0.41111111111111115</v>
      </c>
      <c r="E2591" s="1">
        <v>50</v>
      </c>
      <c r="F2591" s="1">
        <v>10</v>
      </c>
      <c r="G2591" s="1">
        <v>0.3531232361536833</v>
      </c>
      <c r="H2591" s="1" t="s">
        <v>143</v>
      </c>
    </row>
    <row r="2592" spans="1:8" x14ac:dyDescent="0.25">
      <c r="A2592" s="1">
        <v>2016</v>
      </c>
      <c r="B2592" s="1">
        <v>224</v>
      </c>
      <c r="C2592" s="15">
        <v>42593</v>
      </c>
      <c r="D2592" s="16">
        <v>0.43124999999999997</v>
      </c>
      <c r="E2592" s="1">
        <v>50</v>
      </c>
      <c r="F2592" s="1">
        <v>11</v>
      </c>
      <c r="G2592" s="1">
        <v>0.32626352739168718</v>
      </c>
      <c r="H2592" s="1" t="s">
        <v>144</v>
      </c>
    </row>
    <row r="2593" spans="1:8" x14ac:dyDescent="0.25">
      <c r="A2593" s="1">
        <v>2016</v>
      </c>
      <c r="B2593" s="1">
        <v>224</v>
      </c>
      <c r="C2593" s="15">
        <v>42593</v>
      </c>
      <c r="D2593" s="16">
        <v>0.4375</v>
      </c>
      <c r="E2593" s="1">
        <v>50</v>
      </c>
      <c r="F2593" s="1">
        <v>12</v>
      </c>
      <c r="G2593" s="1">
        <v>0.3190963587280003</v>
      </c>
      <c r="H2593" s="1" t="s">
        <v>144</v>
      </c>
    </row>
    <row r="2594" spans="1:8" x14ac:dyDescent="0.25">
      <c r="A2594" s="1">
        <v>2016</v>
      </c>
      <c r="B2594" s="1">
        <v>224</v>
      </c>
      <c r="C2594" s="15">
        <v>42593</v>
      </c>
      <c r="D2594" s="16">
        <v>0.44444444444444442</v>
      </c>
      <c r="E2594" s="1">
        <v>50</v>
      </c>
      <c r="F2594" s="1">
        <v>13</v>
      </c>
      <c r="G2594" s="1">
        <v>0.29029029425861325</v>
      </c>
      <c r="H2594" s="1" t="s">
        <v>144</v>
      </c>
    </row>
    <row r="2595" spans="1:8" x14ac:dyDescent="0.25">
      <c r="A2595" s="1">
        <v>2016</v>
      </c>
      <c r="B2595" s="1">
        <v>224</v>
      </c>
      <c r="C2595" s="15">
        <v>42593</v>
      </c>
      <c r="D2595" s="16">
        <v>0.45277777777777778</v>
      </c>
      <c r="E2595" s="1">
        <v>50</v>
      </c>
      <c r="F2595" s="1">
        <v>14</v>
      </c>
      <c r="G2595" s="1">
        <v>0.28078749874605707</v>
      </c>
      <c r="H2595" s="1" t="s">
        <v>144</v>
      </c>
    </row>
    <row r="2596" spans="1:8" x14ac:dyDescent="0.25">
      <c r="A2596" s="1">
        <v>2016</v>
      </c>
      <c r="B2596" s="1">
        <v>224</v>
      </c>
      <c r="C2596" s="15">
        <v>42593</v>
      </c>
      <c r="D2596" s="16">
        <v>0.45902777777777781</v>
      </c>
      <c r="E2596" s="1">
        <v>50</v>
      </c>
      <c r="F2596" s="1">
        <v>15</v>
      </c>
      <c r="G2596" s="1">
        <v>0.32985856087475063</v>
      </c>
      <c r="H2596" s="1" t="s">
        <v>1</v>
      </c>
    </row>
    <row r="2597" spans="1:8" x14ac:dyDescent="0.25">
      <c r="A2597" s="1">
        <v>2016</v>
      </c>
      <c r="B2597" s="1">
        <v>224</v>
      </c>
      <c r="C2597" s="15">
        <v>42593</v>
      </c>
      <c r="D2597" s="16">
        <v>0.45902777777777781</v>
      </c>
      <c r="E2597" s="1">
        <v>50</v>
      </c>
      <c r="F2597" s="1">
        <v>16</v>
      </c>
      <c r="G2597" s="1">
        <v>0.32953798464059209</v>
      </c>
      <c r="H2597" s="1" t="s">
        <v>1</v>
      </c>
    </row>
    <row r="2598" spans="1:8" x14ac:dyDescent="0.25">
      <c r="A2598" s="1">
        <v>2016</v>
      </c>
      <c r="B2598" s="1">
        <v>224</v>
      </c>
      <c r="C2598" s="15">
        <v>42593</v>
      </c>
      <c r="D2598" s="16">
        <v>0.47291666666666665</v>
      </c>
      <c r="E2598" s="1">
        <v>50</v>
      </c>
      <c r="F2598" s="1">
        <v>17</v>
      </c>
      <c r="G2598" s="1">
        <v>0.3530545412463636</v>
      </c>
      <c r="H2598" s="1" t="s">
        <v>144</v>
      </c>
    </row>
    <row r="2599" spans="1:8" x14ac:dyDescent="0.25">
      <c r="A2599" s="1">
        <v>2016</v>
      </c>
      <c r="B2599" s="1">
        <v>224</v>
      </c>
      <c r="C2599" s="15">
        <v>42593</v>
      </c>
      <c r="D2599" s="16">
        <v>0.48055555555555557</v>
      </c>
      <c r="E2599" s="1">
        <v>50</v>
      </c>
      <c r="F2599" s="1">
        <v>18</v>
      </c>
      <c r="G2599" s="1">
        <v>0.33787296672871364</v>
      </c>
      <c r="H2599" s="1" t="s">
        <v>144</v>
      </c>
    </row>
    <row r="2600" spans="1:8" x14ac:dyDescent="0.25">
      <c r="A2600" s="1">
        <v>2016</v>
      </c>
      <c r="B2600" s="1">
        <v>224</v>
      </c>
      <c r="C2600" s="15">
        <v>42593</v>
      </c>
      <c r="D2600" s="16">
        <v>0.48749999999999999</v>
      </c>
      <c r="E2600" s="1">
        <v>50</v>
      </c>
      <c r="F2600" s="1">
        <v>19</v>
      </c>
      <c r="G2600" s="1">
        <v>0.33125535732358413</v>
      </c>
      <c r="H2600" s="1" t="s">
        <v>144</v>
      </c>
    </row>
    <row r="2601" spans="1:8" x14ac:dyDescent="0.25">
      <c r="A2601" s="1">
        <v>2016</v>
      </c>
      <c r="B2601" s="1">
        <v>224</v>
      </c>
      <c r="C2601" s="15">
        <v>42593</v>
      </c>
      <c r="D2601" s="16">
        <v>0.49305555555555558</v>
      </c>
      <c r="E2601" s="1">
        <v>50</v>
      </c>
      <c r="F2601" s="1">
        <v>20</v>
      </c>
      <c r="G2601" s="1">
        <v>0.34105583076785895</v>
      </c>
      <c r="H2601" s="1" t="s">
        <v>144</v>
      </c>
    </row>
    <row r="2602" spans="1:8" x14ac:dyDescent="0.25">
      <c r="A2602" s="1">
        <v>2016</v>
      </c>
      <c r="B2602" s="1">
        <v>224</v>
      </c>
      <c r="C2602" s="15">
        <v>42593</v>
      </c>
      <c r="D2602" s="16">
        <v>0.35486111111111113</v>
      </c>
      <c r="E2602" s="1">
        <v>30</v>
      </c>
      <c r="F2602" s="1">
        <v>1</v>
      </c>
      <c r="G2602" s="1">
        <v>0.32177546011346791</v>
      </c>
      <c r="H2602" s="1" t="s">
        <v>143</v>
      </c>
    </row>
    <row r="2603" spans="1:8" x14ac:dyDescent="0.25">
      <c r="A2603" s="1">
        <v>2016</v>
      </c>
      <c r="B2603" s="1">
        <v>224</v>
      </c>
      <c r="C2603" s="15">
        <v>42593</v>
      </c>
      <c r="D2603" s="16">
        <v>0.34722222222222227</v>
      </c>
      <c r="E2603" s="1">
        <v>30</v>
      </c>
      <c r="F2603" s="1">
        <v>2</v>
      </c>
      <c r="G2603" s="1">
        <v>0.3308202895772262</v>
      </c>
      <c r="H2603" s="1" t="s">
        <v>143</v>
      </c>
    </row>
    <row r="2604" spans="1:8" x14ac:dyDescent="0.25">
      <c r="A2604" s="1">
        <v>2016</v>
      </c>
      <c r="B2604" s="1">
        <v>224</v>
      </c>
      <c r="C2604" s="15">
        <v>42593</v>
      </c>
      <c r="D2604" s="16">
        <v>0.36944444444444446</v>
      </c>
      <c r="E2604" s="1">
        <v>30</v>
      </c>
      <c r="F2604" s="1">
        <v>3</v>
      </c>
      <c r="G2604" s="1">
        <v>0.2849778880925577</v>
      </c>
      <c r="H2604" s="1" t="s">
        <v>143</v>
      </c>
    </row>
    <row r="2605" spans="1:8" x14ac:dyDescent="0.25">
      <c r="A2605" s="1">
        <v>2016</v>
      </c>
      <c r="B2605" s="1">
        <v>224</v>
      </c>
      <c r="C2605" s="15">
        <v>42593</v>
      </c>
      <c r="D2605" s="16">
        <v>0.36249999999999999</v>
      </c>
      <c r="E2605" s="1">
        <v>30</v>
      </c>
      <c r="F2605" s="1">
        <v>4</v>
      </c>
      <c r="G2605" s="1">
        <v>0.30123568282488267</v>
      </c>
      <c r="H2605" s="1" t="s">
        <v>143</v>
      </c>
    </row>
    <row r="2606" spans="1:8" x14ac:dyDescent="0.25">
      <c r="A2606" s="1">
        <v>2016</v>
      </c>
      <c r="B2606" s="1">
        <v>224</v>
      </c>
      <c r="C2606" s="15">
        <v>42593</v>
      </c>
      <c r="D2606" s="16">
        <v>0.37777777777777777</v>
      </c>
      <c r="E2606" s="1">
        <v>30</v>
      </c>
      <c r="F2606" s="1">
        <v>5</v>
      </c>
      <c r="G2606" s="1">
        <v>0.33480459420176778</v>
      </c>
      <c r="H2606" s="1" t="s">
        <v>0</v>
      </c>
    </row>
    <row r="2607" spans="1:8" x14ac:dyDescent="0.25">
      <c r="A2607" s="1">
        <v>2016</v>
      </c>
      <c r="B2607" s="1">
        <v>224</v>
      </c>
      <c r="C2607" s="15">
        <v>42593</v>
      </c>
      <c r="D2607" s="16">
        <v>0.38472222222222219</v>
      </c>
      <c r="E2607" s="1">
        <v>30</v>
      </c>
      <c r="F2607" s="1">
        <v>6</v>
      </c>
      <c r="G2607" s="1">
        <v>0.31795144360600558</v>
      </c>
      <c r="H2607" s="1" t="s">
        <v>0</v>
      </c>
    </row>
    <row r="2608" spans="1:8" x14ac:dyDescent="0.25">
      <c r="A2608" s="1">
        <v>2016</v>
      </c>
      <c r="B2608" s="1">
        <v>224</v>
      </c>
      <c r="C2608" s="15">
        <v>42593</v>
      </c>
      <c r="D2608" s="16">
        <v>0.39027777777777778</v>
      </c>
      <c r="E2608" s="1">
        <v>30</v>
      </c>
      <c r="F2608" s="1">
        <v>7</v>
      </c>
      <c r="G2608" s="1">
        <v>0.30004497109800821</v>
      </c>
      <c r="H2608" s="1" t="s">
        <v>143</v>
      </c>
    </row>
    <row r="2609" spans="1:8" x14ac:dyDescent="0.25">
      <c r="A2609" s="1">
        <v>2016</v>
      </c>
      <c r="B2609" s="1">
        <v>224</v>
      </c>
      <c r="C2609" s="15">
        <v>42593</v>
      </c>
      <c r="D2609" s="16">
        <v>0.3972222222222222</v>
      </c>
      <c r="E2609" s="1">
        <v>30</v>
      </c>
      <c r="F2609" s="1">
        <v>8</v>
      </c>
      <c r="G2609" s="1">
        <v>0.29983888637604916</v>
      </c>
      <c r="H2609" s="1" t="s">
        <v>143</v>
      </c>
    </row>
    <row r="2610" spans="1:8" x14ac:dyDescent="0.25">
      <c r="A2610" s="1">
        <v>2016</v>
      </c>
      <c r="B2610" s="1">
        <v>224</v>
      </c>
      <c r="C2610" s="15">
        <v>42593</v>
      </c>
      <c r="D2610" s="16">
        <v>0.40416666666666662</v>
      </c>
      <c r="E2610" s="1">
        <v>30</v>
      </c>
      <c r="F2610" s="1">
        <v>9</v>
      </c>
      <c r="G2610" s="1">
        <v>0.32555368001605045</v>
      </c>
      <c r="H2610" s="1" t="s">
        <v>143</v>
      </c>
    </row>
    <row r="2611" spans="1:8" x14ac:dyDescent="0.25">
      <c r="A2611" s="1">
        <v>2016</v>
      </c>
      <c r="B2611" s="1">
        <v>224</v>
      </c>
      <c r="C2611" s="15">
        <v>42593</v>
      </c>
      <c r="D2611" s="16">
        <v>0.41111111111111115</v>
      </c>
      <c r="E2611" s="1">
        <v>30</v>
      </c>
      <c r="F2611" s="1">
        <v>10</v>
      </c>
      <c r="G2611" s="1">
        <v>0.31987490101095667</v>
      </c>
      <c r="H2611" s="1" t="s">
        <v>143</v>
      </c>
    </row>
    <row r="2612" spans="1:8" x14ac:dyDescent="0.25">
      <c r="A2612" s="1">
        <v>2016</v>
      </c>
      <c r="B2612" s="1">
        <v>224</v>
      </c>
      <c r="C2612" s="15">
        <v>42593</v>
      </c>
      <c r="D2612" s="16">
        <v>0.43124999999999997</v>
      </c>
      <c r="E2612" s="1">
        <v>30</v>
      </c>
      <c r="F2612" s="1">
        <v>11</v>
      </c>
      <c r="G2612" s="1">
        <v>0.27210904212133707</v>
      </c>
      <c r="H2612" s="1" t="s">
        <v>144</v>
      </c>
    </row>
    <row r="2613" spans="1:8" x14ac:dyDescent="0.25">
      <c r="A2613" s="1">
        <v>2016</v>
      </c>
      <c r="B2613" s="1">
        <v>224</v>
      </c>
      <c r="C2613" s="15">
        <v>42593</v>
      </c>
      <c r="D2613" s="16">
        <v>0.4375</v>
      </c>
      <c r="E2613" s="1">
        <v>30</v>
      </c>
      <c r="F2613" s="1">
        <v>12</v>
      </c>
      <c r="G2613" s="1">
        <v>0.25081362085223541</v>
      </c>
      <c r="H2613" s="1" t="s">
        <v>144</v>
      </c>
    </row>
    <row r="2614" spans="1:8" x14ac:dyDescent="0.25">
      <c r="A2614" s="1">
        <v>2016</v>
      </c>
      <c r="B2614" s="1">
        <v>224</v>
      </c>
      <c r="C2614" s="15">
        <v>42593</v>
      </c>
      <c r="D2614" s="16">
        <v>0.44444444444444442</v>
      </c>
      <c r="E2614" s="1">
        <v>30</v>
      </c>
      <c r="F2614" s="1">
        <v>13</v>
      </c>
      <c r="G2614" s="1">
        <v>0.20263559251869767</v>
      </c>
      <c r="H2614" s="1" t="s">
        <v>144</v>
      </c>
    </row>
    <row r="2615" spans="1:8" x14ac:dyDescent="0.25">
      <c r="A2615" s="1">
        <v>2016</v>
      </c>
      <c r="B2615" s="1">
        <v>224</v>
      </c>
      <c r="C2615" s="15">
        <v>42593</v>
      </c>
      <c r="D2615" s="16">
        <v>0.45277777777777778</v>
      </c>
      <c r="E2615" s="1">
        <v>30</v>
      </c>
      <c r="F2615" s="1">
        <v>14</v>
      </c>
      <c r="G2615" s="1">
        <v>0.19910925394295398</v>
      </c>
      <c r="H2615" s="1" t="s">
        <v>144</v>
      </c>
    </row>
    <row r="2616" spans="1:8" x14ac:dyDescent="0.25">
      <c r="A2616" s="1">
        <v>2016</v>
      </c>
      <c r="B2616" s="1">
        <v>224</v>
      </c>
      <c r="C2616" s="15">
        <v>42593</v>
      </c>
      <c r="D2616" s="16">
        <v>0.45902777777777781</v>
      </c>
      <c r="E2616" s="1">
        <v>30</v>
      </c>
      <c r="F2616" s="1">
        <v>15</v>
      </c>
      <c r="G2616" s="1">
        <v>0.33494198401640718</v>
      </c>
      <c r="H2616" s="1" t="s">
        <v>1</v>
      </c>
    </row>
    <row r="2617" spans="1:8" x14ac:dyDescent="0.25">
      <c r="A2617" s="1">
        <v>2016</v>
      </c>
      <c r="B2617" s="1">
        <v>224</v>
      </c>
      <c r="C2617" s="15">
        <v>42593</v>
      </c>
      <c r="D2617" s="16">
        <v>0.45902777777777781</v>
      </c>
      <c r="E2617" s="1">
        <v>30</v>
      </c>
      <c r="F2617" s="1">
        <v>16</v>
      </c>
      <c r="G2617" s="1">
        <v>0.34146800021177703</v>
      </c>
      <c r="H2617" s="1" t="s">
        <v>1</v>
      </c>
    </row>
    <row r="2618" spans="1:8" x14ac:dyDescent="0.25">
      <c r="A2618" s="1">
        <v>2016</v>
      </c>
      <c r="B2618" s="1">
        <v>224</v>
      </c>
      <c r="C2618" s="15">
        <v>42593</v>
      </c>
      <c r="D2618" s="16">
        <v>0.47291666666666665</v>
      </c>
      <c r="E2618" s="1">
        <v>30</v>
      </c>
      <c r="F2618" s="1">
        <v>17</v>
      </c>
      <c r="G2618" s="1">
        <v>0.31923374854263964</v>
      </c>
      <c r="H2618" s="1" t="s">
        <v>144</v>
      </c>
    </row>
    <row r="2619" spans="1:8" x14ac:dyDescent="0.25">
      <c r="A2619" s="1">
        <v>2016</v>
      </c>
      <c r="B2619" s="1">
        <v>224</v>
      </c>
      <c r="C2619" s="15">
        <v>42593</v>
      </c>
      <c r="D2619" s="16">
        <v>0.48055555555555557</v>
      </c>
      <c r="E2619" s="1">
        <v>30</v>
      </c>
      <c r="F2619" s="1">
        <v>18</v>
      </c>
      <c r="G2619" s="1">
        <v>0.28445122713644017</v>
      </c>
      <c r="H2619" s="1" t="s">
        <v>144</v>
      </c>
    </row>
    <row r="2620" spans="1:8" x14ac:dyDescent="0.25">
      <c r="A2620" s="1">
        <v>2016</v>
      </c>
      <c r="B2620" s="1">
        <v>224</v>
      </c>
      <c r="C2620" s="15">
        <v>42593</v>
      </c>
      <c r="D2620" s="16">
        <v>0.48749999999999999</v>
      </c>
      <c r="E2620" s="1">
        <v>30</v>
      </c>
      <c r="F2620" s="1">
        <v>19</v>
      </c>
      <c r="G2620" s="1">
        <v>0.28392456618032258</v>
      </c>
      <c r="H2620" s="1" t="s">
        <v>144</v>
      </c>
    </row>
    <row r="2621" spans="1:8" x14ac:dyDescent="0.25">
      <c r="A2621" s="1">
        <v>2016</v>
      </c>
      <c r="B2621" s="1">
        <v>224</v>
      </c>
      <c r="C2621" s="15">
        <v>42593</v>
      </c>
      <c r="D2621" s="16">
        <v>0.49305555555555558</v>
      </c>
      <c r="E2621" s="1">
        <v>30</v>
      </c>
      <c r="F2621" s="1">
        <v>20</v>
      </c>
      <c r="G2621" s="1">
        <v>0.25946917917451545</v>
      </c>
      <c r="H2621" s="1" t="s">
        <v>144</v>
      </c>
    </row>
    <row r="2622" spans="1:8" x14ac:dyDescent="0.25">
      <c r="A2622" s="1">
        <v>2016</v>
      </c>
      <c r="B2622" s="1">
        <v>224</v>
      </c>
      <c r="C2622" s="15">
        <v>42593</v>
      </c>
      <c r="D2622" s="16">
        <v>0.35486111111111113</v>
      </c>
      <c r="E2622" s="1">
        <v>10</v>
      </c>
      <c r="F2622" s="1">
        <v>1</v>
      </c>
      <c r="G2622" s="1">
        <v>0.27828354421124202</v>
      </c>
      <c r="H2622" s="1" t="s">
        <v>143</v>
      </c>
    </row>
    <row r="2623" spans="1:8" x14ac:dyDescent="0.25">
      <c r="A2623" s="1">
        <v>2016</v>
      </c>
      <c r="B2623" s="1">
        <v>224</v>
      </c>
      <c r="C2623" s="15">
        <v>42593</v>
      </c>
      <c r="D2623" s="16">
        <v>0.34722222222222227</v>
      </c>
      <c r="E2623" s="1">
        <v>10</v>
      </c>
      <c r="F2623" s="1">
        <v>2</v>
      </c>
      <c r="G2623" s="1">
        <v>0.27398690727509839</v>
      </c>
      <c r="H2623" s="1" t="s">
        <v>143</v>
      </c>
    </row>
    <row r="2624" spans="1:8" x14ac:dyDescent="0.25">
      <c r="A2624" s="1">
        <v>2016</v>
      </c>
      <c r="B2624" s="1">
        <v>224</v>
      </c>
      <c r="C2624" s="15">
        <v>42593</v>
      </c>
      <c r="D2624" s="16">
        <v>0.36944444444444446</v>
      </c>
      <c r="E2624" s="1">
        <v>10</v>
      </c>
      <c r="F2624" s="1">
        <v>3</v>
      </c>
      <c r="G2624" s="1">
        <v>0.25474794813691942</v>
      </c>
      <c r="H2624" s="1" t="s">
        <v>143</v>
      </c>
    </row>
    <row r="2625" spans="1:8" x14ac:dyDescent="0.25">
      <c r="A2625" s="1">
        <v>2016</v>
      </c>
      <c r="B2625" s="1">
        <v>224</v>
      </c>
      <c r="C2625" s="15">
        <v>42593</v>
      </c>
      <c r="D2625" s="16">
        <v>0.36249999999999999</v>
      </c>
      <c r="E2625" s="1">
        <v>10</v>
      </c>
      <c r="F2625" s="1">
        <v>4</v>
      </c>
      <c r="G2625" s="1">
        <v>0.24688356803058509</v>
      </c>
      <c r="H2625" s="1" t="s">
        <v>143</v>
      </c>
    </row>
    <row r="2626" spans="1:8" x14ac:dyDescent="0.25">
      <c r="A2626" s="1">
        <v>2016</v>
      </c>
      <c r="B2626" s="1">
        <v>224</v>
      </c>
      <c r="C2626" s="15">
        <v>42593</v>
      </c>
      <c r="D2626" s="16">
        <v>0.37777777777777777</v>
      </c>
      <c r="E2626" s="1">
        <v>10</v>
      </c>
      <c r="F2626" s="1">
        <v>5</v>
      </c>
      <c r="G2626" s="1">
        <v>0.29182562312605193</v>
      </c>
      <c r="H2626" s="1" t="s">
        <v>0</v>
      </c>
    </row>
    <row r="2627" spans="1:8" x14ac:dyDescent="0.25">
      <c r="A2627" s="1">
        <v>2016</v>
      </c>
      <c r="B2627" s="1">
        <v>224</v>
      </c>
      <c r="C2627" s="15">
        <v>42593</v>
      </c>
      <c r="D2627" s="16">
        <v>0.38472222222222219</v>
      </c>
      <c r="E2627" s="1">
        <v>10</v>
      </c>
      <c r="F2627" s="1">
        <v>6</v>
      </c>
      <c r="G2627" s="1">
        <v>0.29031029134946557</v>
      </c>
      <c r="H2627" s="1" t="s">
        <v>0</v>
      </c>
    </row>
    <row r="2628" spans="1:8" x14ac:dyDescent="0.25">
      <c r="A2628" s="1">
        <v>2016</v>
      </c>
      <c r="B2628" s="1">
        <v>224</v>
      </c>
      <c r="C2628" s="15">
        <v>42593</v>
      </c>
      <c r="D2628" s="16">
        <v>0.39027777777777778</v>
      </c>
      <c r="E2628" s="1">
        <v>10</v>
      </c>
      <c r="F2628" s="1">
        <v>7</v>
      </c>
      <c r="G2628" s="1">
        <v>0.27563650895593922</v>
      </c>
      <c r="H2628" s="1" t="s">
        <v>143</v>
      </c>
    </row>
    <row r="2629" spans="1:8" x14ac:dyDescent="0.25">
      <c r="A2629" s="1">
        <v>2016</v>
      </c>
      <c r="B2629" s="1">
        <v>224</v>
      </c>
      <c r="C2629" s="15">
        <v>42593</v>
      </c>
      <c r="D2629" s="16">
        <v>0.3972222222222222</v>
      </c>
      <c r="E2629" s="1">
        <v>10</v>
      </c>
      <c r="F2629" s="1">
        <v>8</v>
      </c>
      <c r="G2629" s="1">
        <v>0.25599474010499684</v>
      </c>
      <c r="H2629" s="1" t="s">
        <v>143</v>
      </c>
    </row>
    <row r="2630" spans="1:8" x14ac:dyDescent="0.25">
      <c r="A2630" s="1">
        <v>2016</v>
      </c>
      <c r="B2630" s="1">
        <v>224</v>
      </c>
      <c r="C2630" s="15">
        <v>42593</v>
      </c>
      <c r="D2630" s="16">
        <v>0.40416666666666662</v>
      </c>
      <c r="E2630" s="1">
        <v>10</v>
      </c>
      <c r="F2630" s="1">
        <v>9</v>
      </c>
      <c r="G2630" s="1">
        <v>0.2713206906049021</v>
      </c>
      <c r="H2630" s="1" t="s">
        <v>143</v>
      </c>
    </row>
    <row r="2631" spans="1:8" x14ac:dyDescent="0.25">
      <c r="A2631" s="1">
        <v>2016</v>
      </c>
      <c r="B2631" s="1">
        <v>224</v>
      </c>
      <c r="C2631" s="15">
        <v>42593</v>
      </c>
      <c r="D2631" s="16">
        <v>0.41111111111111115</v>
      </c>
      <c r="E2631" s="1">
        <v>10</v>
      </c>
      <c r="F2631" s="1">
        <v>10</v>
      </c>
      <c r="G2631" s="1">
        <v>0.29583453883879313</v>
      </c>
      <c r="H2631" s="1" t="s">
        <v>143</v>
      </c>
    </row>
    <row r="2632" spans="1:8" x14ac:dyDescent="0.25">
      <c r="A2632" s="1">
        <v>2016</v>
      </c>
      <c r="B2632" s="1">
        <v>224</v>
      </c>
      <c r="C2632" s="15">
        <v>42593</v>
      </c>
      <c r="D2632" s="16">
        <v>0.43124999999999997</v>
      </c>
      <c r="E2632" s="1">
        <v>10</v>
      </c>
      <c r="F2632" s="1">
        <v>11</v>
      </c>
      <c r="G2632" s="1">
        <v>0.19658989817983213</v>
      </c>
      <c r="H2632" s="1" t="s">
        <v>144</v>
      </c>
    </row>
    <row r="2633" spans="1:8" x14ac:dyDescent="0.25">
      <c r="A2633" s="1">
        <v>2016</v>
      </c>
      <c r="B2633" s="1">
        <v>224</v>
      </c>
      <c r="C2633" s="15">
        <v>42593</v>
      </c>
      <c r="D2633" s="16">
        <v>0.4375</v>
      </c>
      <c r="E2633" s="1">
        <v>10</v>
      </c>
      <c r="F2633" s="1">
        <v>12</v>
      </c>
      <c r="G2633" s="1">
        <v>0.21872525096692935</v>
      </c>
      <c r="H2633" s="1" t="s">
        <v>144</v>
      </c>
    </row>
    <row r="2634" spans="1:8" x14ac:dyDescent="0.25">
      <c r="A2634" s="1">
        <v>2016</v>
      </c>
      <c r="B2634" s="1">
        <v>224</v>
      </c>
      <c r="C2634" s="15">
        <v>42593</v>
      </c>
      <c r="D2634" s="16">
        <v>0.44444444444444442</v>
      </c>
      <c r="E2634" s="1">
        <v>10</v>
      </c>
      <c r="F2634" s="1">
        <v>13</v>
      </c>
      <c r="G2634" s="1">
        <v>0.22643617975411573</v>
      </c>
      <c r="H2634" s="1" t="s">
        <v>144</v>
      </c>
    </row>
    <row r="2635" spans="1:8" x14ac:dyDescent="0.25">
      <c r="A2635" s="1">
        <v>2016</v>
      </c>
      <c r="B2635" s="1">
        <v>224</v>
      </c>
      <c r="C2635" s="15">
        <v>42593</v>
      </c>
      <c r="D2635" s="16">
        <v>0.45277777777777778</v>
      </c>
      <c r="E2635" s="1">
        <v>10</v>
      </c>
      <c r="F2635" s="1">
        <v>14</v>
      </c>
      <c r="G2635" s="1">
        <v>0.20740821617976524</v>
      </c>
      <c r="H2635" s="1" t="s">
        <v>144</v>
      </c>
    </row>
    <row r="2636" spans="1:8" x14ac:dyDescent="0.25">
      <c r="A2636" s="1">
        <v>2016</v>
      </c>
      <c r="B2636" s="1">
        <v>224</v>
      </c>
      <c r="C2636" s="15">
        <v>42593</v>
      </c>
      <c r="D2636" s="16">
        <v>0.45902777777777781</v>
      </c>
      <c r="E2636" s="1">
        <v>10</v>
      </c>
      <c r="F2636" s="1">
        <v>15</v>
      </c>
      <c r="G2636" s="1">
        <v>0.27887816807294047</v>
      </c>
      <c r="H2636" s="1" t="s">
        <v>1</v>
      </c>
    </row>
    <row r="2637" spans="1:8" x14ac:dyDescent="0.25">
      <c r="A2637" s="1">
        <v>2016</v>
      </c>
      <c r="B2637" s="1">
        <v>224</v>
      </c>
      <c r="C2637" s="15">
        <v>42593</v>
      </c>
      <c r="D2637" s="16">
        <v>0.45902777777777781</v>
      </c>
      <c r="E2637" s="1">
        <v>10</v>
      </c>
      <c r="F2637" s="1">
        <v>16</v>
      </c>
      <c r="G2637" s="1">
        <v>0.27797664157294605</v>
      </c>
      <c r="H2637" s="1" t="s">
        <v>1</v>
      </c>
    </row>
    <row r="2638" spans="1:8" x14ac:dyDescent="0.25">
      <c r="A2638" s="1">
        <v>2016</v>
      </c>
      <c r="B2638" s="1">
        <v>224</v>
      </c>
      <c r="C2638" s="15">
        <v>42593</v>
      </c>
      <c r="D2638" s="16">
        <v>0.47291666666666665</v>
      </c>
      <c r="E2638" s="1">
        <v>10</v>
      </c>
      <c r="F2638" s="1">
        <v>17</v>
      </c>
      <c r="G2638" s="1">
        <v>0.26560462896663956</v>
      </c>
      <c r="H2638" s="1" t="s">
        <v>144</v>
      </c>
    </row>
    <row r="2639" spans="1:8" x14ac:dyDescent="0.25">
      <c r="A2639" s="1">
        <v>2016</v>
      </c>
      <c r="B2639" s="1">
        <v>224</v>
      </c>
      <c r="C2639" s="15">
        <v>42593</v>
      </c>
      <c r="D2639" s="16">
        <v>0.48055555555555557</v>
      </c>
      <c r="E2639" s="1">
        <v>10</v>
      </c>
      <c r="F2639" s="1">
        <v>18</v>
      </c>
      <c r="G2639" s="1">
        <v>0.24028516130722161</v>
      </c>
      <c r="H2639" s="1" t="s">
        <v>144</v>
      </c>
    </row>
    <row r="2640" spans="1:8" x14ac:dyDescent="0.25">
      <c r="A2640" s="1">
        <v>2016</v>
      </c>
      <c r="B2640" s="1">
        <v>224</v>
      </c>
      <c r="C2640" s="15">
        <v>42593</v>
      </c>
      <c r="D2640" s="16">
        <v>0.48749999999999999</v>
      </c>
      <c r="E2640" s="1">
        <v>10</v>
      </c>
      <c r="F2640" s="1">
        <v>19</v>
      </c>
      <c r="G2640" s="1">
        <v>0.25426841276458195</v>
      </c>
      <c r="H2640" s="1" t="s">
        <v>144</v>
      </c>
    </row>
    <row r="2641" spans="1:8" x14ac:dyDescent="0.25">
      <c r="A2641" s="1">
        <v>2016</v>
      </c>
      <c r="B2641" s="1">
        <v>224</v>
      </c>
      <c r="C2641" s="15">
        <v>42593</v>
      </c>
      <c r="D2641" s="16">
        <v>0.49305555555555558</v>
      </c>
      <c r="E2641" s="1">
        <v>10</v>
      </c>
      <c r="F2641" s="1">
        <v>20</v>
      </c>
      <c r="G2641" s="1">
        <v>0.22045157830734419</v>
      </c>
      <c r="H2641" s="1" t="s">
        <v>144</v>
      </c>
    </row>
    <row r="2642" spans="1:8" x14ac:dyDescent="0.25">
      <c r="A2642" s="1">
        <v>2016</v>
      </c>
      <c r="B2642" s="1">
        <v>236</v>
      </c>
      <c r="C2642" s="15">
        <v>42605</v>
      </c>
      <c r="D2642" s="16">
        <v>0.43055555555555558</v>
      </c>
      <c r="E2642" s="1">
        <v>230</v>
      </c>
      <c r="F2642" s="1">
        <v>1</v>
      </c>
      <c r="G2642" s="1">
        <v>0.29663049407581621</v>
      </c>
      <c r="H2642" s="1" t="s">
        <v>143</v>
      </c>
    </row>
    <row r="2643" spans="1:8" x14ac:dyDescent="0.25">
      <c r="A2643" s="1">
        <v>2016</v>
      </c>
      <c r="B2643" s="1">
        <v>236</v>
      </c>
      <c r="C2643" s="15">
        <v>42605</v>
      </c>
      <c r="D2643" s="16">
        <v>0.4381944444444445</v>
      </c>
      <c r="E2643" s="1">
        <v>230</v>
      </c>
      <c r="F2643" s="1">
        <v>2</v>
      </c>
      <c r="G2643" s="1">
        <v>0.29238723197387345</v>
      </c>
      <c r="H2643" s="1" t="s">
        <v>143</v>
      </c>
    </row>
    <row r="2644" spans="1:8" x14ac:dyDescent="0.25">
      <c r="A2644" s="1">
        <v>2016</v>
      </c>
      <c r="B2644" s="1">
        <v>236</v>
      </c>
      <c r="C2644" s="15">
        <v>42605</v>
      </c>
      <c r="D2644" s="16">
        <v>0.41388888888888892</v>
      </c>
      <c r="E2644" s="1">
        <v>230</v>
      </c>
      <c r="F2644" s="1">
        <v>3</v>
      </c>
      <c r="G2644" s="1">
        <v>0.27459667435380142</v>
      </c>
      <c r="H2644" s="1" t="s">
        <v>143</v>
      </c>
    </row>
    <row r="2645" spans="1:8" x14ac:dyDescent="0.25">
      <c r="A2645" s="1">
        <v>2016</v>
      </c>
      <c r="B2645" s="1">
        <v>236</v>
      </c>
      <c r="C2645" s="15">
        <v>42605</v>
      </c>
      <c r="D2645" s="16">
        <v>0.42152777777777778</v>
      </c>
      <c r="E2645" s="1">
        <v>230</v>
      </c>
      <c r="F2645" s="1">
        <v>4</v>
      </c>
      <c r="G2645" s="1">
        <v>0.27444095831336313</v>
      </c>
      <c r="H2645" s="1" t="s">
        <v>143</v>
      </c>
    </row>
    <row r="2646" spans="1:8" x14ac:dyDescent="0.25">
      <c r="A2646" s="1">
        <v>2016</v>
      </c>
      <c r="B2646" s="1">
        <v>236</v>
      </c>
      <c r="C2646" s="15">
        <v>42605</v>
      </c>
      <c r="D2646" s="16">
        <v>0.45833333333333331</v>
      </c>
      <c r="E2646" s="1">
        <v>230</v>
      </c>
      <c r="F2646" s="1">
        <v>5</v>
      </c>
      <c r="G2646" s="1" t="e">
        <v>#N/A</v>
      </c>
      <c r="H2646" s="1" t="s">
        <v>0</v>
      </c>
    </row>
    <row r="2647" spans="1:8" x14ac:dyDescent="0.25">
      <c r="A2647" s="1">
        <v>2016</v>
      </c>
      <c r="B2647" s="1">
        <v>236</v>
      </c>
      <c r="C2647" s="15">
        <v>42605</v>
      </c>
      <c r="D2647" s="16">
        <v>0.45833333333333331</v>
      </c>
      <c r="E2647" s="1">
        <v>230</v>
      </c>
      <c r="F2647" s="1">
        <v>6</v>
      </c>
      <c r="G2647" s="1" t="e">
        <v>#N/A</v>
      </c>
      <c r="H2647" s="1" t="s">
        <v>0</v>
      </c>
    </row>
    <row r="2648" spans="1:8" x14ac:dyDescent="0.25">
      <c r="A2648" s="1">
        <v>2016</v>
      </c>
      <c r="B2648" s="1">
        <v>236</v>
      </c>
      <c r="C2648" s="15">
        <v>42605</v>
      </c>
      <c r="D2648" s="16">
        <v>0.46597222222222223</v>
      </c>
      <c r="E2648" s="1">
        <v>230</v>
      </c>
      <c r="F2648" s="1">
        <v>7</v>
      </c>
      <c r="G2648" s="1">
        <v>0.27323415899996661</v>
      </c>
      <c r="H2648" s="1" t="s">
        <v>143</v>
      </c>
    </row>
    <row r="2649" spans="1:8" x14ac:dyDescent="0.25">
      <c r="A2649" s="1">
        <v>2016</v>
      </c>
      <c r="B2649" s="1">
        <v>236</v>
      </c>
      <c r="C2649" s="15">
        <v>42605</v>
      </c>
      <c r="D2649" s="16">
        <v>0.48680555555555555</v>
      </c>
      <c r="E2649" s="1">
        <v>230</v>
      </c>
      <c r="F2649" s="1">
        <v>8</v>
      </c>
      <c r="G2649" s="1">
        <v>0.30735543636100188</v>
      </c>
      <c r="H2649" s="1" t="s">
        <v>143</v>
      </c>
    </row>
    <row r="2650" spans="1:8" x14ac:dyDescent="0.25">
      <c r="A2650" s="1">
        <v>2016</v>
      </c>
      <c r="B2650" s="1">
        <v>236</v>
      </c>
      <c r="C2650" s="15">
        <v>42605</v>
      </c>
      <c r="D2650" s="16">
        <v>0.47986111111111113</v>
      </c>
      <c r="E2650" s="1">
        <v>230</v>
      </c>
      <c r="F2650" s="1">
        <v>9</v>
      </c>
      <c r="G2650" s="1">
        <v>0.30058178860193724</v>
      </c>
      <c r="H2650" s="1" t="s">
        <v>143</v>
      </c>
    </row>
    <row r="2651" spans="1:8" x14ac:dyDescent="0.25">
      <c r="A2651" s="1">
        <v>2016</v>
      </c>
      <c r="B2651" s="1">
        <v>236</v>
      </c>
      <c r="C2651" s="15">
        <v>42605</v>
      </c>
      <c r="D2651" s="16">
        <v>0.47291666666666665</v>
      </c>
      <c r="E2651" s="1">
        <v>230</v>
      </c>
      <c r="F2651" s="1">
        <v>10</v>
      </c>
      <c r="G2651" s="1">
        <v>0.26254814572489055</v>
      </c>
      <c r="H2651" s="1" t="s">
        <v>143</v>
      </c>
    </row>
    <row r="2652" spans="1:8" x14ac:dyDescent="0.25">
      <c r="A2652" s="1">
        <v>2016</v>
      </c>
      <c r="B2652" s="1">
        <v>236</v>
      </c>
      <c r="C2652" s="15">
        <v>42605</v>
      </c>
      <c r="D2652" s="16">
        <v>0.57708333333333328</v>
      </c>
      <c r="E2652" s="1">
        <v>230</v>
      </c>
      <c r="F2652" s="1">
        <v>11</v>
      </c>
      <c r="G2652" s="1">
        <v>0.28853325997302631</v>
      </c>
      <c r="H2652" s="1" t="s">
        <v>144</v>
      </c>
    </row>
    <row r="2653" spans="1:8" x14ac:dyDescent="0.25">
      <c r="A2653" s="1">
        <v>2016</v>
      </c>
      <c r="B2653" s="1">
        <v>236</v>
      </c>
      <c r="C2653" s="15">
        <v>42605</v>
      </c>
      <c r="D2653" s="16">
        <v>0.59097222222222223</v>
      </c>
      <c r="E2653" s="1">
        <v>230</v>
      </c>
      <c r="F2653" s="1">
        <v>12</v>
      </c>
      <c r="G2653" s="1">
        <v>0.29127775518575083</v>
      </c>
      <c r="H2653" s="1" t="s">
        <v>144</v>
      </c>
    </row>
    <row r="2654" spans="1:8" x14ac:dyDescent="0.25">
      <c r="A2654" s="1">
        <v>2016</v>
      </c>
      <c r="B2654" s="1">
        <v>236</v>
      </c>
      <c r="C2654" s="15">
        <v>42605</v>
      </c>
      <c r="D2654" s="16">
        <v>0.59930555555555554</v>
      </c>
      <c r="E2654" s="1">
        <v>230</v>
      </c>
      <c r="F2654" s="1">
        <v>13</v>
      </c>
      <c r="G2654" s="1">
        <v>0.28384231425482354</v>
      </c>
      <c r="H2654" s="1" t="s">
        <v>144</v>
      </c>
    </row>
    <row r="2655" spans="1:8" x14ac:dyDescent="0.25">
      <c r="A2655" s="1">
        <v>2016</v>
      </c>
      <c r="B2655" s="1">
        <v>236</v>
      </c>
      <c r="C2655" s="15">
        <v>42605</v>
      </c>
      <c r="D2655" s="16">
        <v>0.56944444444444442</v>
      </c>
      <c r="E2655" s="1">
        <v>230</v>
      </c>
      <c r="F2655" s="1">
        <v>14</v>
      </c>
      <c r="G2655" s="1">
        <v>0.28049441938540076</v>
      </c>
      <c r="H2655" s="1" t="s">
        <v>144</v>
      </c>
    </row>
    <row r="2656" spans="1:8" x14ac:dyDescent="0.25">
      <c r="A2656" s="1">
        <v>2016</v>
      </c>
      <c r="B2656" s="1">
        <v>236</v>
      </c>
      <c r="C2656" s="15">
        <v>42605</v>
      </c>
      <c r="D2656" s="16">
        <v>0.5625</v>
      </c>
      <c r="E2656" s="1">
        <v>230</v>
      </c>
      <c r="F2656" s="1">
        <v>15</v>
      </c>
      <c r="G2656" s="1" t="e">
        <v>#N/A</v>
      </c>
      <c r="H2656" s="1" t="s">
        <v>1</v>
      </c>
    </row>
    <row r="2657" spans="1:8" x14ac:dyDescent="0.25">
      <c r="A2657" s="1">
        <v>2016</v>
      </c>
      <c r="B2657" s="1">
        <v>236</v>
      </c>
      <c r="C2657" s="15">
        <v>42605</v>
      </c>
      <c r="D2657" s="16">
        <v>0.5625</v>
      </c>
      <c r="E2657" s="1">
        <v>230</v>
      </c>
      <c r="F2657" s="1">
        <v>16</v>
      </c>
      <c r="G2657" s="1" t="e">
        <v>#N/A</v>
      </c>
      <c r="H2657" s="1" t="s">
        <v>1</v>
      </c>
    </row>
    <row r="2658" spans="1:8" x14ac:dyDescent="0.25">
      <c r="A2658" s="1">
        <v>2016</v>
      </c>
      <c r="B2658" s="1">
        <v>236</v>
      </c>
      <c r="C2658" s="15">
        <v>42605</v>
      </c>
      <c r="D2658" s="16">
        <v>0.55069444444444449</v>
      </c>
      <c r="E2658" s="1">
        <v>230</v>
      </c>
      <c r="F2658" s="1">
        <v>17</v>
      </c>
      <c r="G2658" s="1">
        <v>0.29571566233824137</v>
      </c>
      <c r="H2658" s="1" t="s">
        <v>144</v>
      </c>
    </row>
    <row r="2659" spans="1:8" x14ac:dyDescent="0.25">
      <c r="A2659" s="1">
        <v>2016</v>
      </c>
      <c r="B2659" s="1">
        <v>236</v>
      </c>
      <c r="C2659" s="15">
        <v>42605</v>
      </c>
      <c r="D2659" s="16">
        <v>0.54305555555555551</v>
      </c>
      <c r="E2659" s="1">
        <v>230</v>
      </c>
      <c r="F2659" s="1">
        <v>18</v>
      </c>
      <c r="G2659" s="1">
        <v>0.2960465589241727</v>
      </c>
      <c r="H2659" s="1" t="s">
        <v>144</v>
      </c>
    </row>
    <row r="2660" spans="1:8" x14ac:dyDescent="0.25">
      <c r="A2660" s="1">
        <v>2016</v>
      </c>
      <c r="B2660" s="1">
        <v>236</v>
      </c>
      <c r="C2660" s="15">
        <v>42605</v>
      </c>
      <c r="D2660" s="16">
        <v>0.53611111111111109</v>
      </c>
      <c r="E2660" s="1">
        <v>230</v>
      </c>
      <c r="F2660" s="1">
        <v>19</v>
      </c>
      <c r="G2660" s="1">
        <v>0.28333623712339917</v>
      </c>
      <c r="H2660" s="1" t="s">
        <v>144</v>
      </c>
    </row>
    <row r="2661" spans="1:8" x14ac:dyDescent="0.25">
      <c r="A2661" s="1">
        <v>2016</v>
      </c>
      <c r="B2661" s="1">
        <v>236</v>
      </c>
      <c r="C2661" s="15">
        <v>42605</v>
      </c>
      <c r="D2661" s="16">
        <v>0.52847222222222223</v>
      </c>
      <c r="E2661" s="1">
        <v>230</v>
      </c>
      <c r="F2661" s="1">
        <v>20</v>
      </c>
      <c r="G2661" s="1">
        <v>0.29879105413689716</v>
      </c>
      <c r="H2661" s="1" t="s">
        <v>144</v>
      </c>
    </row>
    <row r="2662" spans="1:8" x14ac:dyDescent="0.25">
      <c r="A2662" s="1">
        <v>2016</v>
      </c>
      <c r="B2662" s="1">
        <v>236</v>
      </c>
      <c r="C2662" s="15">
        <v>42605</v>
      </c>
      <c r="D2662" s="16">
        <v>0.43055555555555558</v>
      </c>
      <c r="E2662" s="1">
        <v>210</v>
      </c>
      <c r="F2662" s="1">
        <v>1</v>
      </c>
      <c r="G2662" s="1">
        <v>0.28641162892205496</v>
      </c>
      <c r="H2662" s="1" t="s">
        <v>143</v>
      </c>
    </row>
    <row r="2663" spans="1:8" x14ac:dyDescent="0.25">
      <c r="A2663" s="1">
        <v>2016</v>
      </c>
      <c r="B2663" s="1">
        <v>236</v>
      </c>
      <c r="C2663" s="15">
        <v>42605</v>
      </c>
      <c r="D2663" s="16">
        <v>0.4381944444444445</v>
      </c>
      <c r="E2663" s="1">
        <v>210</v>
      </c>
      <c r="F2663" s="1">
        <v>2</v>
      </c>
      <c r="G2663" s="1">
        <v>0.29429475346924222</v>
      </c>
      <c r="H2663" s="1" t="s">
        <v>143</v>
      </c>
    </row>
    <row r="2664" spans="1:8" x14ac:dyDescent="0.25">
      <c r="A2664" s="1">
        <v>2016</v>
      </c>
      <c r="B2664" s="1">
        <v>236</v>
      </c>
      <c r="C2664" s="15">
        <v>42605</v>
      </c>
      <c r="D2664" s="16">
        <v>0.41388888888888892</v>
      </c>
      <c r="E2664" s="1">
        <v>210</v>
      </c>
      <c r="F2664" s="1">
        <v>3</v>
      </c>
      <c r="G2664" s="1">
        <v>0.26815392318066816</v>
      </c>
      <c r="H2664" s="1" t="s">
        <v>143</v>
      </c>
    </row>
    <row r="2665" spans="1:8" x14ac:dyDescent="0.25">
      <c r="A2665" s="1">
        <v>2016</v>
      </c>
      <c r="B2665" s="1">
        <v>236</v>
      </c>
      <c r="C2665" s="15">
        <v>42605</v>
      </c>
      <c r="D2665" s="16">
        <v>0.42152777777777778</v>
      </c>
      <c r="E2665" s="1">
        <v>210</v>
      </c>
      <c r="F2665" s="1">
        <v>4</v>
      </c>
      <c r="G2665" s="1">
        <v>0.28532161663898709</v>
      </c>
      <c r="H2665" s="1" t="s">
        <v>143</v>
      </c>
    </row>
    <row r="2666" spans="1:8" x14ac:dyDescent="0.25">
      <c r="A2666" s="1">
        <v>2016</v>
      </c>
      <c r="B2666" s="1">
        <v>236</v>
      </c>
      <c r="C2666" s="15">
        <v>42605</v>
      </c>
      <c r="D2666" s="16">
        <v>0.45833333333333331</v>
      </c>
      <c r="E2666" s="1">
        <v>210</v>
      </c>
      <c r="F2666" s="1">
        <v>5</v>
      </c>
      <c r="G2666" s="1" t="e">
        <v>#N/A</v>
      </c>
      <c r="H2666" s="1" t="s">
        <v>0</v>
      </c>
    </row>
    <row r="2667" spans="1:8" x14ac:dyDescent="0.25">
      <c r="A2667" s="1">
        <v>2016</v>
      </c>
      <c r="B2667" s="1">
        <v>236</v>
      </c>
      <c r="C2667" s="15">
        <v>42605</v>
      </c>
      <c r="D2667" s="16">
        <v>0.45833333333333331</v>
      </c>
      <c r="E2667" s="1">
        <v>210</v>
      </c>
      <c r="F2667" s="1">
        <v>6</v>
      </c>
      <c r="G2667" s="1" t="e">
        <v>#N/A</v>
      </c>
      <c r="H2667" s="1" t="s">
        <v>0</v>
      </c>
    </row>
    <row r="2668" spans="1:8" x14ac:dyDescent="0.25">
      <c r="A2668" s="1">
        <v>2016</v>
      </c>
      <c r="B2668" s="1">
        <v>236</v>
      </c>
      <c r="C2668" s="15">
        <v>42605</v>
      </c>
      <c r="D2668" s="16">
        <v>0.46597222222222223</v>
      </c>
      <c r="E2668" s="1">
        <v>210</v>
      </c>
      <c r="F2668" s="1">
        <v>7</v>
      </c>
      <c r="G2668" s="1">
        <v>0.26955536754461257</v>
      </c>
      <c r="H2668" s="1" t="s">
        <v>143</v>
      </c>
    </row>
    <row r="2669" spans="1:8" x14ac:dyDescent="0.25">
      <c r="A2669" s="1">
        <v>2016</v>
      </c>
      <c r="B2669" s="1">
        <v>236</v>
      </c>
      <c r="C2669" s="15">
        <v>42605</v>
      </c>
      <c r="D2669" s="16">
        <v>0.48680555555555555</v>
      </c>
      <c r="E2669" s="1">
        <v>210</v>
      </c>
      <c r="F2669" s="1">
        <v>8</v>
      </c>
      <c r="G2669" s="1">
        <v>0.3033262838146617</v>
      </c>
      <c r="H2669" s="1" t="s">
        <v>143</v>
      </c>
    </row>
    <row r="2670" spans="1:8" x14ac:dyDescent="0.25">
      <c r="A2670" s="1">
        <v>2016</v>
      </c>
      <c r="B2670" s="1">
        <v>236</v>
      </c>
      <c r="C2670" s="15">
        <v>42605</v>
      </c>
      <c r="D2670" s="16">
        <v>0.47986111111111113</v>
      </c>
      <c r="E2670" s="1">
        <v>210</v>
      </c>
      <c r="F2670" s="1">
        <v>9</v>
      </c>
      <c r="G2670" s="1">
        <v>0.2902072074077377</v>
      </c>
      <c r="H2670" s="1" t="s">
        <v>143</v>
      </c>
    </row>
    <row r="2671" spans="1:8" x14ac:dyDescent="0.25">
      <c r="A2671" s="1">
        <v>2016</v>
      </c>
      <c r="B2671" s="1">
        <v>236</v>
      </c>
      <c r="C2671" s="15">
        <v>42605</v>
      </c>
      <c r="D2671" s="16">
        <v>0.47291666666666665</v>
      </c>
      <c r="E2671" s="1">
        <v>210</v>
      </c>
      <c r="F2671" s="1">
        <v>10</v>
      </c>
      <c r="G2671" s="1">
        <v>0.25694236826911293</v>
      </c>
      <c r="H2671" s="1" t="s">
        <v>143</v>
      </c>
    </row>
    <row r="2672" spans="1:8" x14ac:dyDescent="0.25">
      <c r="A2672" s="1">
        <v>2016</v>
      </c>
      <c r="B2672" s="1">
        <v>236</v>
      </c>
      <c r="C2672" s="15">
        <v>42605</v>
      </c>
      <c r="D2672" s="16">
        <v>0.57708333333333328</v>
      </c>
      <c r="E2672" s="1">
        <v>210</v>
      </c>
      <c r="F2672" s="1">
        <v>11</v>
      </c>
      <c r="G2672" s="1">
        <v>0.29921927324810244</v>
      </c>
      <c r="H2672" s="1" t="s">
        <v>144</v>
      </c>
    </row>
    <row r="2673" spans="1:8" x14ac:dyDescent="0.25">
      <c r="A2673" s="1">
        <v>2016</v>
      </c>
      <c r="B2673" s="1">
        <v>236</v>
      </c>
      <c r="C2673" s="15">
        <v>42605</v>
      </c>
      <c r="D2673" s="16">
        <v>0.59097222222222223</v>
      </c>
      <c r="E2673" s="1">
        <v>210</v>
      </c>
      <c r="F2673" s="1">
        <v>12</v>
      </c>
      <c r="G2673" s="1">
        <v>0.30464987015838696</v>
      </c>
      <c r="H2673" s="1" t="s">
        <v>144</v>
      </c>
    </row>
    <row r="2674" spans="1:8" x14ac:dyDescent="0.25">
      <c r="A2674" s="1">
        <v>2016</v>
      </c>
      <c r="B2674" s="1">
        <v>236</v>
      </c>
      <c r="C2674" s="15">
        <v>42605</v>
      </c>
      <c r="D2674" s="16">
        <v>0.59930555555555554</v>
      </c>
      <c r="E2674" s="1">
        <v>210</v>
      </c>
      <c r="F2674" s="1">
        <v>13</v>
      </c>
      <c r="G2674" s="1">
        <v>0.28711235110402716</v>
      </c>
      <c r="H2674" s="1" t="s">
        <v>144</v>
      </c>
    </row>
    <row r="2675" spans="1:8" x14ac:dyDescent="0.25">
      <c r="A2675" s="1">
        <v>2016</v>
      </c>
      <c r="B2675" s="1">
        <v>236</v>
      </c>
      <c r="C2675" s="15">
        <v>42605</v>
      </c>
      <c r="D2675" s="16">
        <v>0.56944444444444442</v>
      </c>
      <c r="E2675" s="1">
        <v>210</v>
      </c>
      <c r="F2675" s="1">
        <v>14</v>
      </c>
      <c r="G2675" s="1">
        <v>0.27066484433273519</v>
      </c>
      <c r="H2675" s="1" t="s">
        <v>144</v>
      </c>
    </row>
    <row r="2676" spans="1:8" x14ac:dyDescent="0.25">
      <c r="A2676" s="1">
        <v>2016</v>
      </c>
      <c r="B2676" s="1">
        <v>236</v>
      </c>
      <c r="C2676" s="15">
        <v>42605</v>
      </c>
      <c r="D2676" s="16">
        <v>0.5625</v>
      </c>
      <c r="E2676" s="1">
        <v>210</v>
      </c>
      <c r="F2676" s="1">
        <v>15</v>
      </c>
      <c r="G2676" s="1" t="e">
        <v>#N/A</v>
      </c>
      <c r="H2676" s="1" t="s">
        <v>1</v>
      </c>
    </row>
    <row r="2677" spans="1:8" x14ac:dyDescent="0.25">
      <c r="A2677" s="1">
        <v>2016</v>
      </c>
      <c r="B2677" s="1">
        <v>236</v>
      </c>
      <c r="C2677" s="15">
        <v>42605</v>
      </c>
      <c r="D2677" s="16">
        <v>0.5625</v>
      </c>
      <c r="E2677" s="1">
        <v>210</v>
      </c>
      <c r="F2677" s="1">
        <v>16</v>
      </c>
      <c r="G2677" s="1" t="e">
        <v>#N/A</v>
      </c>
      <c r="H2677" s="1" t="s">
        <v>1</v>
      </c>
    </row>
    <row r="2678" spans="1:8" x14ac:dyDescent="0.25">
      <c r="A2678" s="1">
        <v>2016</v>
      </c>
      <c r="B2678" s="1">
        <v>236</v>
      </c>
      <c r="C2678" s="15">
        <v>42605</v>
      </c>
      <c r="D2678" s="16">
        <v>0.55069444444444449</v>
      </c>
      <c r="E2678" s="1">
        <v>210</v>
      </c>
      <c r="F2678" s="1">
        <v>17</v>
      </c>
      <c r="G2678" s="1">
        <v>0.30091268518786857</v>
      </c>
      <c r="H2678" s="1" t="s">
        <v>144</v>
      </c>
    </row>
    <row r="2679" spans="1:8" x14ac:dyDescent="0.25">
      <c r="A2679" s="1">
        <v>2016</v>
      </c>
      <c r="B2679" s="1">
        <v>236</v>
      </c>
      <c r="C2679" s="15">
        <v>42605</v>
      </c>
      <c r="D2679" s="16">
        <v>0.54305555555555551</v>
      </c>
      <c r="E2679" s="1">
        <v>210</v>
      </c>
      <c r="F2679" s="1">
        <v>18</v>
      </c>
      <c r="G2679" s="1">
        <v>0.29820711898525365</v>
      </c>
      <c r="H2679" s="1" t="s">
        <v>144</v>
      </c>
    </row>
    <row r="2680" spans="1:8" x14ac:dyDescent="0.25">
      <c r="A2680" s="1">
        <v>2016</v>
      </c>
      <c r="B2680" s="1">
        <v>236</v>
      </c>
      <c r="C2680" s="15">
        <v>42605</v>
      </c>
      <c r="D2680" s="16">
        <v>0.53611111111111109</v>
      </c>
      <c r="E2680" s="1">
        <v>210</v>
      </c>
      <c r="F2680" s="1">
        <v>19</v>
      </c>
      <c r="G2680" s="1">
        <v>0.29265973504464038</v>
      </c>
      <c r="H2680" s="1" t="s">
        <v>144</v>
      </c>
    </row>
    <row r="2681" spans="1:8" x14ac:dyDescent="0.25">
      <c r="A2681" s="1">
        <v>2016</v>
      </c>
      <c r="B2681" s="1">
        <v>236</v>
      </c>
      <c r="C2681" s="15">
        <v>42605</v>
      </c>
      <c r="D2681" s="16">
        <v>0.52847222222222223</v>
      </c>
      <c r="E2681" s="1">
        <v>210</v>
      </c>
      <c r="F2681" s="1">
        <v>20</v>
      </c>
      <c r="G2681" s="1">
        <v>0.29287384460024302</v>
      </c>
      <c r="H2681" s="1" t="s">
        <v>144</v>
      </c>
    </row>
    <row r="2682" spans="1:8" x14ac:dyDescent="0.25">
      <c r="A2682" s="1">
        <v>2016</v>
      </c>
      <c r="B2682" s="1">
        <v>236</v>
      </c>
      <c r="C2682" s="15">
        <v>42605</v>
      </c>
      <c r="D2682" s="16">
        <v>0.43055555555555558</v>
      </c>
      <c r="E2682" s="1">
        <v>190</v>
      </c>
      <c r="F2682" s="1">
        <v>1</v>
      </c>
      <c r="G2682" s="1">
        <v>0.27619276376829371</v>
      </c>
      <c r="H2682" s="1" t="s">
        <v>143</v>
      </c>
    </row>
    <row r="2683" spans="1:8" x14ac:dyDescent="0.25">
      <c r="A2683" s="1">
        <v>2016</v>
      </c>
      <c r="B2683" s="1">
        <v>236</v>
      </c>
      <c r="C2683" s="15">
        <v>42605</v>
      </c>
      <c r="D2683" s="16">
        <v>0.4381944444444445</v>
      </c>
      <c r="E2683" s="1">
        <v>190</v>
      </c>
      <c r="F2683" s="1">
        <v>2</v>
      </c>
      <c r="G2683" s="1">
        <v>0.29003202686224466</v>
      </c>
      <c r="H2683" s="1" t="s">
        <v>143</v>
      </c>
    </row>
    <row r="2684" spans="1:8" x14ac:dyDescent="0.25">
      <c r="A2684" s="1">
        <v>2016</v>
      </c>
      <c r="B2684" s="1">
        <v>236</v>
      </c>
      <c r="C2684" s="15">
        <v>42605</v>
      </c>
      <c r="D2684" s="16">
        <v>0.41388888888888892</v>
      </c>
      <c r="E2684" s="1">
        <v>190</v>
      </c>
      <c r="F2684" s="1">
        <v>3</v>
      </c>
      <c r="G2684" s="1">
        <v>0.28925344666005331</v>
      </c>
      <c r="H2684" s="1" t="s">
        <v>143</v>
      </c>
    </row>
    <row r="2685" spans="1:8" x14ac:dyDescent="0.25">
      <c r="A2685" s="1">
        <v>2016</v>
      </c>
      <c r="B2685" s="1">
        <v>236</v>
      </c>
      <c r="C2685" s="15">
        <v>42605</v>
      </c>
      <c r="D2685" s="16">
        <v>0.42152777777777778</v>
      </c>
      <c r="E2685" s="1">
        <v>190</v>
      </c>
      <c r="F2685" s="1">
        <v>4</v>
      </c>
      <c r="G2685" s="1">
        <v>0.29275705756991433</v>
      </c>
      <c r="H2685" s="1" t="s">
        <v>143</v>
      </c>
    </row>
    <row r="2686" spans="1:8" x14ac:dyDescent="0.25">
      <c r="A2686" s="1">
        <v>2016</v>
      </c>
      <c r="B2686" s="1">
        <v>236</v>
      </c>
      <c r="C2686" s="15">
        <v>42605</v>
      </c>
      <c r="D2686" s="16">
        <v>0.45833333333333331</v>
      </c>
      <c r="E2686" s="1">
        <v>190</v>
      </c>
      <c r="F2686" s="1">
        <v>5</v>
      </c>
      <c r="G2686" s="1">
        <v>0.33252304139683675</v>
      </c>
      <c r="H2686" s="1" t="s">
        <v>0</v>
      </c>
    </row>
    <row r="2687" spans="1:8" x14ac:dyDescent="0.25">
      <c r="A2687" s="1">
        <v>2016</v>
      </c>
      <c r="B2687" s="1">
        <v>236</v>
      </c>
      <c r="C2687" s="15">
        <v>42605</v>
      </c>
      <c r="D2687" s="16">
        <v>0.45833333333333331</v>
      </c>
      <c r="E2687" s="1">
        <v>190</v>
      </c>
      <c r="F2687" s="1">
        <v>6</v>
      </c>
      <c r="G2687" s="1">
        <v>0.34826982598615652</v>
      </c>
      <c r="H2687" s="1" t="s">
        <v>0</v>
      </c>
    </row>
    <row r="2688" spans="1:8" x14ac:dyDescent="0.25">
      <c r="A2688" s="1">
        <v>2016</v>
      </c>
      <c r="B2688" s="1">
        <v>236</v>
      </c>
      <c r="C2688" s="15">
        <v>42605</v>
      </c>
      <c r="D2688" s="16">
        <v>0.46597222222222223</v>
      </c>
      <c r="E2688" s="1">
        <v>190</v>
      </c>
      <c r="F2688" s="1">
        <v>7</v>
      </c>
      <c r="G2688" s="1">
        <v>0.27872314942541554</v>
      </c>
      <c r="H2688" s="1" t="s">
        <v>143</v>
      </c>
    </row>
    <row r="2689" spans="1:8" x14ac:dyDescent="0.25">
      <c r="A2689" s="1">
        <v>2016</v>
      </c>
      <c r="B2689" s="1">
        <v>236</v>
      </c>
      <c r="C2689" s="15">
        <v>42605</v>
      </c>
      <c r="D2689" s="16">
        <v>0.48680555555555555</v>
      </c>
      <c r="E2689" s="1">
        <v>190</v>
      </c>
      <c r="F2689" s="1">
        <v>8</v>
      </c>
      <c r="G2689" s="1">
        <v>0.29592977189384401</v>
      </c>
      <c r="H2689" s="1" t="s">
        <v>143</v>
      </c>
    </row>
    <row r="2690" spans="1:8" x14ac:dyDescent="0.25">
      <c r="A2690" s="1">
        <v>2016</v>
      </c>
      <c r="B2690" s="1">
        <v>236</v>
      </c>
      <c r="C2690" s="15">
        <v>42605</v>
      </c>
      <c r="D2690" s="16">
        <v>0.47986111111111113</v>
      </c>
      <c r="E2690" s="1">
        <v>190</v>
      </c>
      <c r="F2690" s="1">
        <v>9</v>
      </c>
      <c r="G2690" s="1">
        <v>0.28076692245616774</v>
      </c>
      <c r="H2690" s="1" t="s">
        <v>143</v>
      </c>
    </row>
    <row r="2691" spans="1:8" x14ac:dyDescent="0.25">
      <c r="A2691" s="1">
        <v>2016</v>
      </c>
      <c r="B2691" s="1">
        <v>236</v>
      </c>
      <c r="C2691" s="15">
        <v>42605</v>
      </c>
      <c r="D2691" s="16">
        <v>0.47291666666666665</v>
      </c>
      <c r="E2691" s="1">
        <v>190</v>
      </c>
      <c r="F2691" s="1">
        <v>10</v>
      </c>
      <c r="G2691" s="1">
        <v>0.2850685780732749</v>
      </c>
      <c r="H2691" s="1" t="s">
        <v>143</v>
      </c>
    </row>
    <row r="2692" spans="1:8" x14ac:dyDescent="0.25">
      <c r="A2692" s="1">
        <v>2016</v>
      </c>
      <c r="B2692" s="1">
        <v>236</v>
      </c>
      <c r="C2692" s="15">
        <v>42605</v>
      </c>
      <c r="D2692" s="16">
        <v>0.57708333333333328</v>
      </c>
      <c r="E2692" s="1">
        <v>190</v>
      </c>
      <c r="F2692" s="1">
        <v>11</v>
      </c>
      <c r="G2692" s="1">
        <v>0.30414379302696259</v>
      </c>
      <c r="H2692" s="1" t="s">
        <v>144</v>
      </c>
    </row>
    <row r="2693" spans="1:8" x14ac:dyDescent="0.25">
      <c r="A2693" s="1">
        <v>2016</v>
      </c>
      <c r="B2693" s="1">
        <v>236</v>
      </c>
      <c r="C2693" s="15">
        <v>42605</v>
      </c>
      <c r="D2693" s="16">
        <v>0.59097222222222223</v>
      </c>
      <c r="E2693" s="1">
        <v>190</v>
      </c>
      <c r="F2693" s="1">
        <v>12</v>
      </c>
      <c r="G2693" s="1">
        <v>0.30862062918956279</v>
      </c>
      <c r="H2693" s="1" t="s">
        <v>144</v>
      </c>
    </row>
    <row r="2694" spans="1:8" x14ac:dyDescent="0.25">
      <c r="A2694" s="1">
        <v>2016</v>
      </c>
      <c r="B2694" s="1">
        <v>236</v>
      </c>
      <c r="C2694" s="15">
        <v>42605</v>
      </c>
      <c r="D2694" s="16">
        <v>0.59930555555555554</v>
      </c>
      <c r="E2694" s="1">
        <v>190</v>
      </c>
      <c r="F2694" s="1">
        <v>13</v>
      </c>
      <c r="G2694" s="1">
        <v>0.28691770605347933</v>
      </c>
      <c r="H2694" s="1" t="s">
        <v>144</v>
      </c>
    </row>
    <row r="2695" spans="1:8" x14ac:dyDescent="0.25">
      <c r="A2695" s="1">
        <v>2016</v>
      </c>
      <c r="B2695" s="1">
        <v>236</v>
      </c>
      <c r="C2695" s="15">
        <v>42605</v>
      </c>
      <c r="D2695" s="16">
        <v>0.56944444444444442</v>
      </c>
      <c r="E2695" s="1">
        <v>190</v>
      </c>
      <c r="F2695" s="1">
        <v>14</v>
      </c>
      <c r="G2695" s="1">
        <v>0.29565726882307708</v>
      </c>
      <c r="H2695" s="1" t="s">
        <v>144</v>
      </c>
    </row>
    <row r="2696" spans="1:8" x14ac:dyDescent="0.25">
      <c r="A2696" s="1">
        <v>2016</v>
      </c>
      <c r="B2696" s="1">
        <v>236</v>
      </c>
      <c r="C2696" s="15">
        <v>42605</v>
      </c>
      <c r="D2696" s="16">
        <v>0.5625</v>
      </c>
      <c r="E2696" s="1">
        <v>190</v>
      </c>
      <c r="F2696" s="1">
        <v>15</v>
      </c>
      <c r="G2696" s="1">
        <v>0.34941823178438874</v>
      </c>
      <c r="H2696" s="1" t="s">
        <v>1</v>
      </c>
    </row>
    <row r="2697" spans="1:8" x14ac:dyDescent="0.25">
      <c r="A2697" s="1">
        <v>2016</v>
      </c>
      <c r="B2697" s="1">
        <v>236</v>
      </c>
      <c r="C2697" s="15">
        <v>42605</v>
      </c>
      <c r="D2697" s="16">
        <v>0.5625</v>
      </c>
      <c r="E2697" s="1">
        <v>190</v>
      </c>
      <c r="F2697" s="1">
        <v>16</v>
      </c>
      <c r="G2697" s="1">
        <v>0.34025044990358572</v>
      </c>
      <c r="H2697" s="1" t="s">
        <v>1</v>
      </c>
    </row>
    <row r="2698" spans="1:8" x14ac:dyDescent="0.25">
      <c r="A2698" s="1">
        <v>2016</v>
      </c>
      <c r="B2698" s="1">
        <v>236</v>
      </c>
      <c r="C2698" s="15">
        <v>42605</v>
      </c>
      <c r="D2698" s="16">
        <v>0.55069444444444449</v>
      </c>
      <c r="E2698" s="1">
        <v>190</v>
      </c>
      <c r="F2698" s="1">
        <v>17</v>
      </c>
      <c r="G2698" s="1">
        <v>0.3164064312114761</v>
      </c>
      <c r="H2698" s="1" t="s">
        <v>144</v>
      </c>
    </row>
    <row r="2699" spans="1:8" x14ac:dyDescent="0.25">
      <c r="A2699" s="1">
        <v>2016</v>
      </c>
      <c r="B2699" s="1">
        <v>236</v>
      </c>
      <c r="C2699" s="15">
        <v>42605</v>
      </c>
      <c r="D2699" s="16">
        <v>0.54305555555555551</v>
      </c>
      <c r="E2699" s="1">
        <v>190</v>
      </c>
      <c r="F2699" s="1">
        <v>18</v>
      </c>
      <c r="G2699" s="1">
        <v>0.30887366775527497</v>
      </c>
      <c r="H2699" s="1" t="s">
        <v>144</v>
      </c>
    </row>
    <row r="2700" spans="1:8" x14ac:dyDescent="0.25">
      <c r="A2700" s="1">
        <v>2016</v>
      </c>
      <c r="B2700" s="1">
        <v>236</v>
      </c>
      <c r="C2700" s="15">
        <v>42605</v>
      </c>
      <c r="D2700" s="16">
        <v>0.53611111111111109</v>
      </c>
      <c r="E2700" s="1">
        <v>190</v>
      </c>
      <c r="F2700" s="1">
        <v>19</v>
      </c>
      <c r="G2700" s="1">
        <v>0.2990440927026094</v>
      </c>
      <c r="H2700" s="1" t="s">
        <v>144</v>
      </c>
    </row>
    <row r="2701" spans="1:8" x14ac:dyDescent="0.25">
      <c r="A2701" s="1">
        <v>2016</v>
      </c>
      <c r="B2701" s="1">
        <v>236</v>
      </c>
      <c r="C2701" s="15">
        <v>42605</v>
      </c>
      <c r="D2701" s="16">
        <v>0.52847222222222223</v>
      </c>
      <c r="E2701" s="1">
        <v>190</v>
      </c>
      <c r="F2701" s="1">
        <v>20</v>
      </c>
      <c r="G2701" s="1">
        <v>0.29519012070176226</v>
      </c>
      <c r="H2701" s="1" t="s">
        <v>144</v>
      </c>
    </row>
    <row r="2702" spans="1:8" x14ac:dyDescent="0.25">
      <c r="A2702" s="1">
        <v>2016</v>
      </c>
      <c r="B2702" s="1">
        <v>236</v>
      </c>
      <c r="C2702" s="15">
        <v>42605</v>
      </c>
      <c r="D2702" s="16">
        <v>0.43055555555555558</v>
      </c>
      <c r="E2702" s="1">
        <v>170</v>
      </c>
      <c r="F2702" s="1">
        <v>1</v>
      </c>
      <c r="G2702" s="1">
        <v>0.27389595217182922</v>
      </c>
      <c r="H2702" s="1" t="s">
        <v>143</v>
      </c>
    </row>
    <row r="2703" spans="1:8" x14ac:dyDescent="0.25">
      <c r="A2703" s="1">
        <v>2016</v>
      </c>
      <c r="B2703" s="1">
        <v>236</v>
      </c>
      <c r="C2703" s="15">
        <v>42605</v>
      </c>
      <c r="D2703" s="16">
        <v>0.4381944444444445</v>
      </c>
      <c r="E2703" s="1">
        <v>170</v>
      </c>
      <c r="F2703" s="1">
        <v>2</v>
      </c>
      <c r="G2703" s="1">
        <v>0.26500067336179323</v>
      </c>
      <c r="H2703" s="1" t="s">
        <v>143</v>
      </c>
    </row>
    <row r="2704" spans="1:8" x14ac:dyDescent="0.25">
      <c r="A2704" s="1">
        <v>2016</v>
      </c>
      <c r="B2704" s="1">
        <v>236</v>
      </c>
      <c r="C2704" s="15">
        <v>42605</v>
      </c>
      <c r="D2704" s="16">
        <v>0.41388888888888892</v>
      </c>
      <c r="E2704" s="1">
        <v>170</v>
      </c>
      <c r="F2704" s="1">
        <v>3</v>
      </c>
      <c r="G2704" s="1">
        <v>0.27763313714234766</v>
      </c>
      <c r="H2704" s="1" t="s">
        <v>143</v>
      </c>
    </row>
    <row r="2705" spans="1:8" x14ac:dyDescent="0.25">
      <c r="A2705" s="1">
        <v>2016</v>
      </c>
      <c r="B2705" s="1">
        <v>236</v>
      </c>
      <c r="C2705" s="15">
        <v>42605</v>
      </c>
      <c r="D2705" s="16">
        <v>0.42152777777777778</v>
      </c>
      <c r="E2705" s="1">
        <v>170</v>
      </c>
      <c r="F2705" s="1">
        <v>4</v>
      </c>
      <c r="G2705" s="1">
        <v>0.28355034667900181</v>
      </c>
      <c r="H2705" s="1" t="s">
        <v>143</v>
      </c>
    </row>
    <row r="2706" spans="1:8" x14ac:dyDescent="0.25">
      <c r="A2706" s="1">
        <v>2016</v>
      </c>
      <c r="B2706" s="1">
        <v>236</v>
      </c>
      <c r="C2706" s="15">
        <v>42605</v>
      </c>
      <c r="D2706" s="16">
        <v>0.45833333333333331</v>
      </c>
      <c r="E2706" s="1">
        <v>170</v>
      </c>
      <c r="F2706" s="1">
        <v>5</v>
      </c>
      <c r="G2706" s="1">
        <v>0.3244842008092112</v>
      </c>
      <c r="H2706" s="1" t="s">
        <v>0</v>
      </c>
    </row>
    <row r="2707" spans="1:8" x14ac:dyDescent="0.25">
      <c r="A2707" s="1">
        <v>2016</v>
      </c>
      <c r="B2707" s="1">
        <v>236</v>
      </c>
      <c r="C2707" s="15">
        <v>42605</v>
      </c>
      <c r="D2707" s="16">
        <v>0.45833333333333331</v>
      </c>
      <c r="E2707" s="1">
        <v>170</v>
      </c>
      <c r="F2707" s="1">
        <v>6</v>
      </c>
      <c r="G2707" s="1">
        <v>0.33396341477089075</v>
      </c>
      <c r="H2707" s="1" t="s">
        <v>0</v>
      </c>
    </row>
    <row r="2708" spans="1:8" x14ac:dyDescent="0.25">
      <c r="A2708" s="1">
        <v>2016</v>
      </c>
      <c r="B2708" s="1">
        <v>236</v>
      </c>
      <c r="C2708" s="15">
        <v>42605</v>
      </c>
      <c r="D2708" s="16">
        <v>0.46597222222222223</v>
      </c>
      <c r="E2708" s="1">
        <v>170</v>
      </c>
      <c r="F2708" s="1">
        <v>7</v>
      </c>
      <c r="G2708" s="1">
        <v>0.29583244936857012</v>
      </c>
      <c r="H2708" s="1" t="s">
        <v>143</v>
      </c>
    </row>
    <row r="2709" spans="1:8" x14ac:dyDescent="0.25">
      <c r="A2709" s="1">
        <v>2016</v>
      </c>
      <c r="B2709" s="1">
        <v>236</v>
      </c>
      <c r="C2709" s="15">
        <v>42605</v>
      </c>
      <c r="D2709" s="16">
        <v>0.48680555555555555</v>
      </c>
      <c r="E2709" s="1">
        <v>170</v>
      </c>
      <c r="F2709" s="1">
        <v>8</v>
      </c>
      <c r="G2709" s="1">
        <v>0.28853325997302631</v>
      </c>
      <c r="H2709" s="1" t="s">
        <v>143</v>
      </c>
    </row>
    <row r="2710" spans="1:8" x14ac:dyDescent="0.25">
      <c r="A2710" s="1">
        <v>2016</v>
      </c>
      <c r="B2710" s="1">
        <v>236</v>
      </c>
      <c r="C2710" s="15">
        <v>42605</v>
      </c>
      <c r="D2710" s="16">
        <v>0.47986111111111113</v>
      </c>
      <c r="E2710" s="1">
        <v>170</v>
      </c>
      <c r="F2710" s="1">
        <v>9</v>
      </c>
      <c r="G2710" s="1">
        <v>0.29118043266047688</v>
      </c>
      <c r="H2710" s="1" t="s">
        <v>143</v>
      </c>
    </row>
    <row r="2711" spans="1:8" x14ac:dyDescent="0.25">
      <c r="A2711" s="1">
        <v>2016</v>
      </c>
      <c r="B2711" s="1">
        <v>236</v>
      </c>
      <c r="C2711" s="15">
        <v>42605</v>
      </c>
      <c r="D2711" s="16">
        <v>0.47291666666666665</v>
      </c>
      <c r="E2711" s="1">
        <v>170</v>
      </c>
      <c r="F2711" s="1">
        <v>10</v>
      </c>
      <c r="G2711" s="1">
        <v>0.29694192615669274</v>
      </c>
      <c r="H2711" s="1" t="s">
        <v>143</v>
      </c>
    </row>
    <row r="2712" spans="1:8" x14ac:dyDescent="0.25">
      <c r="A2712" s="1">
        <v>2016</v>
      </c>
      <c r="B2712" s="1">
        <v>236</v>
      </c>
      <c r="C2712" s="15">
        <v>42605</v>
      </c>
      <c r="D2712" s="16">
        <v>0.57708333333333328</v>
      </c>
      <c r="E2712" s="1">
        <v>170</v>
      </c>
      <c r="F2712" s="1">
        <v>11</v>
      </c>
      <c r="G2712" s="1">
        <v>0.31891735236354318</v>
      </c>
      <c r="H2712" s="1" t="s">
        <v>144</v>
      </c>
    </row>
    <row r="2713" spans="1:8" x14ac:dyDescent="0.25">
      <c r="A2713" s="1">
        <v>2016</v>
      </c>
      <c r="B2713" s="1">
        <v>236</v>
      </c>
      <c r="C2713" s="15">
        <v>42605</v>
      </c>
      <c r="D2713" s="16">
        <v>0.59097222222222223</v>
      </c>
      <c r="E2713" s="1">
        <v>170</v>
      </c>
      <c r="F2713" s="1">
        <v>12</v>
      </c>
      <c r="G2713" s="1">
        <v>0.33090748747728971</v>
      </c>
      <c r="H2713" s="1" t="s">
        <v>144</v>
      </c>
    </row>
    <row r="2714" spans="1:8" x14ac:dyDescent="0.25">
      <c r="A2714" s="1">
        <v>2016</v>
      </c>
      <c r="B2714" s="1">
        <v>236</v>
      </c>
      <c r="C2714" s="15">
        <v>42605</v>
      </c>
      <c r="D2714" s="16">
        <v>0.59930555555555554</v>
      </c>
      <c r="E2714" s="1">
        <v>170</v>
      </c>
      <c r="F2714" s="1">
        <v>13</v>
      </c>
      <c r="G2714" s="1">
        <v>0.29575459134835097</v>
      </c>
      <c r="H2714" s="1" t="s">
        <v>144</v>
      </c>
    </row>
    <row r="2715" spans="1:8" x14ac:dyDescent="0.25">
      <c r="A2715" s="1">
        <v>2016</v>
      </c>
      <c r="B2715" s="1">
        <v>236</v>
      </c>
      <c r="C2715" s="15">
        <v>42605</v>
      </c>
      <c r="D2715" s="16">
        <v>0.56944444444444442</v>
      </c>
      <c r="E2715" s="1">
        <v>170</v>
      </c>
      <c r="F2715" s="1">
        <v>14</v>
      </c>
      <c r="G2715" s="1">
        <v>0.31716554690861265</v>
      </c>
      <c r="H2715" s="1" t="s">
        <v>144</v>
      </c>
    </row>
    <row r="2716" spans="1:8" x14ac:dyDescent="0.25">
      <c r="A2716" s="1">
        <v>2016</v>
      </c>
      <c r="B2716" s="1">
        <v>236</v>
      </c>
      <c r="C2716" s="15">
        <v>42605</v>
      </c>
      <c r="D2716" s="16">
        <v>0.5625</v>
      </c>
      <c r="E2716" s="1">
        <v>170</v>
      </c>
      <c r="F2716" s="1">
        <v>15</v>
      </c>
      <c r="G2716" s="1">
        <v>0.33408020180121945</v>
      </c>
      <c r="H2716" s="1" t="s">
        <v>1</v>
      </c>
    </row>
    <row r="2717" spans="1:8" x14ac:dyDescent="0.25">
      <c r="A2717" s="1">
        <v>2016</v>
      </c>
      <c r="B2717" s="1">
        <v>236</v>
      </c>
      <c r="C2717" s="15">
        <v>42605</v>
      </c>
      <c r="D2717" s="16">
        <v>0.5625</v>
      </c>
      <c r="E2717" s="1">
        <v>170</v>
      </c>
      <c r="F2717" s="1">
        <v>16</v>
      </c>
      <c r="G2717" s="1">
        <v>0.32796834721401746</v>
      </c>
      <c r="H2717" s="1" t="s">
        <v>1</v>
      </c>
    </row>
    <row r="2718" spans="1:8" x14ac:dyDescent="0.25">
      <c r="A2718" s="1">
        <v>2016</v>
      </c>
      <c r="B2718" s="1">
        <v>236</v>
      </c>
      <c r="C2718" s="15">
        <v>42605</v>
      </c>
      <c r="D2718" s="16">
        <v>0.55069444444444449</v>
      </c>
      <c r="E2718" s="1">
        <v>170</v>
      </c>
      <c r="F2718" s="1">
        <v>17</v>
      </c>
      <c r="G2718" s="1">
        <v>0.31455730323127168</v>
      </c>
      <c r="H2718" s="1" t="s">
        <v>144</v>
      </c>
    </row>
    <row r="2719" spans="1:8" x14ac:dyDescent="0.25">
      <c r="A2719" s="1">
        <v>2016</v>
      </c>
      <c r="B2719" s="1">
        <v>236</v>
      </c>
      <c r="C2719" s="15">
        <v>42605</v>
      </c>
      <c r="D2719" s="16">
        <v>0.54305555555555551</v>
      </c>
      <c r="E2719" s="1">
        <v>170</v>
      </c>
      <c r="F2719" s="1">
        <v>18</v>
      </c>
      <c r="G2719" s="1">
        <v>0.32074701583869281</v>
      </c>
      <c r="H2719" s="1" t="s">
        <v>144</v>
      </c>
    </row>
    <row r="2720" spans="1:8" x14ac:dyDescent="0.25">
      <c r="A2720" s="1">
        <v>2016</v>
      </c>
      <c r="B2720" s="1">
        <v>236</v>
      </c>
      <c r="C2720" s="15">
        <v>42605</v>
      </c>
      <c r="D2720" s="16">
        <v>0.53611111111111109</v>
      </c>
      <c r="E2720" s="1">
        <v>170</v>
      </c>
      <c r="F2720" s="1">
        <v>19</v>
      </c>
      <c r="G2720" s="1">
        <v>0.30974957048274021</v>
      </c>
      <c r="H2720" s="1" t="s">
        <v>144</v>
      </c>
    </row>
    <row r="2721" spans="1:8" x14ac:dyDescent="0.25">
      <c r="A2721" s="1">
        <v>2016</v>
      </c>
      <c r="B2721" s="1">
        <v>236</v>
      </c>
      <c r="C2721" s="15">
        <v>42605</v>
      </c>
      <c r="D2721" s="16">
        <v>0.52847222222222223</v>
      </c>
      <c r="E2721" s="1">
        <v>170</v>
      </c>
      <c r="F2721" s="1">
        <v>20</v>
      </c>
      <c r="G2721" s="1">
        <v>0.3143431936756691</v>
      </c>
      <c r="H2721" s="1" t="s">
        <v>144</v>
      </c>
    </row>
    <row r="2722" spans="1:8" x14ac:dyDescent="0.25">
      <c r="A2722" s="1">
        <v>2016</v>
      </c>
      <c r="B2722" s="1">
        <v>236</v>
      </c>
      <c r="C2722" s="15">
        <v>42605</v>
      </c>
      <c r="D2722" s="16">
        <v>0.43055555555555558</v>
      </c>
      <c r="E2722" s="1">
        <v>150</v>
      </c>
      <c r="F2722" s="1">
        <v>1</v>
      </c>
      <c r="G2722" s="1">
        <v>0.33419698883154814</v>
      </c>
      <c r="H2722" s="1" t="s">
        <v>143</v>
      </c>
    </row>
    <row r="2723" spans="1:8" x14ac:dyDescent="0.25">
      <c r="A2723" s="1">
        <v>2016</v>
      </c>
      <c r="B2723" s="1">
        <v>236</v>
      </c>
      <c r="C2723" s="15">
        <v>42605</v>
      </c>
      <c r="D2723" s="16">
        <v>0.4381944444444445</v>
      </c>
      <c r="E2723" s="1">
        <v>150</v>
      </c>
      <c r="F2723" s="1">
        <v>2</v>
      </c>
      <c r="G2723" s="1">
        <v>0.32096112539429544</v>
      </c>
      <c r="H2723" s="1" t="s">
        <v>143</v>
      </c>
    </row>
    <row r="2724" spans="1:8" x14ac:dyDescent="0.25">
      <c r="A2724" s="1">
        <v>2016</v>
      </c>
      <c r="B2724" s="1">
        <v>236</v>
      </c>
      <c r="C2724" s="15">
        <v>42605</v>
      </c>
      <c r="D2724" s="16">
        <v>0.41388888888888892</v>
      </c>
      <c r="E2724" s="1">
        <v>150</v>
      </c>
      <c r="F2724" s="1">
        <v>3</v>
      </c>
      <c r="G2724" s="1">
        <v>0.30634328209815309</v>
      </c>
      <c r="H2724" s="1" t="s">
        <v>143</v>
      </c>
    </row>
    <row r="2725" spans="1:8" x14ac:dyDescent="0.25">
      <c r="A2725" s="1">
        <v>2016</v>
      </c>
      <c r="B2725" s="1">
        <v>236</v>
      </c>
      <c r="C2725" s="15">
        <v>42605</v>
      </c>
      <c r="D2725" s="16">
        <v>0.42152777777777778</v>
      </c>
      <c r="E2725" s="1">
        <v>150</v>
      </c>
      <c r="F2725" s="1">
        <v>4</v>
      </c>
      <c r="G2725" s="1">
        <v>0.28997363334708032</v>
      </c>
      <c r="H2725" s="1" t="s">
        <v>143</v>
      </c>
    </row>
    <row r="2726" spans="1:8" x14ac:dyDescent="0.25">
      <c r="A2726" s="1">
        <v>2016</v>
      </c>
      <c r="B2726" s="1">
        <v>236</v>
      </c>
      <c r="C2726" s="15">
        <v>42605</v>
      </c>
      <c r="D2726" s="16">
        <v>0.45833333333333331</v>
      </c>
      <c r="E2726" s="1">
        <v>150</v>
      </c>
      <c r="F2726" s="1">
        <v>5</v>
      </c>
      <c r="G2726" s="1">
        <v>0.3624594501710936</v>
      </c>
      <c r="H2726" s="1" t="s">
        <v>0</v>
      </c>
    </row>
    <row r="2727" spans="1:8" x14ac:dyDescent="0.25">
      <c r="A2727" s="1">
        <v>2016</v>
      </c>
      <c r="B2727" s="1">
        <v>236</v>
      </c>
      <c r="C2727" s="15">
        <v>42605</v>
      </c>
      <c r="D2727" s="16">
        <v>0.45833333333333331</v>
      </c>
      <c r="E2727" s="1">
        <v>150</v>
      </c>
      <c r="F2727" s="1">
        <v>6</v>
      </c>
      <c r="G2727" s="1">
        <v>0.34262511952026936</v>
      </c>
      <c r="H2727" s="1" t="s">
        <v>0</v>
      </c>
    </row>
    <row r="2728" spans="1:8" x14ac:dyDescent="0.25">
      <c r="A2728" s="1">
        <v>2016</v>
      </c>
      <c r="B2728" s="1">
        <v>236</v>
      </c>
      <c r="C2728" s="15">
        <v>42605</v>
      </c>
      <c r="D2728" s="16">
        <v>0.46597222222222223</v>
      </c>
      <c r="E2728" s="1">
        <v>150</v>
      </c>
      <c r="F2728" s="1">
        <v>7</v>
      </c>
      <c r="G2728" s="1">
        <v>0.32218738921274676</v>
      </c>
      <c r="H2728" s="1" t="s">
        <v>143</v>
      </c>
    </row>
    <row r="2729" spans="1:8" x14ac:dyDescent="0.25">
      <c r="A2729" s="1">
        <v>2016</v>
      </c>
      <c r="B2729" s="1">
        <v>236</v>
      </c>
      <c r="C2729" s="15">
        <v>42605</v>
      </c>
      <c r="D2729" s="16">
        <v>0.48680555555555555</v>
      </c>
      <c r="E2729" s="1">
        <v>150</v>
      </c>
      <c r="F2729" s="1">
        <v>8</v>
      </c>
      <c r="G2729" s="1">
        <v>0.32870799840609921</v>
      </c>
      <c r="H2729" s="1" t="s">
        <v>143</v>
      </c>
    </row>
    <row r="2730" spans="1:8" x14ac:dyDescent="0.25">
      <c r="A2730" s="1">
        <v>2016</v>
      </c>
      <c r="B2730" s="1">
        <v>236</v>
      </c>
      <c r="C2730" s="15">
        <v>42605</v>
      </c>
      <c r="D2730" s="16">
        <v>0.47986111111111113</v>
      </c>
      <c r="E2730" s="1">
        <v>150</v>
      </c>
      <c r="F2730" s="1">
        <v>9</v>
      </c>
      <c r="G2730" s="1">
        <v>0.32952550761840016</v>
      </c>
      <c r="H2730" s="1" t="s">
        <v>143</v>
      </c>
    </row>
    <row r="2731" spans="1:8" x14ac:dyDescent="0.25">
      <c r="A2731" s="1">
        <v>2016</v>
      </c>
      <c r="B2731" s="1">
        <v>236</v>
      </c>
      <c r="C2731" s="15">
        <v>42605</v>
      </c>
      <c r="D2731" s="16">
        <v>0.47291666666666665</v>
      </c>
      <c r="E2731" s="1">
        <v>150</v>
      </c>
      <c r="F2731" s="1">
        <v>10</v>
      </c>
      <c r="G2731" s="1">
        <v>0.33143302911376893</v>
      </c>
      <c r="H2731" s="1" t="s">
        <v>143</v>
      </c>
    </row>
    <row r="2732" spans="1:8" x14ac:dyDescent="0.25">
      <c r="A2732" s="1">
        <v>2016</v>
      </c>
      <c r="B2732" s="1">
        <v>236</v>
      </c>
      <c r="C2732" s="15">
        <v>42605</v>
      </c>
      <c r="D2732" s="16">
        <v>0.57708333333333328</v>
      </c>
      <c r="E2732" s="1">
        <v>150</v>
      </c>
      <c r="F2732" s="1">
        <v>11</v>
      </c>
      <c r="G2732" s="1">
        <v>0.32775423765841483</v>
      </c>
      <c r="H2732" s="1" t="s">
        <v>144</v>
      </c>
    </row>
    <row r="2733" spans="1:8" x14ac:dyDescent="0.25">
      <c r="A2733" s="1">
        <v>2016</v>
      </c>
      <c r="B2733" s="1">
        <v>236</v>
      </c>
      <c r="C2733" s="15">
        <v>42605</v>
      </c>
      <c r="D2733" s="16">
        <v>0.59097222222222223</v>
      </c>
      <c r="E2733" s="1">
        <v>150</v>
      </c>
      <c r="F2733" s="1">
        <v>12</v>
      </c>
      <c r="G2733" s="1">
        <v>0.32181756361670588</v>
      </c>
      <c r="H2733" s="1" t="s">
        <v>144</v>
      </c>
    </row>
    <row r="2734" spans="1:8" x14ac:dyDescent="0.25">
      <c r="A2734" s="1">
        <v>2016</v>
      </c>
      <c r="B2734" s="1">
        <v>236</v>
      </c>
      <c r="C2734" s="15">
        <v>42605</v>
      </c>
      <c r="D2734" s="16">
        <v>0.59930555555555554</v>
      </c>
      <c r="E2734" s="1">
        <v>150</v>
      </c>
      <c r="F2734" s="1">
        <v>13</v>
      </c>
      <c r="G2734" s="1">
        <v>0.30015356949073202</v>
      </c>
      <c r="H2734" s="1" t="s">
        <v>144</v>
      </c>
    </row>
    <row r="2735" spans="1:8" x14ac:dyDescent="0.25">
      <c r="A2735" s="1">
        <v>2016</v>
      </c>
      <c r="B2735" s="1">
        <v>236</v>
      </c>
      <c r="C2735" s="15">
        <v>42605</v>
      </c>
      <c r="D2735" s="16">
        <v>0.56944444444444442</v>
      </c>
      <c r="E2735" s="1">
        <v>150</v>
      </c>
      <c r="F2735" s="1">
        <v>14</v>
      </c>
      <c r="G2735" s="1">
        <v>0.29668888759098055</v>
      </c>
      <c r="H2735" s="1" t="s">
        <v>144</v>
      </c>
    </row>
    <row r="2736" spans="1:8" x14ac:dyDescent="0.25">
      <c r="A2736" s="1">
        <v>2016</v>
      </c>
      <c r="B2736" s="1">
        <v>236</v>
      </c>
      <c r="C2736" s="15">
        <v>42605</v>
      </c>
      <c r="D2736" s="16">
        <v>0.5625</v>
      </c>
      <c r="E2736" s="1">
        <v>150</v>
      </c>
      <c r="F2736" s="1">
        <v>15</v>
      </c>
      <c r="G2736" s="1">
        <v>0.3419633263484067</v>
      </c>
      <c r="H2736" s="1" t="s">
        <v>1</v>
      </c>
    </row>
    <row r="2737" spans="1:8" x14ac:dyDescent="0.25">
      <c r="A2737" s="1">
        <v>2016</v>
      </c>
      <c r="B2737" s="1">
        <v>236</v>
      </c>
      <c r="C2737" s="15">
        <v>42605</v>
      </c>
      <c r="D2737" s="16">
        <v>0.5625</v>
      </c>
      <c r="E2737" s="1">
        <v>150</v>
      </c>
      <c r="F2737" s="1">
        <v>16</v>
      </c>
      <c r="G2737" s="1">
        <v>0.32600243220348435</v>
      </c>
      <c r="H2737" s="1" t="s">
        <v>1</v>
      </c>
    </row>
    <row r="2738" spans="1:8" x14ac:dyDescent="0.25">
      <c r="A2738" s="1">
        <v>2016</v>
      </c>
      <c r="B2738" s="1">
        <v>236</v>
      </c>
      <c r="C2738" s="15">
        <v>42605</v>
      </c>
      <c r="D2738" s="16">
        <v>0.55069444444444449</v>
      </c>
      <c r="E2738" s="1">
        <v>150</v>
      </c>
      <c r="F2738" s="1">
        <v>17</v>
      </c>
      <c r="G2738" s="1">
        <v>0.31428480016050475</v>
      </c>
      <c r="H2738" s="1" t="s">
        <v>144</v>
      </c>
    </row>
    <row r="2739" spans="1:8" x14ac:dyDescent="0.25">
      <c r="A2739" s="1">
        <v>2016</v>
      </c>
      <c r="B2739" s="1">
        <v>236</v>
      </c>
      <c r="C2739" s="15">
        <v>42605</v>
      </c>
      <c r="D2739" s="16">
        <v>0.54305555555555551</v>
      </c>
      <c r="E2739" s="1">
        <v>150</v>
      </c>
      <c r="F2739" s="1">
        <v>18</v>
      </c>
      <c r="G2739" s="1">
        <v>0.32037719024265193</v>
      </c>
      <c r="H2739" s="1" t="s">
        <v>144</v>
      </c>
    </row>
    <row r="2740" spans="1:8" x14ac:dyDescent="0.25">
      <c r="A2740" s="1">
        <v>2016</v>
      </c>
      <c r="B2740" s="1">
        <v>236</v>
      </c>
      <c r="C2740" s="15">
        <v>42605</v>
      </c>
      <c r="D2740" s="16">
        <v>0.53611111111111109</v>
      </c>
      <c r="E2740" s="1">
        <v>150</v>
      </c>
      <c r="F2740" s="1">
        <v>19</v>
      </c>
      <c r="G2740" s="1">
        <v>0.32072755133363806</v>
      </c>
      <c r="H2740" s="1" t="s">
        <v>144</v>
      </c>
    </row>
    <row r="2741" spans="1:8" x14ac:dyDescent="0.25">
      <c r="A2741" s="1">
        <v>2016</v>
      </c>
      <c r="B2741" s="1">
        <v>236</v>
      </c>
      <c r="C2741" s="15">
        <v>42605</v>
      </c>
      <c r="D2741" s="16">
        <v>0.52847222222222223</v>
      </c>
      <c r="E2741" s="1">
        <v>150</v>
      </c>
      <c r="F2741" s="1">
        <v>20</v>
      </c>
      <c r="G2741" s="1">
        <v>0.3310437390126732</v>
      </c>
      <c r="H2741" s="1" t="s">
        <v>144</v>
      </c>
    </row>
    <row r="2742" spans="1:8" x14ac:dyDescent="0.25">
      <c r="A2742" s="1">
        <v>2016</v>
      </c>
      <c r="B2742" s="1">
        <v>236</v>
      </c>
      <c r="C2742" s="15">
        <v>42605</v>
      </c>
      <c r="D2742" s="16">
        <v>0.43055555555555558</v>
      </c>
      <c r="E2742" s="1">
        <v>130</v>
      </c>
      <c r="F2742" s="1">
        <v>1</v>
      </c>
      <c r="G2742" s="1">
        <v>0.30858170017945319</v>
      </c>
      <c r="H2742" s="1" t="s">
        <v>143</v>
      </c>
    </row>
    <row r="2743" spans="1:8" x14ac:dyDescent="0.25">
      <c r="A2743" s="1">
        <v>2016</v>
      </c>
      <c r="B2743" s="1">
        <v>236</v>
      </c>
      <c r="C2743" s="15">
        <v>42605</v>
      </c>
      <c r="D2743" s="16">
        <v>0.4381944444444445</v>
      </c>
      <c r="E2743" s="1">
        <v>130</v>
      </c>
      <c r="F2743" s="1">
        <v>2</v>
      </c>
      <c r="G2743" s="1">
        <v>0.30389075446125041</v>
      </c>
      <c r="H2743" s="1" t="s">
        <v>143</v>
      </c>
    </row>
    <row r="2744" spans="1:8" x14ac:dyDescent="0.25">
      <c r="A2744" s="1">
        <v>2016</v>
      </c>
      <c r="B2744" s="1">
        <v>236</v>
      </c>
      <c r="C2744" s="15">
        <v>42605</v>
      </c>
      <c r="D2744" s="16">
        <v>0.41388888888888892</v>
      </c>
      <c r="E2744" s="1">
        <v>130</v>
      </c>
      <c r="F2744" s="1">
        <v>3</v>
      </c>
      <c r="G2744" s="1">
        <v>0.29727282274262407</v>
      </c>
      <c r="H2744" s="1" t="s">
        <v>143</v>
      </c>
    </row>
    <row r="2745" spans="1:8" x14ac:dyDescent="0.25">
      <c r="A2745" s="1">
        <v>2016</v>
      </c>
      <c r="B2745" s="1">
        <v>236</v>
      </c>
      <c r="C2745" s="15">
        <v>42605</v>
      </c>
      <c r="D2745" s="16">
        <v>0.42152777777777778</v>
      </c>
      <c r="E2745" s="1">
        <v>130</v>
      </c>
      <c r="F2745" s="1">
        <v>4</v>
      </c>
      <c r="G2745" s="1">
        <v>0.30542845036057831</v>
      </c>
      <c r="H2745" s="1" t="s">
        <v>143</v>
      </c>
    </row>
    <row r="2746" spans="1:8" x14ac:dyDescent="0.25">
      <c r="A2746" s="1">
        <v>2016</v>
      </c>
      <c r="B2746" s="1">
        <v>236</v>
      </c>
      <c r="C2746" s="15">
        <v>42605</v>
      </c>
      <c r="D2746" s="16">
        <v>0.45833333333333331</v>
      </c>
      <c r="E2746" s="1">
        <v>130</v>
      </c>
      <c r="F2746" s="1">
        <v>5</v>
      </c>
      <c r="G2746" s="1">
        <v>0.30797830052275493</v>
      </c>
      <c r="H2746" s="1" t="s">
        <v>0</v>
      </c>
    </row>
    <row r="2747" spans="1:8" x14ac:dyDescent="0.25">
      <c r="A2747" s="1">
        <v>2016</v>
      </c>
      <c r="B2747" s="1">
        <v>236</v>
      </c>
      <c r="C2747" s="15">
        <v>42605</v>
      </c>
      <c r="D2747" s="16">
        <v>0.45833333333333331</v>
      </c>
      <c r="E2747" s="1">
        <v>130</v>
      </c>
      <c r="F2747" s="1">
        <v>6</v>
      </c>
      <c r="G2747" s="1">
        <v>0.30266449064279904</v>
      </c>
      <c r="H2747" s="1" t="s">
        <v>0</v>
      </c>
    </row>
    <row r="2748" spans="1:8" x14ac:dyDescent="0.25">
      <c r="A2748" s="1">
        <v>2016</v>
      </c>
      <c r="B2748" s="1">
        <v>236</v>
      </c>
      <c r="C2748" s="15">
        <v>42605</v>
      </c>
      <c r="D2748" s="16">
        <v>0.46597222222222223</v>
      </c>
      <c r="E2748" s="1">
        <v>130</v>
      </c>
      <c r="F2748" s="1">
        <v>7</v>
      </c>
      <c r="G2748" s="1">
        <v>0.306985610764961</v>
      </c>
      <c r="H2748" s="1" t="s">
        <v>143</v>
      </c>
    </row>
    <row r="2749" spans="1:8" x14ac:dyDescent="0.25">
      <c r="A2749" s="1">
        <v>2016</v>
      </c>
      <c r="B2749" s="1">
        <v>236</v>
      </c>
      <c r="C2749" s="15">
        <v>42605</v>
      </c>
      <c r="D2749" s="16">
        <v>0.48680555555555555</v>
      </c>
      <c r="E2749" s="1">
        <v>130</v>
      </c>
      <c r="F2749" s="1">
        <v>8</v>
      </c>
      <c r="G2749" s="1">
        <v>0.33643540691284823</v>
      </c>
      <c r="H2749" s="1" t="s">
        <v>143</v>
      </c>
    </row>
    <row r="2750" spans="1:8" x14ac:dyDescent="0.25">
      <c r="A2750" s="1">
        <v>2016</v>
      </c>
      <c r="B2750" s="1">
        <v>236</v>
      </c>
      <c r="C2750" s="15">
        <v>42605</v>
      </c>
      <c r="D2750" s="16">
        <v>0.47986111111111113</v>
      </c>
      <c r="E2750" s="1">
        <v>130</v>
      </c>
      <c r="F2750" s="1">
        <v>9</v>
      </c>
      <c r="G2750" s="1">
        <v>0.29824604799536319</v>
      </c>
      <c r="H2750" s="1" t="s">
        <v>143</v>
      </c>
    </row>
    <row r="2751" spans="1:8" x14ac:dyDescent="0.25">
      <c r="A2751" s="1">
        <v>2016</v>
      </c>
      <c r="B2751" s="1">
        <v>236</v>
      </c>
      <c r="C2751" s="15">
        <v>42605</v>
      </c>
      <c r="D2751" s="16">
        <v>0.47291666666666665</v>
      </c>
      <c r="E2751" s="1">
        <v>130</v>
      </c>
      <c r="F2751" s="1">
        <v>10</v>
      </c>
      <c r="G2751" s="1">
        <v>0.31171548549327333</v>
      </c>
      <c r="H2751" s="1" t="s">
        <v>143</v>
      </c>
    </row>
    <row r="2752" spans="1:8" x14ac:dyDescent="0.25">
      <c r="A2752" s="1">
        <v>2016</v>
      </c>
      <c r="B2752" s="1">
        <v>236</v>
      </c>
      <c r="C2752" s="15">
        <v>42605</v>
      </c>
      <c r="D2752" s="16">
        <v>0.57708333333333328</v>
      </c>
      <c r="E2752" s="1">
        <v>130</v>
      </c>
      <c r="F2752" s="1">
        <v>11</v>
      </c>
      <c r="G2752" s="1">
        <v>0.2983239060155824</v>
      </c>
      <c r="H2752" s="1" t="s">
        <v>144</v>
      </c>
    </row>
    <row r="2753" spans="1:8" x14ac:dyDescent="0.25">
      <c r="A2753" s="1">
        <v>2016</v>
      </c>
      <c r="B2753" s="1">
        <v>236</v>
      </c>
      <c r="C2753" s="15">
        <v>42605</v>
      </c>
      <c r="D2753" s="16">
        <v>0.59097222222222223</v>
      </c>
      <c r="E2753" s="1">
        <v>130</v>
      </c>
      <c r="F2753" s="1">
        <v>12</v>
      </c>
      <c r="G2753" s="1">
        <v>0.28604180332601409</v>
      </c>
      <c r="H2753" s="1" t="s">
        <v>144</v>
      </c>
    </row>
    <row r="2754" spans="1:8" x14ac:dyDescent="0.25">
      <c r="A2754" s="1">
        <v>2016</v>
      </c>
      <c r="B2754" s="1">
        <v>236</v>
      </c>
      <c r="C2754" s="15">
        <v>42605</v>
      </c>
      <c r="D2754" s="16">
        <v>0.59930555555555554</v>
      </c>
      <c r="E2754" s="1">
        <v>130</v>
      </c>
      <c r="F2754" s="1">
        <v>13</v>
      </c>
      <c r="G2754" s="1">
        <v>0.31245513668535513</v>
      </c>
      <c r="H2754" s="1" t="s">
        <v>144</v>
      </c>
    </row>
    <row r="2755" spans="1:8" x14ac:dyDescent="0.25">
      <c r="A2755" s="1">
        <v>2016</v>
      </c>
      <c r="B2755" s="1">
        <v>236</v>
      </c>
      <c r="C2755" s="15">
        <v>42605</v>
      </c>
      <c r="D2755" s="16">
        <v>0.56944444444444442</v>
      </c>
      <c r="E2755" s="1">
        <v>130</v>
      </c>
      <c r="F2755" s="1">
        <v>14</v>
      </c>
      <c r="G2755" s="1">
        <v>0.30867902270472708</v>
      </c>
      <c r="H2755" s="1" t="s">
        <v>144</v>
      </c>
    </row>
    <row r="2756" spans="1:8" x14ac:dyDescent="0.25">
      <c r="A2756" s="1">
        <v>2016</v>
      </c>
      <c r="B2756" s="1">
        <v>236</v>
      </c>
      <c r="C2756" s="15">
        <v>42605</v>
      </c>
      <c r="D2756" s="16">
        <v>0.5625</v>
      </c>
      <c r="E2756" s="1">
        <v>130</v>
      </c>
      <c r="F2756" s="1">
        <v>15</v>
      </c>
      <c r="G2756" s="1">
        <v>0.30500023124937309</v>
      </c>
      <c r="H2756" s="1" t="s">
        <v>1</v>
      </c>
    </row>
    <row r="2757" spans="1:8" x14ac:dyDescent="0.25">
      <c r="A2757" s="1">
        <v>2016</v>
      </c>
      <c r="B2757" s="1">
        <v>236</v>
      </c>
      <c r="C2757" s="15">
        <v>42605</v>
      </c>
      <c r="D2757" s="16">
        <v>0.5625</v>
      </c>
      <c r="E2757" s="1">
        <v>130</v>
      </c>
      <c r="F2757" s="1">
        <v>16</v>
      </c>
      <c r="G2757" s="1">
        <v>0.29519012070176226</v>
      </c>
      <c r="H2757" s="1" t="s">
        <v>1</v>
      </c>
    </row>
    <row r="2758" spans="1:8" x14ac:dyDescent="0.25">
      <c r="A2758" s="1">
        <v>2016</v>
      </c>
      <c r="B2758" s="1">
        <v>236</v>
      </c>
      <c r="C2758" s="15">
        <v>42605</v>
      </c>
      <c r="D2758" s="16">
        <v>0.55069444444444449</v>
      </c>
      <c r="E2758" s="1">
        <v>130</v>
      </c>
      <c r="F2758" s="1">
        <v>17</v>
      </c>
      <c r="G2758" s="1">
        <v>0.30239198757203212</v>
      </c>
      <c r="H2758" s="1" t="s">
        <v>144</v>
      </c>
    </row>
    <row r="2759" spans="1:8" x14ac:dyDescent="0.25">
      <c r="A2759" s="1">
        <v>2016</v>
      </c>
      <c r="B2759" s="1">
        <v>236</v>
      </c>
      <c r="C2759" s="15">
        <v>42605</v>
      </c>
      <c r="D2759" s="16">
        <v>0.54305555555555551</v>
      </c>
      <c r="E2759" s="1">
        <v>130</v>
      </c>
      <c r="F2759" s="1">
        <v>18</v>
      </c>
      <c r="G2759" s="1">
        <v>0.29799300942965107</v>
      </c>
      <c r="H2759" s="1" t="s">
        <v>144</v>
      </c>
    </row>
    <row r="2760" spans="1:8" x14ac:dyDescent="0.25">
      <c r="A2760" s="1">
        <v>2016</v>
      </c>
      <c r="B2760" s="1">
        <v>236</v>
      </c>
      <c r="C2760" s="15">
        <v>42605</v>
      </c>
      <c r="D2760" s="16">
        <v>0.53611111111111109</v>
      </c>
      <c r="E2760" s="1">
        <v>130</v>
      </c>
      <c r="F2760" s="1">
        <v>19</v>
      </c>
      <c r="G2760" s="1">
        <v>0.30153554934962162</v>
      </c>
      <c r="H2760" s="1" t="s">
        <v>144</v>
      </c>
    </row>
    <row r="2761" spans="1:8" x14ac:dyDescent="0.25">
      <c r="A2761" s="1">
        <v>2016</v>
      </c>
      <c r="B2761" s="1">
        <v>236</v>
      </c>
      <c r="C2761" s="15">
        <v>42605</v>
      </c>
      <c r="D2761" s="16">
        <v>0.52847222222222223</v>
      </c>
      <c r="E2761" s="1">
        <v>130</v>
      </c>
      <c r="F2761" s="1">
        <v>20</v>
      </c>
      <c r="G2761" s="1">
        <v>0.27897618799112767</v>
      </c>
      <c r="H2761" s="1" t="s">
        <v>144</v>
      </c>
    </row>
    <row r="2762" spans="1:8" x14ac:dyDescent="0.25">
      <c r="A2762" s="1">
        <v>2016</v>
      </c>
      <c r="B2762" s="1">
        <v>236</v>
      </c>
      <c r="C2762" s="15">
        <v>42605</v>
      </c>
      <c r="D2762" s="16">
        <v>0.43055555555555558</v>
      </c>
      <c r="E2762" s="1">
        <v>110</v>
      </c>
      <c r="F2762" s="1">
        <v>1</v>
      </c>
      <c r="G2762" s="1">
        <v>0.33123245902114429</v>
      </c>
      <c r="H2762" s="1" t="s">
        <v>143</v>
      </c>
    </row>
    <row r="2763" spans="1:8" x14ac:dyDescent="0.25">
      <c r="A2763" s="1">
        <v>2016</v>
      </c>
      <c r="B2763" s="1">
        <v>236</v>
      </c>
      <c r="C2763" s="15">
        <v>42605</v>
      </c>
      <c r="D2763" s="16">
        <v>0.4381944444444445</v>
      </c>
      <c r="E2763" s="1">
        <v>110</v>
      </c>
      <c r="F2763" s="1">
        <v>2</v>
      </c>
      <c r="G2763" s="1">
        <v>0.32967537445523148</v>
      </c>
      <c r="H2763" s="1" t="s">
        <v>143</v>
      </c>
    </row>
    <row r="2764" spans="1:8" x14ac:dyDescent="0.25">
      <c r="A2764" s="1">
        <v>2016</v>
      </c>
      <c r="B2764" s="1">
        <v>236</v>
      </c>
      <c r="C2764" s="15">
        <v>42605</v>
      </c>
      <c r="D2764" s="16">
        <v>0.41388888888888892</v>
      </c>
      <c r="E2764" s="1">
        <v>110</v>
      </c>
      <c r="F2764" s="1">
        <v>3</v>
      </c>
      <c r="G2764" s="1">
        <v>0.31646305394741248</v>
      </c>
      <c r="H2764" s="1" t="s">
        <v>143</v>
      </c>
    </row>
    <row r="2765" spans="1:8" x14ac:dyDescent="0.25">
      <c r="A2765" s="1">
        <v>2016</v>
      </c>
      <c r="B2765" s="1">
        <v>236</v>
      </c>
      <c r="C2765" s="15">
        <v>42605</v>
      </c>
      <c r="D2765" s="16">
        <v>0.42152777777777778</v>
      </c>
      <c r="E2765" s="1">
        <v>110</v>
      </c>
      <c r="F2765" s="1">
        <v>4</v>
      </c>
      <c r="G2765" s="1">
        <v>0.32830147630883777</v>
      </c>
      <c r="H2765" s="1" t="s">
        <v>143</v>
      </c>
    </row>
    <row r="2766" spans="1:8" x14ac:dyDescent="0.25">
      <c r="A2766" s="1">
        <v>2016</v>
      </c>
      <c r="B2766" s="1">
        <v>236</v>
      </c>
      <c r="C2766" s="15">
        <v>42605</v>
      </c>
      <c r="D2766" s="16">
        <v>0.45833333333333331</v>
      </c>
      <c r="E2766" s="1">
        <v>110</v>
      </c>
      <c r="F2766" s="1">
        <v>5</v>
      </c>
      <c r="G2766" s="1">
        <v>0.30851734300076911</v>
      </c>
      <c r="H2766" s="1" t="s">
        <v>0</v>
      </c>
    </row>
    <row r="2767" spans="1:8" x14ac:dyDescent="0.25">
      <c r="A2767" s="1">
        <v>2016</v>
      </c>
      <c r="B2767" s="1">
        <v>236</v>
      </c>
      <c r="C2767" s="15">
        <v>42605</v>
      </c>
      <c r="D2767" s="16">
        <v>0.45833333333333331</v>
      </c>
      <c r="E2767" s="1">
        <v>110</v>
      </c>
      <c r="F2767" s="1">
        <v>6</v>
      </c>
      <c r="G2767" s="1">
        <v>0.31110485117647713</v>
      </c>
      <c r="H2767" s="1" t="s">
        <v>0</v>
      </c>
    </row>
    <row r="2768" spans="1:8" x14ac:dyDescent="0.25">
      <c r="A2768" s="1">
        <v>2016</v>
      </c>
      <c r="B2768" s="1">
        <v>236</v>
      </c>
      <c r="C2768" s="15">
        <v>42605</v>
      </c>
      <c r="D2768" s="16">
        <v>0.46597222222222223</v>
      </c>
      <c r="E2768" s="1">
        <v>110</v>
      </c>
      <c r="F2768" s="1">
        <v>7</v>
      </c>
      <c r="G2768" s="1">
        <v>0.32692757816244417</v>
      </c>
      <c r="H2768" s="1" t="s">
        <v>143</v>
      </c>
    </row>
    <row r="2769" spans="1:8" x14ac:dyDescent="0.25">
      <c r="A2769" s="1">
        <v>2016</v>
      </c>
      <c r="B2769" s="1">
        <v>236</v>
      </c>
      <c r="C2769" s="15">
        <v>42605</v>
      </c>
      <c r="D2769" s="16">
        <v>0.48680555555555555</v>
      </c>
      <c r="E2769" s="1">
        <v>110</v>
      </c>
      <c r="F2769" s="1">
        <v>8</v>
      </c>
      <c r="G2769" s="1">
        <v>0.32891973047471496</v>
      </c>
      <c r="H2769" s="1" t="s">
        <v>143</v>
      </c>
    </row>
    <row r="2770" spans="1:8" x14ac:dyDescent="0.25">
      <c r="A2770" s="1">
        <v>2016</v>
      </c>
      <c r="B2770" s="1">
        <v>236</v>
      </c>
      <c r="C2770" s="15">
        <v>42605</v>
      </c>
      <c r="D2770" s="16">
        <v>0.47986111111111113</v>
      </c>
      <c r="E2770" s="1">
        <v>110</v>
      </c>
      <c r="F2770" s="1">
        <v>9</v>
      </c>
      <c r="G2770" s="1">
        <v>0.31962301968411788</v>
      </c>
      <c r="H2770" s="1" t="s">
        <v>143</v>
      </c>
    </row>
    <row r="2771" spans="1:8" x14ac:dyDescent="0.25">
      <c r="A2771" s="1">
        <v>2016</v>
      </c>
      <c r="B2771" s="1">
        <v>236</v>
      </c>
      <c r="C2771" s="15">
        <v>42605</v>
      </c>
      <c r="D2771" s="16">
        <v>0.47291666666666665</v>
      </c>
      <c r="E2771" s="1">
        <v>110</v>
      </c>
      <c r="F2771" s="1">
        <v>10</v>
      </c>
      <c r="G2771" s="1">
        <v>0.32518730717701216</v>
      </c>
      <c r="H2771" s="1" t="s">
        <v>143</v>
      </c>
    </row>
    <row r="2772" spans="1:8" x14ac:dyDescent="0.25">
      <c r="A2772" s="1">
        <v>2016</v>
      </c>
      <c r="B2772" s="1">
        <v>236</v>
      </c>
      <c r="C2772" s="15">
        <v>42605</v>
      </c>
      <c r="D2772" s="16">
        <v>0.57708333333333328</v>
      </c>
      <c r="E2772" s="1">
        <v>110</v>
      </c>
      <c r="F2772" s="1">
        <v>11</v>
      </c>
      <c r="G2772" s="1">
        <v>0.30178524208344015</v>
      </c>
      <c r="H2772" s="1" t="s">
        <v>144</v>
      </c>
    </row>
    <row r="2773" spans="1:8" x14ac:dyDescent="0.25">
      <c r="A2773" s="1">
        <v>2016</v>
      </c>
      <c r="B2773" s="1">
        <v>236</v>
      </c>
      <c r="C2773" s="15">
        <v>42605</v>
      </c>
      <c r="D2773" s="16">
        <v>0.59097222222222223</v>
      </c>
      <c r="E2773" s="1">
        <v>110</v>
      </c>
      <c r="F2773" s="1">
        <v>12</v>
      </c>
      <c r="G2773" s="1">
        <v>0.32172966350858812</v>
      </c>
      <c r="H2773" s="1" t="s">
        <v>144</v>
      </c>
    </row>
    <row r="2774" spans="1:8" x14ac:dyDescent="0.25">
      <c r="A2774" s="1">
        <v>2016</v>
      </c>
      <c r="B2774" s="1">
        <v>236</v>
      </c>
      <c r="C2774" s="15">
        <v>42605</v>
      </c>
      <c r="D2774" s="16">
        <v>0.59930555555555554</v>
      </c>
      <c r="E2774" s="1">
        <v>110</v>
      </c>
      <c r="F2774" s="1">
        <v>13</v>
      </c>
      <c r="G2774" s="1">
        <v>0.31712710471816935</v>
      </c>
      <c r="H2774" s="1" t="s">
        <v>144</v>
      </c>
    </row>
    <row r="2775" spans="1:8" x14ac:dyDescent="0.25">
      <c r="A2775" s="1">
        <v>2016</v>
      </c>
      <c r="B2775" s="1">
        <v>236</v>
      </c>
      <c r="C2775" s="15">
        <v>42605</v>
      </c>
      <c r="D2775" s="16">
        <v>0.56944444444444442</v>
      </c>
      <c r="E2775" s="1">
        <v>110</v>
      </c>
      <c r="F2775" s="1">
        <v>14</v>
      </c>
      <c r="G2775" s="1">
        <v>0.30899820735200689</v>
      </c>
      <c r="H2775" s="1" t="s">
        <v>144</v>
      </c>
    </row>
    <row r="2776" spans="1:8" x14ac:dyDescent="0.25">
      <c r="A2776" s="1">
        <v>2016</v>
      </c>
      <c r="B2776" s="1">
        <v>236</v>
      </c>
      <c r="C2776" s="15">
        <v>42605</v>
      </c>
      <c r="D2776" s="16">
        <v>0.5625</v>
      </c>
      <c r="E2776" s="1">
        <v>110</v>
      </c>
      <c r="F2776" s="1">
        <v>15</v>
      </c>
      <c r="G2776" s="1">
        <v>0.3068686652250967</v>
      </c>
      <c r="H2776" s="1" t="s">
        <v>1</v>
      </c>
    </row>
    <row r="2777" spans="1:8" x14ac:dyDescent="0.25">
      <c r="A2777" s="1">
        <v>2016</v>
      </c>
      <c r="B2777" s="1">
        <v>236</v>
      </c>
      <c r="C2777" s="15">
        <v>42605</v>
      </c>
      <c r="D2777" s="16">
        <v>0.5625</v>
      </c>
      <c r="E2777" s="1">
        <v>110</v>
      </c>
      <c r="F2777" s="1">
        <v>16</v>
      </c>
      <c r="G2777" s="1">
        <v>0.31014312247400161</v>
      </c>
      <c r="H2777" s="1" t="s">
        <v>1</v>
      </c>
    </row>
    <row r="2778" spans="1:8" x14ac:dyDescent="0.25">
      <c r="A2778" s="1">
        <v>2016</v>
      </c>
      <c r="B2778" s="1">
        <v>236</v>
      </c>
      <c r="C2778" s="15">
        <v>42605</v>
      </c>
      <c r="D2778" s="16">
        <v>0.55069444444444449</v>
      </c>
      <c r="E2778" s="1">
        <v>110</v>
      </c>
      <c r="F2778" s="1">
        <v>17</v>
      </c>
      <c r="G2778" s="1">
        <v>0.32500412075749302</v>
      </c>
      <c r="H2778" s="1" t="s">
        <v>144</v>
      </c>
    </row>
    <row r="2779" spans="1:8" x14ac:dyDescent="0.25">
      <c r="A2779" s="1">
        <v>2016</v>
      </c>
      <c r="B2779" s="1">
        <v>236</v>
      </c>
      <c r="C2779" s="15">
        <v>42605</v>
      </c>
      <c r="D2779" s="16">
        <v>0.54305555555555551</v>
      </c>
      <c r="E2779" s="1">
        <v>110</v>
      </c>
      <c r="F2779" s="1">
        <v>18</v>
      </c>
      <c r="G2779" s="1">
        <v>0.31790564700112578</v>
      </c>
      <c r="H2779" s="1" t="s">
        <v>144</v>
      </c>
    </row>
    <row r="2780" spans="1:8" x14ac:dyDescent="0.25">
      <c r="A2780" s="1">
        <v>2016</v>
      </c>
      <c r="B2780" s="1">
        <v>236</v>
      </c>
      <c r="C2780" s="15">
        <v>42605</v>
      </c>
      <c r="D2780" s="16">
        <v>0.53611111111111109</v>
      </c>
      <c r="E2780" s="1">
        <v>110</v>
      </c>
      <c r="F2780" s="1">
        <v>19</v>
      </c>
      <c r="G2780" s="1">
        <v>0.31605088450349433</v>
      </c>
      <c r="H2780" s="1" t="s">
        <v>144</v>
      </c>
    </row>
    <row r="2781" spans="1:8" x14ac:dyDescent="0.25">
      <c r="A2781" s="1">
        <v>2016</v>
      </c>
      <c r="B2781" s="1">
        <v>236</v>
      </c>
      <c r="C2781" s="15">
        <v>42605</v>
      </c>
      <c r="D2781" s="16">
        <v>0.52847222222222223</v>
      </c>
      <c r="E2781" s="1">
        <v>110</v>
      </c>
      <c r="F2781" s="1">
        <v>20</v>
      </c>
      <c r="G2781" s="1">
        <v>0.29979308977116936</v>
      </c>
      <c r="H2781" s="1" t="s">
        <v>144</v>
      </c>
    </row>
    <row r="2782" spans="1:8" x14ac:dyDescent="0.25">
      <c r="A2782" s="1">
        <v>2016</v>
      </c>
      <c r="B2782" s="1">
        <v>236</v>
      </c>
      <c r="C2782" s="15">
        <v>42605</v>
      </c>
      <c r="D2782" s="16">
        <v>0.43055555555555558</v>
      </c>
      <c r="E2782" s="1">
        <v>90</v>
      </c>
      <c r="F2782" s="1">
        <v>1</v>
      </c>
      <c r="G2782" s="1">
        <v>0.32704206967464361</v>
      </c>
      <c r="H2782" s="1" t="s">
        <v>143</v>
      </c>
    </row>
    <row r="2783" spans="1:8" x14ac:dyDescent="0.25">
      <c r="A2783" s="1">
        <v>2016</v>
      </c>
      <c r="B2783" s="1">
        <v>236</v>
      </c>
      <c r="C2783" s="15">
        <v>42605</v>
      </c>
      <c r="D2783" s="16">
        <v>0.4381944444444445</v>
      </c>
      <c r="E2783" s="1">
        <v>90</v>
      </c>
      <c r="F2783" s="1">
        <v>2</v>
      </c>
      <c r="G2783" s="1">
        <v>0.33114086581138469</v>
      </c>
      <c r="H2783" s="1" t="s">
        <v>143</v>
      </c>
    </row>
    <row r="2784" spans="1:8" x14ac:dyDescent="0.25">
      <c r="A2784" s="1">
        <v>2016</v>
      </c>
      <c r="B2784" s="1">
        <v>236</v>
      </c>
      <c r="C2784" s="15">
        <v>42605</v>
      </c>
      <c r="D2784" s="16">
        <v>0.41388888888888892</v>
      </c>
      <c r="E2784" s="1">
        <v>90</v>
      </c>
      <c r="F2784" s="1">
        <v>3</v>
      </c>
      <c r="G2784" s="1">
        <v>0.30858603790808881</v>
      </c>
      <c r="H2784" s="1" t="s">
        <v>143</v>
      </c>
    </row>
    <row r="2785" spans="1:8" x14ac:dyDescent="0.25">
      <c r="A2785" s="1">
        <v>2016</v>
      </c>
      <c r="B2785" s="1">
        <v>236</v>
      </c>
      <c r="C2785" s="15">
        <v>42605</v>
      </c>
      <c r="D2785" s="16">
        <v>0.42152777777777778</v>
      </c>
      <c r="E2785" s="1">
        <v>90</v>
      </c>
      <c r="F2785" s="1">
        <v>4</v>
      </c>
      <c r="G2785" s="1">
        <v>0.31728739283524865</v>
      </c>
      <c r="H2785" s="1" t="s">
        <v>143</v>
      </c>
    </row>
    <row r="2786" spans="1:8" x14ac:dyDescent="0.25">
      <c r="A2786" s="1">
        <v>2016</v>
      </c>
      <c r="B2786" s="1">
        <v>236</v>
      </c>
      <c r="C2786" s="15">
        <v>42605</v>
      </c>
      <c r="D2786" s="16">
        <v>0.45833333333333331</v>
      </c>
      <c r="E2786" s="1">
        <v>90</v>
      </c>
      <c r="F2786" s="1">
        <v>5</v>
      </c>
      <c r="G2786" s="1">
        <v>0.28692424379994874</v>
      </c>
      <c r="H2786" s="1" t="s">
        <v>0</v>
      </c>
    </row>
    <row r="2787" spans="1:8" x14ac:dyDescent="0.25">
      <c r="A2787" s="1">
        <v>2016</v>
      </c>
      <c r="B2787" s="1">
        <v>236</v>
      </c>
      <c r="C2787" s="15">
        <v>42605</v>
      </c>
      <c r="D2787" s="16">
        <v>0.45833333333333331</v>
      </c>
      <c r="E2787" s="1">
        <v>90</v>
      </c>
      <c r="F2787" s="1">
        <v>6</v>
      </c>
      <c r="G2787" s="1">
        <v>0.30105249640536352</v>
      </c>
      <c r="H2787" s="1" t="s">
        <v>0</v>
      </c>
    </row>
    <row r="2788" spans="1:8" x14ac:dyDescent="0.25">
      <c r="A2788" s="1">
        <v>2016</v>
      </c>
      <c r="B2788" s="1">
        <v>236</v>
      </c>
      <c r="C2788" s="15">
        <v>42605</v>
      </c>
      <c r="D2788" s="16">
        <v>0.46597222222222223</v>
      </c>
      <c r="E2788" s="1">
        <v>90</v>
      </c>
      <c r="F2788" s="1">
        <v>7</v>
      </c>
      <c r="G2788" s="1">
        <v>0.31502046089369912</v>
      </c>
      <c r="H2788" s="1" t="s">
        <v>143</v>
      </c>
    </row>
    <row r="2789" spans="1:8" x14ac:dyDescent="0.25">
      <c r="A2789" s="1">
        <v>2016</v>
      </c>
      <c r="B2789" s="1">
        <v>236</v>
      </c>
      <c r="C2789" s="15">
        <v>42605</v>
      </c>
      <c r="D2789" s="16">
        <v>0.48680555555555555</v>
      </c>
      <c r="E2789" s="1">
        <v>90</v>
      </c>
      <c r="F2789" s="1">
        <v>8</v>
      </c>
      <c r="G2789" s="1">
        <v>0.30547186877626314</v>
      </c>
      <c r="H2789" s="1" t="s">
        <v>143</v>
      </c>
    </row>
    <row r="2790" spans="1:8" x14ac:dyDescent="0.25">
      <c r="A2790" s="1">
        <v>2016</v>
      </c>
      <c r="B2790" s="1">
        <v>236</v>
      </c>
      <c r="C2790" s="15">
        <v>42605</v>
      </c>
      <c r="D2790" s="16">
        <v>0.47986111111111113</v>
      </c>
      <c r="E2790" s="1">
        <v>90</v>
      </c>
      <c r="F2790" s="1">
        <v>9</v>
      </c>
      <c r="G2790" s="1">
        <v>0.31852390116700291</v>
      </c>
      <c r="H2790" s="1" t="s">
        <v>143</v>
      </c>
    </row>
    <row r="2791" spans="1:8" x14ac:dyDescent="0.25">
      <c r="A2791" s="1">
        <v>2016</v>
      </c>
      <c r="B2791" s="1">
        <v>236</v>
      </c>
      <c r="C2791" s="15">
        <v>42605</v>
      </c>
      <c r="D2791" s="16">
        <v>0.47291666666666665</v>
      </c>
      <c r="E2791" s="1">
        <v>90</v>
      </c>
      <c r="F2791" s="1">
        <v>10</v>
      </c>
      <c r="G2791" s="1">
        <v>0.32713366288440321</v>
      </c>
      <c r="H2791" s="1" t="s">
        <v>143</v>
      </c>
    </row>
    <row r="2792" spans="1:8" x14ac:dyDescent="0.25">
      <c r="A2792" s="1">
        <v>2016</v>
      </c>
      <c r="B2792" s="1">
        <v>236</v>
      </c>
      <c r="C2792" s="15">
        <v>42605</v>
      </c>
      <c r="D2792" s="16">
        <v>0.57708333333333328</v>
      </c>
      <c r="E2792" s="1">
        <v>90</v>
      </c>
      <c r="F2792" s="1">
        <v>11</v>
      </c>
      <c r="G2792" s="1">
        <v>0.29386242943923674</v>
      </c>
      <c r="H2792" s="1" t="s">
        <v>144</v>
      </c>
    </row>
    <row r="2793" spans="1:8" x14ac:dyDescent="0.25">
      <c r="A2793" s="1">
        <v>2016</v>
      </c>
      <c r="B2793" s="1">
        <v>236</v>
      </c>
      <c r="C2793" s="15">
        <v>42605</v>
      </c>
      <c r="D2793" s="16">
        <v>0.59097222222222223</v>
      </c>
      <c r="E2793" s="1">
        <v>90</v>
      </c>
      <c r="F2793" s="1">
        <v>12</v>
      </c>
      <c r="G2793" s="1">
        <v>0.30096090319560398</v>
      </c>
      <c r="H2793" s="1" t="s">
        <v>144</v>
      </c>
    </row>
    <row r="2794" spans="1:8" x14ac:dyDescent="0.25">
      <c r="A2794" s="1">
        <v>2016</v>
      </c>
      <c r="B2794" s="1">
        <v>236</v>
      </c>
      <c r="C2794" s="15">
        <v>42605</v>
      </c>
      <c r="D2794" s="16">
        <v>0.59930555555555554</v>
      </c>
      <c r="E2794" s="1">
        <v>90</v>
      </c>
      <c r="F2794" s="1">
        <v>13</v>
      </c>
      <c r="G2794" s="1">
        <v>0.28296283747784701</v>
      </c>
      <c r="H2794" s="1" t="s">
        <v>144</v>
      </c>
    </row>
    <row r="2795" spans="1:8" x14ac:dyDescent="0.25">
      <c r="A2795" s="1">
        <v>2016</v>
      </c>
      <c r="B2795" s="1">
        <v>236</v>
      </c>
      <c r="C2795" s="15">
        <v>42605</v>
      </c>
      <c r="D2795" s="16">
        <v>0.56944444444444442</v>
      </c>
      <c r="E2795" s="1">
        <v>90</v>
      </c>
      <c r="F2795" s="1">
        <v>14</v>
      </c>
      <c r="G2795" s="1">
        <v>0.29285490413188142</v>
      </c>
      <c r="H2795" s="1" t="s">
        <v>144</v>
      </c>
    </row>
    <row r="2796" spans="1:8" x14ac:dyDescent="0.25">
      <c r="A2796" s="1">
        <v>2016</v>
      </c>
      <c r="B2796" s="1">
        <v>236</v>
      </c>
      <c r="C2796" s="15">
        <v>42605</v>
      </c>
      <c r="D2796" s="16">
        <v>0.5625</v>
      </c>
      <c r="E2796" s="1">
        <v>90</v>
      </c>
      <c r="F2796" s="1">
        <v>15</v>
      </c>
      <c r="G2796" s="1">
        <v>0.29292359903920107</v>
      </c>
      <c r="H2796" s="1" t="s">
        <v>1</v>
      </c>
    </row>
    <row r="2797" spans="1:8" x14ac:dyDescent="0.25">
      <c r="A2797" s="1">
        <v>2016</v>
      </c>
      <c r="B2797" s="1">
        <v>236</v>
      </c>
      <c r="C2797" s="15">
        <v>42605</v>
      </c>
      <c r="D2797" s="16">
        <v>0.5625</v>
      </c>
      <c r="E2797" s="1">
        <v>90</v>
      </c>
      <c r="F2797" s="1">
        <v>16</v>
      </c>
      <c r="G2797" s="1">
        <v>0.2952592258880703</v>
      </c>
      <c r="H2797" s="1" t="s">
        <v>1</v>
      </c>
    </row>
    <row r="2798" spans="1:8" x14ac:dyDescent="0.25">
      <c r="A2798" s="1">
        <v>2016</v>
      </c>
      <c r="B2798" s="1">
        <v>236</v>
      </c>
      <c r="C2798" s="15">
        <v>42605</v>
      </c>
      <c r="D2798" s="16">
        <v>0.55069444444444449</v>
      </c>
      <c r="E2798" s="1">
        <v>90</v>
      </c>
      <c r="F2798" s="1">
        <v>17</v>
      </c>
      <c r="G2798" s="1">
        <v>0.31795144360600558</v>
      </c>
      <c r="H2798" s="1" t="s">
        <v>144</v>
      </c>
    </row>
    <row r="2799" spans="1:8" x14ac:dyDescent="0.25">
      <c r="A2799" s="1">
        <v>2016</v>
      </c>
      <c r="B2799" s="1">
        <v>236</v>
      </c>
      <c r="C2799" s="15">
        <v>42605</v>
      </c>
      <c r="D2799" s="16">
        <v>0.54305555555555551</v>
      </c>
      <c r="E2799" s="1">
        <v>90</v>
      </c>
      <c r="F2799" s="1">
        <v>18</v>
      </c>
      <c r="G2799" s="1">
        <v>0.29988468298092896</v>
      </c>
      <c r="H2799" s="1" t="s">
        <v>144</v>
      </c>
    </row>
    <row r="2800" spans="1:8" x14ac:dyDescent="0.25">
      <c r="A2800" s="1">
        <v>2016</v>
      </c>
      <c r="B2800" s="1">
        <v>236</v>
      </c>
      <c r="C2800" s="15">
        <v>42605</v>
      </c>
      <c r="D2800" s="16">
        <v>0.53611111111111109</v>
      </c>
      <c r="E2800" s="1">
        <v>90</v>
      </c>
      <c r="F2800" s="1">
        <v>19</v>
      </c>
      <c r="G2800" s="1">
        <v>0.28564193886331468</v>
      </c>
      <c r="H2800" s="1" t="s">
        <v>144</v>
      </c>
    </row>
    <row r="2801" spans="1:8" x14ac:dyDescent="0.25">
      <c r="A2801" s="1">
        <v>2016</v>
      </c>
      <c r="B2801" s="1">
        <v>236</v>
      </c>
      <c r="C2801" s="15">
        <v>42605</v>
      </c>
      <c r="D2801" s="16">
        <v>0.52847222222222223</v>
      </c>
      <c r="E2801" s="1">
        <v>90</v>
      </c>
      <c r="F2801" s="1">
        <v>20</v>
      </c>
      <c r="G2801" s="1">
        <v>0.29871686955649435</v>
      </c>
      <c r="H2801" s="1" t="s">
        <v>144</v>
      </c>
    </row>
    <row r="2802" spans="1:8" x14ac:dyDescent="0.25">
      <c r="A2802" s="1">
        <v>2016</v>
      </c>
      <c r="B2802" s="1">
        <v>236</v>
      </c>
      <c r="C2802" s="15">
        <v>42605</v>
      </c>
      <c r="D2802" s="16">
        <v>0.43055555555555558</v>
      </c>
      <c r="E2802" s="1">
        <v>70</v>
      </c>
      <c r="F2802" s="1">
        <v>1</v>
      </c>
      <c r="G2802" s="1">
        <v>0.33473589929444808</v>
      </c>
      <c r="H2802" s="1" t="s">
        <v>143</v>
      </c>
    </row>
    <row r="2803" spans="1:8" x14ac:dyDescent="0.25">
      <c r="A2803" s="1">
        <v>2016</v>
      </c>
      <c r="B2803" s="1">
        <v>236</v>
      </c>
      <c r="C2803" s="15">
        <v>42605</v>
      </c>
      <c r="D2803" s="16">
        <v>0.4381944444444445</v>
      </c>
      <c r="E2803" s="1">
        <v>70</v>
      </c>
      <c r="F2803" s="1">
        <v>2</v>
      </c>
      <c r="G2803" s="1">
        <v>0.33324750963585498</v>
      </c>
      <c r="H2803" s="1" t="s">
        <v>143</v>
      </c>
    </row>
    <row r="2804" spans="1:8" x14ac:dyDescent="0.25">
      <c r="A2804" s="1">
        <v>2016</v>
      </c>
      <c r="B2804" s="1">
        <v>236</v>
      </c>
      <c r="C2804" s="15">
        <v>42605</v>
      </c>
      <c r="D2804" s="16">
        <v>0.41388888888888892</v>
      </c>
      <c r="E2804" s="1">
        <v>70</v>
      </c>
      <c r="F2804" s="1">
        <v>3</v>
      </c>
      <c r="G2804" s="1">
        <v>0.32772901874784044</v>
      </c>
      <c r="H2804" s="1" t="s">
        <v>143</v>
      </c>
    </row>
    <row r="2805" spans="1:8" x14ac:dyDescent="0.25">
      <c r="A2805" s="1">
        <v>2016</v>
      </c>
      <c r="B2805" s="1">
        <v>236</v>
      </c>
      <c r="C2805" s="15">
        <v>42605</v>
      </c>
      <c r="D2805" s="16">
        <v>0.42152777777777778</v>
      </c>
      <c r="E2805" s="1">
        <v>70</v>
      </c>
      <c r="F2805" s="1">
        <v>4</v>
      </c>
      <c r="G2805" s="1">
        <v>0.3190047655182407</v>
      </c>
      <c r="H2805" s="1" t="s">
        <v>143</v>
      </c>
    </row>
    <row r="2806" spans="1:8" x14ac:dyDescent="0.25">
      <c r="A2806" s="1">
        <v>2016</v>
      </c>
      <c r="B2806" s="1">
        <v>236</v>
      </c>
      <c r="C2806" s="15">
        <v>42605</v>
      </c>
      <c r="D2806" s="16">
        <v>0.45833333333333331</v>
      </c>
      <c r="E2806" s="1">
        <v>70</v>
      </c>
      <c r="F2806" s="1">
        <v>5</v>
      </c>
      <c r="G2806" s="1">
        <v>0.31032630889352075</v>
      </c>
      <c r="H2806" s="1" t="s">
        <v>0</v>
      </c>
    </row>
    <row r="2807" spans="1:8" x14ac:dyDescent="0.25">
      <c r="A2807" s="1">
        <v>2016</v>
      </c>
      <c r="B2807" s="1">
        <v>236</v>
      </c>
      <c r="C2807" s="15">
        <v>42605</v>
      </c>
      <c r="D2807" s="16">
        <v>0.45833333333333331</v>
      </c>
      <c r="E2807" s="1">
        <v>70</v>
      </c>
      <c r="F2807" s="1">
        <v>6</v>
      </c>
      <c r="G2807" s="1">
        <v>0.32878234066007561</v>
      </c>
      <c r="H2807" s="1" t="s">
        <v>0</v>
      </c>
    </row>
    <row r="2808" spans="1:8" x14ac:dyDescent="0.25">
      <c r="A2808" s="1">
        <v>2016</v>
      </c>
      <c r="B2808" s="1">
        <v>236</v>
      </c>
      <c r="C2808" s="15">
        <v>42605</v>
      </c>
      <c r="D2808" s="16">
        <v>0.46597222222222223</v>
      </c>
      <c r="E2808" s="1">
        <v>70</v>
      </c>
      <c r="F2808" s="1">
        <v>7</v>
      </c>
      <c r="G2808" s="1">
        <v>0.31371525765462516</v>
      </c>
      <c r="H2808" s="1" t="s">
        <v>143</v>
      </c>
    </row>
    <row r="2809" spans="1:8" x14ac:dyDescent="0.25">
      <c r="A2809" s="1">
        <v>2016</v>
      </c>
      <c r="B2809" s="1">
        <v>236</v>
      </c>
      <c r="C2809" s="15">
        <v>42605</v>
      </c>
      <c r="D2809" s="16">
        <v>0.48680555555555555</v>
      </c>
      <c r="E2809" s="1">
        <v>70</v>
      </c>
      <c r="F2809" s="1">
        <v>8</v>
      </c>
      <c r="G2809" s="1">
        <v>0.30157915736148111</v>
      </c>
      <c r="H2809" s="1" t="s">
        <v>143</v>
      </c>
    </row>
    <row r="2810" spans="1:8" x14ac:dyDescent="0.25">
      <c r="A2810" s="1">
        <v>2016</v>
      </c>
      <c r="B2810" s="1">
        <v>236</v>
      </c>
      <c r="C2810" s="15">
        <v>42605</v>
      </c>
      <c r="D2810" s="16">
        <v>0.47986111111111113</v>
      </c>
      <c r="E2810" s="1">
        <v>70</v>
      </c>
      <c r="F2810" s="1">
        <v>9</v>
      </c>
      <c r="G2810" s="1">
        <v>0.32818698479663833</v>
      </c>
      <c r="H2810" s="1" t="s">
        <v>143</v>
      </c>
    </row>
    <row r="2811" spans="1:8" x14ac:dyDescent="0.25">
      <c r="A2811" s="1">
        <v>2016</v>
      </c>
      <c r="B2811" s="1">
        <v>236</v>
      </c>
      <c r="C2811" s="15">
        <v>42605</v>
      </c>
      <c r="D2811" s="16">
        <v>0.47291666666666665</v>
      </c>
      <c r="E2811" s="1">
        <v>70</v>
      </c>
      <c r="F2811" s="1">
        <v>10</v>
      </c>
      <c r="G2811" s="1">
        <v>0.33425503494321035</v>
      </c>
      <c r="H2811" s="1" t="s">
        <v>143</v>
      </c>
    </row>
    <row r="2812" spans="1:8" x14ac:dyDescent="0.25">
      <c r="A2812" s="1">
        <v>2016</v>
      </c>
      <c r="B2812" s="1">
        <v>236</v>
      </c>
      <c r="C2812" s="15">
        <v>42605</v>
      </c>
      <c r="D2812" s="16">
        <v>0.57708333333333328</v>
      </c>
      <c r="E2812" s="1">
        <v>70</v>
      </c>
      <c r="F2812" s="1">
        <v>11</v>
      </c>
      <c r="G2812" s="1">
        <v>0.31939403665971894</v>
      </c>
      <c r="H2812" s="1" t="s">
        <v>144</v>
      </c>
    </row>
    <row r="2813" spans="1:8" x14ac:dyDescent="0.25">
      <c r="A2813" s="1">
        <v>2016</v>
      </c>
      <c r="B2813" s="1">
        <v>236</v>
      </c>
      <c r="C2813" s="15">
        <v>42605</v>
      </c>
      <c r="D2813" s="16">
        <v>0.59097222222222223</v>
      </c>
      <c r="E2813" s="1">
        <v>70</v>
      </c>
      <c r="F2813" s="1">
        <v>12</v>
      </c>
      <c r="G2813" s="1">
        <v>0.29986178467848906</v>
      </c>
      <c r="H2813" s="1" t="s">
        <v>144</v>
      </c>
    </row>
    <row r="2814" spans="1:8" x14ac:dyDescent="0.25">
      <c r="A2814" s="1">
        <v>2016</v>
      </c>
      <c r="B2814" s="1">
        <v>236</v>
      </c>
      <c r="C2814" s="15">
        <v>42605</v>
      </c>
      <c r="D2814" s="16">
        <v>0.59930555555555554</v>
      </c>
      <c r="E2814" s="1">
        <v>70</v>
      </c>
      <c r="F2814" s="1">
        <v>13</v>
      </c>
      <c r="G2814" s="1">
        <v>0.29390822604411648</v>
      </c>
      <c r="H2814" s="1" t="s">
        <v>144</v>
      </c>
    </row>
    <row r="2815" spans="1:8" x14ac:dyDescent="0.25">
      <c r="A2815" s="1">
        <v>2016</v>
      </c>
      <c r="B2815" s="1">
        <v>236</v>
      </c>
      <c r="C2815" s="15">
        <v>42605</v>
      </c>
      <c r="D2815" s="16">
        <v>0.56944444444444442</v>
      </c>
      <c r="E2815" s="1">
        <v>70</v>
      </c>
      <c r="F2815" s="1">
        <v>14</v>
      </c>
      <c r="G2815" s="1">
        <v>0.31671493527425126</v>
      </c>
      <c r="H2815" s="1" t="s">
        <v>144</v>
      </c>
    </row>
    <row r="2816" spans="1:8" x14ac:dyDescent="0.25">
      <c r="A2816" s="1">
        <v>2016</v>
      </c>
      <c r="B2816" s="1">
        <v>236</v>
      </c>
      <c r="C2816" s="15">
        <v>42605</v>
      </c>
      <c r="D2816" s="16">
        <v>0.5625</v>
      </c>
      <c r="E2816" s="1">
        <v>70</v>
      </c>
      <c r="F2816" s="1">
        <v>15</v>
      </c>
      <c r="G2816" s="1">
        <v>0.31250164762531074</v>
      </c>
      <c r="H2816" s="1" t="s">
        <v>1</v>
      </c>
    </row>
    <row r="2817" spans="1:8" x14ac:dyDescent="0.25">
      <c r="A2817" s="1">
        <v>2016</v>
      </c>
      <c r="B2817" s="1">
        <v>236</v>
      </c>
      <c r="C2817" s="15">
        <v>42605</v>
      </c>
      <c r="D2817" s="16">
        <v>0.5625</v>
      </c>
      <c r="E2817" s="1">
        <v>70</v>
      </c>
      <c r="F2817" s="1">
        <v>16</v>
      </c>
      <c r="G2817" s="1">
        <v>0.31806593511820502</v>
      </c>
      <c r="H2817" s="1" t="s">
        <v>1</v>
      </c>
    </row>
    <row r="2818" spans="1:8" x14ac:dyDescent="0.25">
      <c r="A2818" s="1">
        <v>2016</v>
      </c>
      <c r="B2818" s="1">
        <v>236</v>
      </c>
      <c r="C2818" s="15">
        <v>42605</v>
      </c>
      <c r="D2818" s="16">
        <v>0.55069444444444449</v>
      </c>
      <c r="E2818" s="1">
        <v>70</v>
      </c>
      <c r="F2818" s="1">
        <v>17</v>
      </c>
      <c r="G2818" s="1">
        <v>0.31863839267920235</v>
      </c>
      <c r="H2818" s="1" t="s">
        <v>144</v>
      </c>
    </row>
    <row r="2819" spans="1:8" x14ac:dyDescent="0.25">
      <c r="A2819" s="1">
        <v>2016</v>
      </c>
      <c r="B2819" s="1">
        <v>236</v>
      </c>
      <c r="C2819" s="15">
        <v>42605</v>
      </c>
      <c r="D2819" s="16">
        <v>0.54305555555555551</v>
      </c>
      <c r="E2819" s="1">
        <v>70</v>
      </c>
      <c r="F2819" s="1">
        <v>18</v>
      </c>
      <c r="G2819" s="1">
        <v>0.3020829200151588</v>
      </c>
      <c r="H2819" s="1" t="s">
        <v>144</v>
      </c>
    </row>
    <row r="2820" spans="1:8" x14ac:dyDescent="0.25">
      <c r="A2820" s="1">
        <v>2016</v>
      </c>
      <c r="B2820" s="1">
        <v>236</v>
      </c>
      <c r="C2820" s="15">
        <v>42605</v>
      </c>
      <c r="D2820" s="16">
        <v>0.53611111111111109</v>
      </c>
      <c r="E2820" s="1">
        <v>70</v>
      </c>
      <c r="F2820" s="1">
        <v>19</v>
      </c>
      <c r="G2820" s="1">
        <v>0.28946595537077702</v>
      </c>
      <c r="H2820" s="1" t="s">
        <v>144</v>
      </c>
    </row>
    <row r="2821" spans="1:8" x14ac:dyDescent="0.25">
      <c r="A2821" s="1">
        <v>2016</v>
      </c>
      <c r="B2821" s="1">
        <v>236</v>
      </c>
      <c r="C2821" s="15">
        <v>42605</v>
      </c>
      <c r="D2821" s="16">
        <v>0.52847222222222223</v>
      </c>
      <c r="E2821" s="1">
        <v>70</v>
      </c>
      <c r="F2821" s="1">
        <v>20</v>
      </c>
      <c r="G2821" s="1">
        <v>0.31259324083507029</v>
      </c>
      <c r="H2821" s="1" t="s">
        <v>144</v>
      </c>
    </row>
    <row r="2822" spans="1:8" x14ac:dyDescent="0.25">
      <c r="A2822" s="1">
        <v>2016</v>
      </c>
      <c r="B2822" s="1">
        <v>236</v>
      </c>
      <c r="C2822" s="15">
        <v>42605</v>
      </c>
      <c r="D2822" s="16">
        <v>0.43055555555555558</v>
      </c>
      <c r="E2822" s="1">
        <v>50</v>
      </c>
      <c r="F2822" s="1">
        <v>1</v>
      </c>
      <c r="G2822" s="1">
        <v>0.34506303369484048</v>
      </c>
      <c r="H2822" s="1" t="s">
        <v>143</v>
      </c>
    </row>
    <row r="2823" spans="1:8" x14ac:dyDescent="0.25">
      <c r="A2823" s="1">
        <v>2016</v>
      </c>
      <c r="B2823" s="1">
        <v>236</v>
      </c>
      <c r="C2823" s="15">
        <v>42605</v>
      </c>
      <c r="D2823" s="16">
        <v>0.4381944444444445</v>
      </c>
      <c r="E2823" s="1">
        <v>50</v>
      </c>
      <c r="F2823" s="1">
        <v>2</v>
      </c>
      <c r="G2823" s="1">
        <v>0.34842908415350493</v>
      </c>
      <c r="H2823" s="1" t="s">
        <v>143</v>
      </c>
    </row>
    <row r="2824" spans="1:8" x14ac:dyDescent="0.25">
      <c r="A2824" s="1">
        <v>2016</v>
      </c>
      <c r="B2824" s="1">
        <v>236</v>
      </c>
      <c r="C2824" s="15">
        <v>42605</v>
      </c>
      <c r="D2824" s="16">
        <v>0.41388888888888892</v>
      </c>
      <c r="E2824" s="1">
        <v>50</v>
      </c>
      <c r="F2824" s="1">
        <v>3</v>
      </c>
      <c r="G2824" s="1">
        <v>0.34936791455354055</v>
      </c>
      <c r="H2824" s="1" t="s">
        <v>143</v>
      </c>
    </row>
    <row r="2825" spans="1:8" x14ac:dyDescent="0.25">
      <c r="A2825" s="1">
        <v>2016</v>
      </c>
      <c r="B2825" s="1">
        <v>236</v>
      </c>
      <c r="C2825" s="15">
        <v>42605</v>
      </c>
      <c r="D2825" s="16">
        <v>0.42152777777777778</v>
      </c>
      <c r="E2825" s="1">
        <v>50</v>
      </c>
      <c r="F2825" s="1">
        <v>4</v>
      </c>
      <c r="G2825" s="1">
        <v>0.32878234066007561</v>
      </c>
      <c r="H2825" s="1" t="s">
        <v>143</v>
      </c>
    </row>
    <row r="2826" spans="1:8" x14ac:dyDescent="0.25">
      <c r="A2826" s="1">
        <v>2016</v>
      </c>
      <c r="B2826" s="1">
        <v>236</v>
      </c>
      <c r="C2826" s="15">
        <v>42605</v>
      </c>
      <c r="D2826" s="16">
        <v>0.45833333333333331</v>
      </c>
      <c r="E2826" s="1">
        <v>50</v>
      </c>
      <c r="F2826" s="1">
        <v>5</v>
      </c>
      <c r="G2826" s="1">
        <v>0.34540650823143887</v>
      </c>
      <c r="H2826" s="1" t="s">
        <v>0</v>
      </c>
    </row>
    <row r="2827" spans="1:8" x14ac:dyDescent="0.25">
      <c r="A2827" s="1">
        <v>2016</v>
      </c>
      <c r="B2827" s="1">
        <v>236</v>
      </c>
      <c r="C2827" s="15">
        <v>42605</v>
      </c>
      <c r="D2827" s="16">
        <v>0.45833333333333331</v>
      </c>
      <c r="E2827" s="1">
        <v>50</v>
      </c>
      <c r="F2827" s="1">
        <v>6</v>
      </c>
      <c r="G2827" s="1">
        <v>0.35048993137309542</v>
      </c>
      <c r="H2827" s="1" t="s">
        <v>0</v>
      </c>
    </row>
    <row r="2828" spans="1:8" x14ac:dyDescent="0.25">
      <c r="A2828" s="1">
        <v>2016</v>
      </c>
      <c r="B2828" s="1">
        <v>236</v>
      </c>
      <c r="C2828" s="15">
        <v>42605</v>
      </c>
      <c r="D2828" s="16">
        <v>0.46597222222222223</v>
      </c>
      <c r="E2828" s="1">
        <v>50</v>
      </c>
      <c r="F2828" s="1">
        <v>7</v>
      </c>
      <c r="G2828" s="1">
        <v>0.34171988153861593</v>
      </c>
      <c r="H2828" s="1" t="s">
        <v>143</v>
      </c>
    </row>
    <row r="2829" spans="1:8" x14ac:dyDescent="0.25">
      <c r="A2829" s="1">
        <v>2016</v>
      </c>
      <c r="B2829" s="1">
        <v>236</v>
      </c>
      <c r="C2829" s="15">
        <v>42605</v>
      </c>
      <c r="D2829" s="16">
        <v>0.48680555555555555</v>
      </c>
      <c r="E2829" s="1">
        <v>50</v>
      </c>
      <c r="F2829" s="1">
        <v>8</v>
      </c>
      <c r="G2829" s="1">
        <v>0.33308722151877568</v>
      </c>
      <c r="H2829" s="1" t="s">
        <v>143</v>
      </c>
    </row>
    <row r="2830" spans="1:8" x14ac:dyDescent="0.25">
      <c r="A2830" s="1">
        <v>2016</v>
      </c>
      <c r="B2830" s="1">
        <v>236</v>
      </c>
      <c r="C2830" s="15">
        <v>42605</v>
      </c>
      <c r="D2830" s="16">
        <v>0.47986111111111113</v>
      </c>
      <c r="E2830" s="1">
        <v>50</v>
      </c>
      <c r="F2830" s="1">
        <v>9</v>
      </c>
      <c r="G2830" s="1">
        <v>0.34055206811418126</v>
      </c>
      <c r="H2830" s="1" t="s">
        <v>143</v>
      </c>
    </row>
    <row r="2831" spans="1:8" x14ac:dyDescent="0.25">
      <c r="A2831" s="1">
        <v>2016</v>
      </c>
      <c r="B2831" s="1">
        <v>236</v>
      </c>
      <c r="C2831" s="15">
        <v>42605</v>
      </c>
      <c r="D2831" s="16">
        <v>0.47291666666666665</v>
      </c>
      <c r="E2831" s="1">
        <v>50</v>
      </c>
      <c r="F2831" s="1">
        <v>10</v>
      </c>
      <c r="G2831" s="1">
        <v>0.35376438862200027</v>
      </c>
      <c r="H2831" s="1" t="s">
        <v>143</v>
      </c>
    </row>
    <row r="2832" spans="1:8" x14ac:dyDescent="0.25">
      <c r="A2832" s="1">
        <v>2016</v>
      </c>
      <c r="B2832" s="1">
        <v>236</v>
      </c>
      <c r="C2832" s="15">
        <v>42605</v>
      </c>
      <c r="D2832" s="16">
        <v>0.57708333333333328</v>
      </c>
      <c r="E2832" s="1">
        <v>50</v>
      </c>
      <c r="F2832" s="1">
        <v>11</v>
      </c>
      <c r="G2832" s="1">
        <v>0.33736920407503596</v>
      </c>
      <c r="H2832" s="1" t="s">
        <v>144</v>
      </c>
    </row>
    <row r="2833" spans="1:8" x14ac:dyDescent="0.25">
      <c r="A2833" s="1">
        <v>2016</v>
      </c>
      <c r="B2833" s="1">
        <v>236</v>
      </c>
      <c r="C2833" s="15">
        <v>42605</v>
      </c>
      <c r="D2833" s="16">
        <v>0.59097222222222223</v>
      </c>
      <c r="E2833" s="1">
        <v>50</v>
      </c>
      <c r="F2833" s="1">
        <v>12</v>
      </c>
      <c r="G2833" s="1">
        <v>0.32777481535272024</v>
      </c>
      <c r="H2833" s="1" t="s">
        <v>144</v>
      </c>
    </row>
    <row r="2834" spans="1:8" x14ac:dyDescent="0.25">
      <c r="A2834" s="1">
        <v>2016</v>
      </c>
      <c r="B2834" s="1">
        <v>236</v>
      </c>
      <c r="C2834" s="15">
        <v>42605</v>
      </c>
      <c r="D2834" s="16">
        <v>0.59930555555555554</v>
      </c>
      <c r="E2834" s="1">
        <v>50</v>
      </c>
      <c r="F2834" s="1">
        <v>13</v>
      </c>
      <c r="G2834" s="1">
        <v>0.30643359747873872</v>
      </c>
      <c r="H2834" s="1" t="s">
        <v>144</v>
      </c>
    </row>
    <row r="2835" spans="1:8" x14ac:dyDescent="0.25">
      <c r="A2835" s="1">
        <v>2016</v>
      </c>
      <c r="B2835" s="1">
        <v>236</v>
      </c>
      <c r="C2835" s="15">
        <v>42605</v>
      </c>
      <c r="D2835" s="16">
        <v>0.56944444444444442</v>
      </c>
      <c r="E2835" s="1">
        <v>50</v>
      </c>
      <c r="F2835" s="1">
        <v>14</v>
      </c>
      <c r="G2835" s="1">
        <v>0.31163151213259471</v>
      </c>
      <c r="H2835" s="1" t="s">
        <v>144</v>
      </c>
    </row>
    <row r="2836" spans="1:8" x14ac:dyDescent="0.25">
      <c r="A2836" s="1">
        <v>2016</v>
      </c>
      <c r="B2836" s="1">
        <v>236</v>
      </c>
      <c r="C2836" s="15">
        <v>42605</v>
      </c>
      <c r="D2836" s="16">
        <v>0.5625</v>
      </c>
      <c r="E2836" s="1">
        <v>50</v>
      </c>
      <c r="F2836" s="1">
        <v>15</v>
      </c>
      <c r="G2836" s="1">
        <v>0.33938425468974665</v>
      </c>
      <c r="H2836" s="1" t="s">
        <v>1</v>
      </c>
    </row>
    <row r="2837" spans="1:8" x14ac:dyDescent="0.25">
      <c r="A2837" s="1">
        <v>2016</v>
      </c>
      <c r="B2837" s="1">
        <v>236</v>
      </c>
      <c r="C2837" s="15">
        <v>42605</v>
      </c>
      <c r="D2837" s="16">
        <v>0.5625</v>
      </c>
      <c r="E2837" s="1">
        <v>50</v>
      </c>
      <c r="F2837" s="1">
        <v>16</v>
      </c>
      <c r="G2837" s="1">
        <v>0.3476963384754283</v>
      </c>
      <c r="H2837" s="1" t="s">
        <v>1</v>
      </c>
    </row>
    <row r="2838" spans="1:8" x14ac:dyDescent="0.25">
      <c r="A2838" s="1">
        <v>2016</v>
      </c>
      <c r="B2838" s="1">
        <v>236</v>
      </c>
      <c r="C2838" s="15">
        <v>42605</v>
      </c>
      <c r="D2838" s="16">
        <v>0.55069444444444449</v>
      </c>
      <c r="E2838" s="1">
        <v>50</v>
      </c>
      <c r="F2838" s="1">
        <v>17</v>
      </c>
      <c r="G2838" s="1">
        <v>0.35706174417334507</v>
      </c>
      <c r="H2838" s="1" t="s">
        <v>144</v>
      </c>
    </row>
    <row r="2839" spans="1:8" x14ac:dyDescent="0.25">
      <c r="A2839" s="1">
        <v>2016</v>
      </c>
      <c r="B2839" s="1">
        <v>236</v>
      </c>
      <c r="C2839" s="15">
        <v>42605</v>
      </c>
      <c r="D2839" s="16">
        <v>0.54305555555555551</v>
      </c>
      <c r="E2839" s="1">
        <v>50</v>
      </c>
      <c r="F2839" s="1">
        <v>18</v>
      </c>
      <c r="G2839" s="1">
        <v>0.33730050916771626</v>
      </c>
      <c r="H2839" s="1" t="s">
        <v>144</v>
      </c>
    </row>
    <row r="2840" spans="1:8" x14ac:dyDescent="0.25">
      <c r="A2840" s="1">
        <v>2016</v>
      </c>
      <c r="B2840" s="1">
        <v>236</v>
      </c>
      <c r="C2840" s="15">
        <v>42605</v>
      </c>
      <c r="D2840" s="16">
        <v>0.53611111111111109</v>
      </c>
      <c r="E2840" s="1">
        <v>50</v>
      </c>
      <c r="F2840" s="1">
        <v>19</v>
      </c>
      <c r="G2840" s="1">
        <v>0.3207450365036727</v>
      </c>
      <c r="H2840" s="1" t="s">
        <v>144</v>
      </c>
    </row>
    <row r="2841" spans="1:8" x14ac:dyDescent="0.25">
      <c r="A2841" s="1">
        <v>2016</v>
      </c>
      <c r="B2841" s="1">
        <v>236</v>
      </c>
      <c r="C2841" s="15">
        <v>42605</v>
      </c>
      <c r="D2841" s="16">
        <v>0.52847222222222223</v>
      </c>
      <c r="E2841" s="1">
        <v>50</v>
      </c>
      <c r="F2841" s="1">
        <v>20</v>
      </c>
      <c r="G2841" s="1">
        <v>0.33775847521651414</v>
      </c>
      <c r="H2841" s="1" t="s">
        <v>144</v>
      </c>
    </row>
    <row r="2842" spans="1:8" x14ac:dyDescent="0.25">
      <c r="A2842" s="1">
        <v>2016</v>
      </c>
      <c r="B2842" s="1">
        <v>236</v>
      </c>
      <c r="C2842" s="15">
        <v>42605</v>
      </c>
      <c r="D2842" s="16">
        <v>0.43055555555555558</v>
      </c>
      <c r="E2842" s="1">
        <v>30</v>
      </c>
      <c r="F2842" s="1">
        <v>1</v>
      </c>
      <c r="G2842" s="1">
        <v>0.3493908128559805</v>
      </c>
      <c r="H2842" s="1" t="s">
        <v>143</v>
      </c>
    </row>
    <row r="2843" spans="1:8" x14ac:dyDescent="0.25">
      <c r="A2843" s="1">
        <v>2016</v>
      </c>
      <c r="B2843" s="1">
        <v>236</v>
      </c>
      <c r="C2843" s="15">
        <v>42605</v>
      </c>
      <c r="D2843" s="16">
        <v>0.4381944444444445</v>
      </c>
      <c r="E2843" s="1">
        <v>30</v>
      </c>
      <c r="F2843" s="1">
        <v>2</v>
      </c>
      <c r="G2843" s="1">
        <v>0.33775847521651414</v>
      </c>
      <c r="H2843" s="1" t="s">
        <v>143</v>
      </c>
    </row>
    <row r="2844" spans="1:8" x14ac:dyDescent="0.25">
      <c r="A2844" s="1">
        <v>2016</v>
      </c>
      <c r="B2844" s="1">
        <v>236</v>
      </c>
      <c r="C2844" s="15">
        <v>42605</v>
      </c>
      <c r="D2844" s="16">
        <v>0.41388888888888892</v>
      </c>
      <c r="E2844" s="1">
        <v>30</v>
      </c>
      <c r="F2844" s="1">
        <v>3</v>
      </c>
      <c r="G2844" s="1">
        <v>0.32312645995742167</v>
      </c>
      <c r="H2844" s="1" t="s">
        <v>143</v>
      </c>
    </row>
    <row r="2845" spans="1:8" x14ac:dyDescent="0.25">
      <c r="A2845" s="1">
        <v>2016</v>
      </c>
      <c r="B2845" s="1">
        <v>236</v>
      </c>
      <c r="C2845" s="15">
        <v>42605</v>
      </c>
      <c r="D2845" s="16">
        <v>0.42152777777777778</v>
      </c>
      <c r="E2845" s="1">
        <v>30</v>
      </c>
      <c r="F2845" s="1">
        <v>4</v>
      </c>
      <c r="G2845" s="1">
        <v>0.31877578249384175</v>
      </c>
      <c r="H2845" s="1" t="s">
        <v>143</v>
      </c>
    </row>
    <row r="2846" spans="1:8" x14ac:dyDescent="0.25">
      <c r="A2846" s="1">
        <v>2016</v>
      </c>
      <c r="B2846" s="1">
        <v>236</v>
      </c>
      <c r="C2846" s="15">
        <v>42605</v>
      </c>
      <c r="D2846" s="16">
        <v>0.45833333333333331</v>
      </c>
      <c r="E2846" s="1">
        <v>30</v>
      </c>
      <c r="F2846" s="1">
        <v>5</v>
      </c>
      <c r="G2846" s="1">
        <v>0.34046047490442172</v>
      </c>
      <c r="H2846" s="1" t="s">
        <v>0</v>
      </c>
    </row>
    <row r="2847" spans="1:8" x14ac:dyDescent="0.25">
      <c r="A2847" s="1">
        <v>2016</v>
      </c>
      <c r="B2847" s="1">
        <v>236</v>
      </c>
      <c r="C2847" s="15">
        <v>42605</v>
      </c>
      <c r="D2847" s="16">
        <v>0.45833333333333331</v>
      </c>
      <c r="E2847" s="1">
        <v>30</v>
      </c>
      <c r="F2847" s="1">
        <v>6</v>
      </c>
      <c r="G2847" s="1">
        <v>0.33633878046524068</v>
      </c>
      <c r="H2847" s="1" t="s">
        <v>0</v>
      </c>
    </row>
    <row r="2848" spans="1:8" x14ac:dyDescent="0.25">
      <c r="A2848" s="1">
        <v>2016</v>
      </c>
      <c r="B2848" s="1">
        <v>236</v>
      </c>
      <c r="C2848" s="15">
        <v>42605</v>
      </c>
      <c r="D2848" s="16">
        <v>0.46597222222222223</v>
      </c>
      <c r="E2848" s="1">
        <v>30</v>
      </c>
      <c r="F2848" s="1">
        <v>7</v>
      </c>
      <c r="G2848" s="1">
        <v>0.33182781488458157</v>
      </c>
      <c r="H2848" s="1" t="s">
        <v>143</v>
      </c>
    </row>
    <row r="2849" spans="1:8" x14ac:dyDescent="0.25">
      <c r="A2849" s="1">
        <v>2016</v>
      </c>
      <c r="B2849" s="1">
        <v>236</v>
      </c>
      <c r="C2849" s="15">
        <v>42605</v>
      </c>
      <c r="D2849" s="16">
        <v>0.48680555555555555</v>
      </c>
      <c r="E2849" s="1">
        <v>30</v>
      </c>
      <c r="F2849" s="1">
        <v>8</v>
      </c>
      <c r="G2849" s="1">
        <v>0.33894918694338866</v>
      </c>
      <c r="H2849" s="1" t="s">
        <v>143</v>
      </c>
    </row>
    <row r="2850" spans="1:8" x14ac:dyDescent="0.25">
      <c r="A2850" s="1">
        <v>2016</v>
      </c>
      <c r="B2850" s="1">
        <v>236</v>
      </c>
      <c r="C2850" s="15">
        <v>42605</v>
      </c>
      <c r="D2850" s="16">
        <v>0.47986111111111113</v>
      </c>
      <c r="E2850" s="1">
        <v>30</v>
      </c>
      <c r="F2850" s="1">
        <v>9</v>
      </c>
      <c r="G2850" s="1">
        <v>0.32839306951859737</v>
      </c>
      <c r="H2850" s="1" t="s">
        <v>143</v>
      </c>
    </row>
    <row r="2851" spans="1:8" x14ac:dyDescent="0.25">
      <c r="A2851" s="1">
        <v>2016</v>
      </c>
      <c r="B2851" s="1">
        <v>236</v>
      </c>
      <c r="C2851" s="15">
        <v>42605</v>
      </c>
      <c r="D2851" s="16">
        <v>0.47291666666666665</v>
      </c>
      <c r="E2851" s="1">
        <v>30</v>
      </c>
      <c r="F2851" s="1">
        <v>10</v>
      </c>
      <c r="G2851" s="1">
        <v>0.33993381394830413</v>
      </c>
      <c r="H2851" s="1" t="s">
        <v>143</v>
      </c>
    </row>
    <row r="2852" spans="1:8" x14ac:dyDescent="0.25">
      <c r="A2852" s="1">
        <v>2016</v>
      </c>
      <c r="B2852" s="1">
        <v>236</v>
      </c>
      <c r="C2852" s="15">
        <v>42605</v>
      </c>
      <c r="D2852" s="16">
        <v>0.57708333333333328</v>
      </c>
      <c r="E2852" s="1">
        <v>30</v>
      </c>
      <c r="F2852" s="1">
        <v>11</v>
      </c>
      <c r="G2852" s="1">
        <v>0.31245585102043094</v>
      </c>
      <c r="H2852" s="1" t="s">
        <v>144</v>
      </c>
    </row>
    <row r="2853" spans="1:8" x14ac:dyDescent="0.25">
      <c r="A2853" s="1">
        <v>2016</v>
      </c>
      <c r="B2853" s="1">
        <v>236</v>
      </c>
      <c r="C2853" s="15">
        <v>42605</v>
      </c>
      <c r="D2853" s="16">
        <v>0.59097222222222223</v>
      </c>
      <c r="E2853" s="1">
        <v>30</v>
      </c>
      <c r="F2853" s="1">
        <v>12</v>
      </c>
      <c r="G2853" s="1">
        <v>0.29237403978064358</v>
      </c>
      <c r="H2853" s="1" t="s">
        <v>144</v>
      </c>
    </row>
    <row r="2854" spans="1:8" x14ac:dyDescent="0.25">
      <c r="A2854" s="1">
        <v>2016</v>
      </c>
      <c r="B2854" s="1">
        <v>236</v>
      </c>
      <c r="C2854" s="15">
        <v>42605</v>
      </c>
      <c r="D2854" s="16">
        <v>0.59930555555555554</v>
      </c>
      <c r="E2854" s="1">
        <v>30</v>
      </c>
      <c r="F2854" s="1">
        <v>13</v>
      </c>
      <c r="G2854" s="1">
        <v>0.2341894532808721</v>
      </c>
      <c r="H2854" s="1" t="s">
        <v>144</v>
      </c>
    </row>
    <row r="2855" spans="1:8" x14ac:dyDescent="0.25">
      <c r="A2855" s="1">
        <v>2016</v>
      </c>
      <c r="B2855" s="1">
        <v>236</v>
      </c>
      <c r="C2855" s="15">
        <v>42605</v>
      </c>
      <c r="D2855" s="16">
        <v>0.56944444444444442</v>
      </c>
      <c r="E2855" s="1">
        <v>30</v>
      </c>
      <c r="F2855" s="1">
        <v>14</v>
      </c>
      <c r="G2855" s="1">
        <v>0.21852701441198435</v>
      </c>
      <c r="H2855" s="1" t="s">
        <v>144</v>
      </c>
    </row>
    <row r="2856" spans="1:8" x14ac:dyDescent="0.25">
      <c r="A2856" s="1">
        <v>2016</v>
      </c>
      <c r="B2856" s="1">
        <v>236</v>
      </c>
      <c r="C2856" s="15">
        <v>42605</v>
      </c>
      <c r="D2856" s="16">
        <v>0.5625</v>
      </c>
      <c r="E2856" s="1">
        <v>30</v>
      </c>
      <c r="F2856" s="1">
        <v>15</v>
      </c>
      <c r="G2856" s="1">
        <v>0.34847488075838473</v>
      </c>
      <c r="H2856" s="1" t="s">
        <v>1</v>
      </c>
    </row>
    <row r="2857" spans="1:8" x14ac:dyDescent="0.25">
      <c r="A2857" s="1">
        <v>2016</v>
      </c>
      <c r="B2857" s="1">
        <v>236</v>
      </c>
      <c r="C2857" s="15">
        <v>42605</v>
      </c>
      <c r="D2857" s="16">
        <v>0.5625</v>
      </c>
      <c r="E2857" s="1">
        <v>30</v>
      </c>
      <c r="F2857" s="1">
        <v>16</v>
      </c>
      <c r="G2857" s="1">
        <v>0.3446737625533623</v>
      </c>
      <c r="H2857" s="1" t="s">
        <v>1</v>
      </c>
    </row>
    <row r="2858" spans="1:8" x14ac:dyDescent="0.25">
      <c r="A2858" s="1">
        <v>2016</v>
      </c>
      <c r="B2858" s="1">
        <v>236</v>
      </c>
      <c r="C2858" s="15">
        <v>42605</v>
      </c>
      <c r="D2858" s="16">
        <v>0.55069444444444449</v>
      </c>
      <c r="E2858" s="1">
        <v>30</v>
      </c>
      <c r="F2858" s="1">
        <v>17</v>
      </c>
      <c r="G2858" s="1">
        <v>0.34426159310944421</v>
      </c>
      <c r="H2858" s="1" t="s">
        <v>144</v>
      </c>
    </row>
    <row r="2859" spans="1:8" x14ac:dyDescent="0.25">
      <c r="A2859" s="1">
        <v>2016</v>
      </c>
      <c r="B2859" s="1">
        <v>236</v>
      </c>
      <c r="C2859" s="15">
        <v>42605</v>
      </c>
      <c r="D2859" s="16">
        <v>0.54305555555555551</v>
      </c>
      <c r="E2859" s="1">
        <v>30</v>
      </c>
      <c r="F2859" s="1">
        <v>18</v>
      </c>
      <c r="G2859" s="1">
        <v>0.31561581675713635</v>
      </c>
      <c r="H2859" s="1" t="s">
        <v>144</v>
      </c>
    </row>
    <row r="2860" spans="1:8" x14ac:dyDescent="0.25">
      <c r="A2860" s="1">
        <v>2016</v>
      </c>
      <c r="B2860" s="1">
        <v>236</v>
      </c>
      <c r="C2860" s="15">
        <v>42605</v>
      </c>
      <c r="D2860" s="16">
        <v>0.53611111111111109</v>
      </c>
      <c r="E2860" s="1">
        <v>30</v>
      </c>
      <c r="F2860" s="1">
        <v>19</v>
      </c>
      <c r="G2860" s="1">
        <v>0.31000573265936221</v>
      </c>
      <c r="H2860" s="1" t="s">
        <v>144</v>
      </c>
    </row>
    <row r="2861" spans="1:8" x14ac:dyDescent="0.25">
      <c r="A2861" s="1">
        <v>2016</v>
      </c>
      <c r="B2861" s="1">
        <v>236</v>
      </c>
      <c r="C2861" s="15">
        <v>42605</v>
      </c>
      <c r="D2861" s="16">
        <v>0.52847222222222223</v>
      </c>
      <c r="E2861" s="1">
        <v>30</v>
      </c>
      <c r="F2861" s="1">
        <v>20</v>
      </c>
      <c r="G2861" s="1">
        <v>0.32127169745979023</v>
      </c>
      <c r="H2861" s="1" t="s">
        <v>144</v>
      </c>
    </row>
    <row r="2862" spans="1:8" x14ac:dyDescent="0.25">
      <c r="A2862" s="1">
        <v>2016</v>
      </c>
      <c r="B2862" s="1">
        <v>236</v>
      </c>
      <c r="C2862" s="15">
        <v>42605</v>
      </c>
      <c r="D2862" s="16">
        <v>0.43055555555555558</v>
      </c>
      <c r="E2862" s="1">
        <v>10</v>
      </c>
      <c r="F2862" s="1">
        <v>1</v>
      </c>
      <c r="G2862" s="1">
        <v>0.30145469340258818</v>
      </c>
      <c r="H2862" s="1" t="s">
        <v>143</v>
      </c>
    </row>
    <row r="2863" spans="1:8" x14ac:dyDescent="0.25">
      <c r="A2863" s="1">
        <v>2016</v>
      </c>
      <c r="B2863" s="1">
        <v>236</v>
      </c>
      <c r="C2863" s="15">
        <v>42605</v>
      </c>
      <c r="D2863" s="16">
        <v>0.4381944444444445</v>
      </c>
      <c r="E2863" s="1">
        <v>10</v>
      </c>
      <c r="F2863" s="1">
        <v>2</v>
      </c>
      <c r="G2863" s="1">
        <v>0.28455586688141604</v>
      </c>
      <c r="H2863" s="1" t="s">
        <v>143</v>
      </c>
    </row>
    <row r="2864" spans="1:8" x14ac:dyDescent="0.25">
      <c r="A2864" s="1">
        <v>2016</v>
      </c>
      <c r="B2864" s="1">
        <v>236</v>
      </c>
      <c r="C2864" s="15">
        <v>42605</v>
      </c>
      <c r="D2864" s="16">
        <v>0.41388888888888892</v>
      </c>
      <c r="E2864" s="1">
        <v>10</v>
      </c>
      <c r="F2864" s="1">
        <v>3</v>
      </c>
      <c r="G2864" s="1">
        <v>0.27093706230703213</v>
      </c>
      <c r="H2864" s="1" t="s">
        <v>143</v>
      </c>
    </row>
    <row r="2865" spans="1:8" x14ac:dyDescent="0.25">
      <c r="A2865" s="1">
        <v>2016</v>
      </c>
      <c r="B2865" s="1">
        <v>236</v>
      </c>
      <c r="C2865" s="15">
        <v>42605</v>
      </c>
      <c r="D2865" s="16">
        <v>0.42152777777777778</v>
      </c>
      <c r="E2865" s="1">
        <v>10</v>
      </c>
      <c r="F2865" s="1">
        <v>4</v>
      </c>
      <c r="G2865" s="1">
        <v>0.23955626754126869</v>
      </c>
      <c r="H2865" s="1" t="s">
        <v>143</v>
      </c>
    </row>
    <row r="2866" spans="1:8" x14ac:dyDescent="0.25">
      <c r="A2866" s="1">
        <v>2016</v>
      </c>
      <c r="B2866" s="1">
        <v>236</v>
      </c>
      <c r="C2866" s="15">
        <v>42605</v>
      </c>
      <c r="D2866" s="16">
        <v>0.45833333333333331</v>
      </c>
      <c r="E2866" s="1">
        <v>10</v>
      </c>
      <c r="F2866" s="1">
        <v>5</v>
      </c>
      <c r="G2866" s="1">
        <v>0.31758626332802037</v>
      </c>
      <c r="H2866" s="1" t="s">
        <v>0</v>
      </c>
    </row>
    <row r="2867" spans="1:8" x14ac:dyDescent="0.25">
      <c r="A2867" s="1">
        <v>2016</v>
      </c>
      <c r="B2867" s="1">
        <v>236</v>
      </c>
      <c r="C2867" s="15">
        <v>42605</v>
      </c>
      <c r="D2867" s="16">
        <v>0.45833333333333331</v>
      </c>
      <c r="E2867" s="1">
        <v>10</v>
      </c>
      <c r="F2867" s="1">
        <v>6</v>
      </c>
      <c r="G2867" s="1">
        <v>0.29608389723240863</v>
      </c>
      <c r="H2867" s="1" t="s">
        <v>0</v>
      </c>
    </row>
    <row r="2868" spans="1:8" x14ac:dyDescent="0.25">
      <c r="A2868" s="1">
        <v>2016</v>
      </c>
      <c r="B2868" s="1">
        <v>236</v>
      </c>
      <c r="C2868" s="15">
        <v>42605</v>
      </c>
      <c r="D2868" s="16">
        <v>0.46597222222222223</v>
      </c>
      <c r="E2868" s="1">
        <v>10</v>
      </c>
      <c r="F2868" s="1">
        <v>7</v>
      </c>
      <c r="G2868" s="1">
        <v>0.29510564507284015</v>
      </c>
      <c r="H2868" s="1" t="s">
        <v>143</v>
      </c>
    </row>
    <row r="2869" spans="1:8" x14ac:dyDescent="0.25">
      <c r="A2869" s="1">
        <v>2016</v>
      </c>
      <c r="B2869" s="1">
        <v>236</v>
      </c>
      <c r="C2869" s="15">
        <v>42605</v>
      </c>
      <c r="D2869" s="16">
        <v>0.48680555555555555</v>
      </c>
      <c r="E2869" s="1">
        <v>10</v>
      </c>
      <c r="F2869" s="1">
        <v>8</v>
      </c>
      <c r="G2869" s="1">
        <v>0.28434487131758757</v>
      </c>
      <c r="H2869" s="1" t="s">
        <v>143</v>
      </c>
    </row>
    <row r="2870" spans="1:8" x14ac:dyDescent="0.25">
      <c r="A2870" s="1">
        <v>2016</v>
      </c>
      <c r="B2870" s="1">
        <v>236</v>
      </c>
      <c r="C2870" s="15">
        <v>42605</v>
      </c>
      <c r="D2870" s="16">
        <v>0.47986111111111113</v>
      </c>
      <c r="E2870" s="1">
        <v>10</v>
      </c>
      <c r="F2870" s="1">
        <v>9</v>
      </c>
      <c r="G2870" s="1">
        <v>0.26873119959427977</v>
      </c>
      <c r="H2870" s="1" t="s">
        <v>143</v>
      </c>
    </row>
    <row r="2871" spans="1:8" x14ac:dyDescent="0.25">
      <c r="A2871" s="1">
        <v>2016</v>
      </c>
      <c r="B2871" s="1">
        <v>236</v>
      </c>
      <c r="C2871" s="15">
        <v>42605</v>
      </c>
      <c r="D2871" s="16">
        <v>0.47291666666666665</v>
      </c>
      <c r="E2871" s="1">
        <v>10</v>
      </c>
      <c r="F2871" s="1">
        <v>10</v>
      </c>
      <c r="G2871" s="1">
        <v>0.28288708378568167</v>
      </c>
      <c r="H2871" s="1" t="s">
        <v>143</v>
      </c>
    </row>
    <row r="2872" spans="1:8" x14ac:dyDescent="0.25">
      <c r="A2872" s="1">
        <v>2016</v>
      </c>
      <c r="B2872" s="1">
        <v>236</v>
      </c>
      <c r="C2872" s="15">
        <v>42605</v>
      </c>
      <c r="D2872" s="16">
        <v>0.57708333333333328</v>
      </c>
      <c r="E2872" s="1">
        <v>10</v>
      </c>
      <c r="F2872" s="1">
        <v>11</v>
      </c>
      <c r="G2872" s="1">
        <v>0.26052155401986249</v>
      </c>
      <c r="H2872" s="1" t="s">
        <v>144</v>
      </c>
    </row>
    <row r="2873" spans="1:8" x14ac:dyDescent="0.25">
      <c r="A2873" s="1">
        <v>2016</v>
      </c>
      <c r="B2873" s="1">
        <v>236</v>
      </c>
      <c r="C2873" s="15">
        <v>42605</v>
      </c>
      <c r="D2873" s="16">
        <v>0.59097222222222223</v>
      </c>
      <c r="E2873" s="1">
        <v>10</v>
      </c>
      <c r="F2873" s="1">
        <v>12</v>
      </c>
      <c r="G2873" s="1">
        <v>0.24208821430721045</v>
      </c>
      <c r="H2873" s="1" t="s">
        <v>144</v>
      </c>
    </row>
    <row r="2874" spans="1:8" x14ac:dyDescent="0.25">
      <c r="A2874" s="1">
        <v>2016</v>
      </c>
      <c r="B2874" s="1">
        <v>236</v>
      </c>
      <c r="C2874" s="15">
        <v>42605</v>
      </c>
      <c r="D2874" s="16">
        <v>0.59930555555555554</v>
      </c>
      <c r="E2874" s="1">
        <v>10</v>
      </c>
      <c r="F2874" s="1">
        <v>13</v>
      </c>
      <c r="G2874" s="1">
        <v>0.27118642070064758</v>
      </c>
      <c r="H2874" s="1" t="s">
        <v>144</v>
      </c>
    </row>
    <row r="2875" spans="1:8" x14ac:dyDescent="0.25">
      <c r="A2875" s="1">
        <v>2016</v>
      </c>
      <c r="B2875" s="1">
        <v>236</v>
      </c>
      <c r="C2875" s="15">
        <v>42605</v>
      </c>
      <c r="D2875" s="16">
        <v>0.56944444444444442</v>
      </c>
      <c r="E2875" s="1">
        <v>10</v>
      </c>
      <c r="F2875" s="1">
        <v>14</v>
      </c>
      <c r="G2875" s="1">
        <v>0.26899973940278876</v>
      </c>
      <c r="H2875" s="1" t="s">
        <v>144</v>
      </c>
    </row>
    <row r="2876" spans="1:8" x14ac:dyDescent="0.25">
      <c r="A2876" s="1">
        <v>2016</v>
      </c>
      <c r="B2876" s="1">
        <v>236</v>
      </c>
      <c r="C2876" s="15">
        <v>42605</v>
      </c>
      <c r="D2876" s="16">
        <v>0.5625</v>
      </c>
      <c r="E2876" s="1">
        <v>10</v>
      </c>
      <c r="F2876" s="1">
        <v>15</v>
      </c>
      <c r="G2876" s="1">
        <v>0.30410172865789092</v>
      </c>
      <c r="H2876" s="1" t="s">
        <v>1</v>
      </c>
    </row>
    <row r="2877" spans="1:8" x14ac:dyDescent="0.25">
      <c r="A2877" s="1">
        <v>2016</v>
      </c>
      <c r="B2877" s="1">
        <v>236</v>
      </c>
      <c r="C2877" s="15">
        <v>42605</v>
      </c>
      <c r="D2877" s="16">
        <v>0.5625</v>
      </c>
      <c r="E2877" s="1">
        <v>10</v>
      </c>
      <c r="F2877" s="1">
        <v>16</v>
      </c>
      <c r="G2877" s="1">
        <v>0.29861584399835039</v>
      </c>
      <c r="H2877" s="1" t="s">
        <v>1</v>
      </c>
    </row>
    <row r="2878" spans="1:8" x14ac:dyDescent="0.25">
      <c r="A2878" s="1">
        <v>2016</v>
      </c>
      <c r="B2878" s="1">
        <v>236</v>
      </c>
      <c r="C2878" s="15">
        <v>42605</v>
      </c>
      <c r="D2878" s="16">
        <v>0.55069444444444449</v>
      </c>
      <c r="E2878" s="1">
        <v>10</v>
      </c>
      <c r="F2878" s="1">
        <v>17</v>
      </c>
      <c r="G2878" s="1">
        <v>0.2782259999665615</v>
      </c>
      <c r="H2878" s="1" t="s">
        <v>144</v>
      </c>
    </row>
    <row r="2879" spans="1:8" x14ac:dyDescent="0.25">
      <c r="A2879" s="1">
        <v>2016</v>
      </c>
      <c r="B2879" s="1">
        <v>236</v>
      </c>
      <c r="C2879" s="15">
        <v>42605</v>
      </c>
      <c r="D2879" s="16">
        <v>0.54305555555555551</v>
      </c>
      <c r="E2879" s="1">
        <v>10</v>
      </c>
      <c r="F2879" s="1">
        <v>18</v>
      </c>
      <c r="G2879" s="1">
        <v>0.24845644405185197</v>
      </c>
      <c r="H2879" s="1" t="s">
        <v>144</v>
      </c>
    </row>
    <row r="2880" spans="1:8" x14ac:dyDescent="0.25">
      <c r="A2880" s="1">
        <v>2016</v>
      </c>
      <c r="B2880" s="1">
        <v>236</v>
      </c>
      <c r="C2880" s="15">
        <v>42605</v>
      </c>
      <c r="D2880" s="16">
        <v>0.53611111111111109</v>
      </c>
      <c r="E2880" s="1">
        <v>10</v>
      </c>
      <c r="F2880" s="1">
        <v>19</v>
      </c>
      <c r="G2880" s="1">
        <v>0.27358409756233493</v>
      </c>
      <c r="H2880" s="1" t="s">
        <v>144</v>
      </c>
    </row>
    <row r="2881" spans="1:8" x14ac:dyDescent="0.25">
      <c r="A2881" s="1">
        <v>2016</v>
      </c>
      <c r="B2881" s="1">
        <v>236</v>
      </c>
      <c r="C2881" s="15">
        <v>42605</v>
      </c>
      <c r="D2881" s="16">
        <v>0.52847222222222223</v>
      </c>
      <c r="E2881" s="1">
        <v>10</v>
      </c>
      <c r="F2881" s="1">
        <v>20</v>
      </c>
      <c r="G2881" s="1">
        <v>0.27448562406232935</v>
      </c>
      <c r="H2881" s="1" t="s">
        <v>144</v>
      </c>
    </row>
    <row r="2882" spans="1:8" x14ac:dyDescent="0.25">
      <c r="A2882" s="1">
        <v>2016</v>
      </c>
      <c r="B2882" s="1">
        <v>256</v>
      </c>
      <c r="C2882" s="15">
        <v>42625</v>
      </c>
      <c r="D2882" s="16">
        <v>0.32708333333333334</v>
      </c>
      <c r="E2882" s="1">
        <v>230</v>
      </c>
      <c r="F2882" s="1">
        <v>1</v>
      </c>
      <c r="G2882" s="1">
        <v>0.29038238795323074</v>
      </c>
      <c r="H2882" s="1" t="s">
        <v>143</v>
      </c>
    </row>
    <row r="2883" spans="1:8" x14ac:dyDescent="0.25">
      <c r="A2883" s="1">
        <v>2016</v>
      </c>
      <c r="B2883" s="1">
        <v>256</v>
      </c>
      <c r="C2883" s="15">
        <v>42625</v>
      </c>
      <c r="D2883" s="16">
        <v>0.3125</v>
      </c>
      <c r="E2883" s="1">
        <v>230</v>
      </c>
      <c r="F2883" s="1">
        <v>2</v>
      </c>
      <c r="G2883" s="1">
        <v>0.29252348350925694</v>
      </c>
      <c r="H2883" s="1" t="s">
        <v>143</v>
      </c>
    </row>
    <row r="2884" spans="1:8" x14ac:dyDescent="0.25">
      <c r="A2884" s="1">
        <v>2016</v>
      </c>
      <c r="B2884" s="1">
        <v>256</v>
      </c>
      <c r="C2884" s="15">
        <v>42625</v>
      </c>
      <c r="D2884" s="16">
        <v>0.3430555555555555</v>
      </c>
      <c r="E2884" s="1">
        <v>230</v>
      </c>
      <c r="F2884" s="1">
        <v>3</v>
      </c>
      <c r="G2884" s="1">
        <v>0.26289850681587662</v>
      </c>
      <c r="H2884" s="1" t="s">
        <v>143</v>
      </c>
    </row>
    <row r="2885" spans="1:8" x14ac:dyDescent="0.25">
      <c r="A2885" s="1">
        <v>2016</v>
      </c>
      <c r="B2885" s="1">
        <v>256</v>
      </c>
      <c r="C2885" s="15">
        <v>42625</v>
      </c>
      <c r="D2885" s="16">
        <v>0.33402777777777781</v>
      </c>
      <c r="E2885" s="1">
        <v>230</v>
      </c>
      <c r="F2885" s="1">
        <v>4</v>
      </c>
      <c r="G2885" s="1">
        <v>0.27000305116087259</v>
      </c>
      <c r="H2885" s="1" t="s">
        <v>143</v>
      </c>
    </row>
    <row r="2886" spans="1:8" x14ac:dyDescent="0.25">
      <c r="A2886" s="1">
        <v>2016</v>
      </c>
      <c r="B2886" s="1">
        <v>256</v>
      </c>
      <c r="C2886" s="15">
        <v>42625</v>
      </c>
      <c r="D2886" s="16">
        <v>0.35069444444444442</v>
      </c>
      <c r="E2886" s="1">
        <v>230</v>
      </c>
      <c r="F2886" s="1">
        <v>5</v>
      </c>
      <c r="G2886" s="1" t="e">
        <v>#N/A</v>
      </c>
      <c r="H2886" s="1" t="s">
        <v>0</v>
      </c>
    </row>
    <row r="2887" spans="1:8" x14ac:dyDescent="0.25">
      <c r="A2887" s="1">
        <v>2016</v>
      </c>
      <c r="B2887" s="1">
        <v>256</v>
      </c>
      <c r="C2887" s="15">
        <v>42625</v>
      </c>
      <c r="D2887" s="16">
        <v>0.35625000000000001</v>
      </c>
      <c r="E2887" s="1">
        <v>230</v>
      </c>
      <c r="F2887" s="1">
        <v>6</v>
      </c>
      <c r="G2887" s="1" t="e">
        <v>#N/A</v>
      </c>
      <c r="H2887" s="1" t="s">
        <v>0</v>
      </c>
    </row>
    <row r="2888" spans="1:8" x14ac:dyDescent="0.25">
      <c r="A2888" s="1">
        <v>2016</v>
      </c>
      <c r="B2888" s="1">
        <v>256</v>
      </c>
      <c r="C2888" s="15">
        <v>42625</v>
      </c>
      <c r="D2888" s="16">
        <v>0.36180555555555555</v>
      </c>
      <c r="E2888" s="1">
        <v>230</v>
      </c>
      <c r="F2888" s="1">
        <v>7</v>
      </c>
      <c r="G2888" s="1">
        <v>0.26143866893676787</v>
      </c>
      <c r="H2888" s="1" t="s">
        <v>143</v>
      </c>
    </row>
    <row r="2889" spans="1:8" x14ac:dyDescent="0.25">
      <c r="A2889" s="1">
        <v>2016</v>
      </c>
      <c r="B2889" s="1">
        <v>256</v>
      </c>
      <c r="C2889" s="15">
        <v>42625</v>
      </c>
      <c r="D2889" s="16">
        <v>0.36874999999999997</v>
      </c>
      <c r="E2889" s="1">
        <v>230</v>
      </c>
      <c r="F2889" s="1">
        <v>8</v>
      </c>
      <c r="G2889" s="1">
        <v>0.30396861248146956</v>
      </c>
      <c r="H2889" s="1" t="s">
        <v>143</v>
      </c>
    </row>
    <row r="2890" spans="1:8" x14ac:dyDescent="0.25">
      <c r="A2890" s="1">
        <v>2016</v>
      </c>
      <c r="B2890" s="1">
        <v>256</v>
      </c>
      <c r="C2890" s="15">
        <v>42625</v>
      </c>
      <c r="D2890" s="16">
        <v>0.375</v>
      </c>
      <c r="E2890" s="1">
        <v>230</v>
      </c>
      <c r="F2890" s="1">
        <v>9</v>
      </c>
      <c r="G2890" s="1">
        <v>0.30178858791533381</v>
      </c>
      <c r="H2890" s="1" t="s">
        <v>143</v>
      </c>
    </row>
    <row r="2891" spans="1:8" x14ac:dyDescent="0.25">
      <c r="A2891" s="1">
        <v>2016</v>
      </c>
      <c r="B2891" s="1">
        <v>256</v>
      </c>
      <c r="C2891" s="15">
        <v>42625</v>
      </c>
      <c r="D2891" s="16">
        <v>0.38194444444444442</v>
      </c>
      <c r="E2891" s="1">
        <v>230</v>
      </c>
      <c r="F2891" s="1">
        <v>10</v>
      </c>
      <c r="G2891" s="1">
        <v>0.25861631570382432</v>
      </c>
      <c r="H2891" s="1" t="s">
        <v>143</v>
      </c>
    </row>
    <row r="2892" spans="1:8" x14ac:dyDescent="0.25">
      <c r="A2892" s="1">
        <v>2016</v>
      </c>
      <c r="B2892" s="1">
        <v>256</v>
      </c>
      <c r="C2892" s="15">
        <v>42625</v>
      </c>
      <c r="D2892" s="16">
        <v>0.4513888888888889</v>
      </c>
      <c r="E2892" s="1">
        <v>230</v>
      </c>
      <c r="F2892" s="1">
        <v>11</v>
      </c>
      <c r="G2892" s="1">
        <v>0.28859165348819066</v>
      </c>
      <c r="H2892" s="1" t="s">
        <v>144</v>
      </c>
    </row>
    <row r="2893" spans="1:8" x14ac:dyDescent="0.25">
      <c r="A2893" s="1">
        <v>2016</v>
      </c>
      <c r="B2893" s="1">
        <v>256</v>
      </c>
      <c r="C2893" s="15">
        <v>42625</v>
      </c>
      <c r="D2893" s="16">
        <v>0.45833333333333331</v>
      </c>
      <c r="E2893" s="1">
        <v>230</v>
      </c>
      <c r="F2893" s="1">
        <v>12</v>
      </c>
      <c r="G2893" s="1">
        <v>0.29347724425694133</v>
      </c>
      <c r="H2893" s="1" t="s">
        <v>144</v>
      </c>
    </row>
    <row r="2894" spans="1:8" x14ac:dyDescent="0.25">
      <c r="A2894" s="1">
        <v>2016</v>
      </c>
      <c r="B2894" s="1">
        <v>256</v>
      </c>
      <c r="C2894" s="15">
        <v>42625</v>
      </c>
      <c r="D2894" s="16">
        <v>0.46527777777777773</v>
      </c>
      <c r="E2894" s="1">
        <v>230</v>
      </c>
      <c r="F2894" s="1">
        <v>13</v>
      </c>
      <c r="G2894" s="1">
        <v>0.27885940096079898</v>
      </c>
      <c r="H2894" s="1" t="s">
        <v>144</v>
      </c>
    </row>
    <row r="2895" spans="1:8" x14ac:dyDescent="0.25">
      <c r="A2895" s="1">
        <v>2016</v>
      </c>
      <c r="B2895" s="1">
        <v>256</v>
      </c>
      <c r="C2895" s="15">
        <v>42625</v>
      </c>
      <c r="D2895" s="16">
        <v>0.44444444444444442</v>
      </c>
      <c r="E2895" s="1">
        <v>230</v>
      </c>
      <c r="F2895" s="1">
        <v>14</v>
      </c>
      <c r="G2895" s="1">
        <v>0.27327308801007616</v>
      </c>
      <c r="H2895" s="1" t="s">
        <v>144</v>
      </c>
    </row>
    <row r="2896" spans="1:8" x14ac:dyDescent="0.25">
      <c r="A2896" s="1">
        <v>2016</v>
      </c>
      <c r="B2896" s="1">
        <v>256</v>
      </c>
      <c r="C2896" s="15">
        <v>42625</v>
      </c>
      <c r="D2896" s="16">
        <v>0.44166666666666665</v>
      </c>
      <c r="E2896" s="1">
        <v>230</v>
      </c>
      <c r="F2896" s="1">
        <v>15</v>
      </c>
      <c r="G2896" s="1" t="e">
        <v>#N/A</v>
      </c>
      <c r="H2896" s="1" t="s">
        <v>1</v>
      </c>
    </row>
    <row r="2897" spans="1:8" x14ac:dyDescent="0.25">
      <c r="A2897" s="1">
        <v>2016</v>
      </c>
      <c r="B2897" s="1">
        <v>256</v>
      </c>
      <c r="C2897" s="15">
        <v>42625</v>
      </c>
      <c r="D2897" s="16">
        <v>0.43194444444444446</v>
      </c>
      <c r="E2897" s="1">
        <v>230</v>
      </c>
      <c r="F2897" s="1">
        <v>16</v>
      </c>
      <c r="G2897" s="1" t="e">
        <v>#N/A</v>
      </c>
      <c r="H2897" s="1" t="s">
        <v>1</v>
      </c>
    </row>
    <row r="2898" spans="1:8" x14ac:dyDescent="0.25">
      <c r="A2898" s="1">
        <v>2016</v>
      </c>
      <c r="B2898" s="1">
        <v>256</v>
      </c>
      <c r="C2898" s="15">
        <v>42625</v>
      </c>
      <c r="D2898" s="16">
        <v>0.42430555555555555</v>
      </c>
      <c r="E2898" s="1">
        <v>230</v>
      </c>
      <c r="F2898" s="1">
        <v>17</v>
      </c>
      <c r="G2898" s="1">
        <v>0.29491761763099528</v>
      </c>
      <c r="H2898" s="1" t="s">
        <v>144</v>
      </c>
    </row>
    <row r="2899" spans="1:8" x14ac:dyDescent="0.25">
      <c r="A2899" s="1">
        <v>2016</v>
      </c>
      <c r="B2899" s="1">
        <v>256</v>
      </c>
      <c r="C2899" s="15">
        <v>42625</v>
      </c>
      <c r="D2899" s="16">
        <v>0.41736111111111113</v>
      </c>
      <c r="E2899" s="1">
        <v>230</v>
      </c>
      <c r="F2899" s="1">
        <v>18</v>
      </c>
      <c r="G2899" s="1">
        <v>0.2938470698529822</v>
      </c>
      <c r="H2899" s="1" t="s">
        <v>144</v>
      </c>
    </row>
    <row r="2900" spans="1:8" x14ac:dyDescent="0.25">
      <c r="A2900" s="1">
        <v>2016</v>
      </c>
      <c r="B2900" s="1">
        <v>256</v>
      </c>
      <c r="C2900" s="15">
        <v>42625</v>
      </c>
      <c r="D2900" s="16">
        <v>0.41111111111111115</v>
      </c>
      <c r="E2900" s="1">
        <v>230</v>
      </c>
      <c r="F2900" s="1">
        <v>19</v>
      </c>
      <c r="G2900" s="1">
        <v>0.27743849209179983</v>
      </c>
      <c r="H2900" s="1" t="s">
        <v>144</v>
      </c>
    </row>
    <row r="2901" spans="1:8" x14ac:dyDescent="0.25">
      <c r="A2901" s="1">
        <v>2016</v>
      </c>
      <c r="B2901" s="1">
        <v>256</v>
      </c>
      <c r="C2901" s="15">
        <v>42625</v>
      </c>
      <c r="D2901" s="16">
        <v>0.40486111111111112</v>
      </c>
      <c r="E2901" s="1">
        <v>230</v>
      </c>
      <c r="F2901" s="1">
        <v>20</v>
      </c>
      <c r="G2901" s="1">
        <v>0.29719496472240498</v>
      </c>
      <c r="H2901" s="1" t="s">
        <v>144</v>
      </c>
    </row>
    <row r="2902" spans="1:8" x14ac:dyDescent="0.25">
      <c r="A2902" s="1">
        <v>2016</v>
      </c>
      <c r="B2902" s="1">
        <v>256</v>
      </c>
      <c r="C2902" s="15">
        <v>42625</v>
      </c>
      <c r="D2902" s="16">
        <v>0.32708333333333334</v>
      </c>
      <c r="E2902" s="1">
        <v>210</v>
      </c>
      <c r="F2902" s="1">
        <v>1</v>
      </c>
      <c r="G2902" s="1">
        <v>0.29544315926747439</v>
      </c>
      <c r="H2902" s="1" t="s">
        <v>143</v>
      </c>
    </row>
    <row r="2903" spans="1:8" x14ac:dyDescent="0.25">
      <c r="A2903" s="1">
        <v>2016</v>
      </c>
      <c r="B2903" s="1">
        <v>256</v>
      </c>
      <c r="C2903" s="15">
        <v>42625</v>
      </c>
      <c r="D2903" s="16">
        <v>0.3125</v>
      </c>
      <c r="E2903" s="1">
        <v>210</v>
      </c>
      <c r="F2903" s="1">
        <v>2</v>
      </c>
      <c r="G2903" s="1">
        <v>0.29330206371144829</v>
      </c>
      <c r="H2903" s="1" t="s">
        <v>143</v>
      </c>
    </row>
    <row r="2904" spans="1:8" x14ac:dyDescent="0.25">
      <c r="A2904" s="1">
        <v>2016</v>
      </c>
      <c r="B2904" s="1">
        <v>256</v>
      </c>
      <c r="C2904" s="15">
        <v>42625</v>
      </c>
      <c r="D2904" s="16">
        <v>0.3430555555555555</v>
      </c>
      <c r="E2904" s="1">
        <v>210</v>
      </c>
      <c r="F2904" s="1">
        <v>3</v>
      </c>
      <c r="G2904" s="1">
        <v>0.26011508259304261</v>
      </c>
      <c r="H2904" s="1" t="s">
        <v>143</v>
      </c>
    </row>
    <row r="2905" spans="1:8" x14ac:dyDescent="0.25">
      <c r="A2905" s="1">
        <v>2016</v>
      </c>
      <c r="B2905" s="1">
        <v>256</v>
      </c>
      <c r="C2905" s="15">
        <v>42625</v>
      </c>
      <c r="D2905" s="16">
        <v>0.33402777777777781</v>
      </c>
      <c r="E2905" s="1">
        <v>210</v>
      </c>
      <c r="F2905" s="1">
        <v>4</v>
      </c>
      <c r="G2905" s="1">
        <v>0.28031923883990773</v>
      </c>
      <c r="H2905" s="1" t="s">
        <v>143</v>
      </c>
    </row>
    <row r="2906" spans="1:8" x14ac:dyDescent="0.25">
      <c r="A2906" s="1">
        <v>2016</v>
      </c>
      <c r="B2906" s="1">
        <v>256</v>
      </c>
      <c r="C2906" s="15">
        <v>42625</v>
      </c>
      <c r="D2906" s="16">
        <v>0.35069444444444442</v>
      </c>
      <c r="E2906" s="1">
        <v>210</v>
      </c>
      <c r="F2906" s="1">
        <v>5</v>
      </c>
      <c r="G2906" s="1" t="e">
        <v>#N/A</v>
      </c>
      <c r="H2906" s="1" t="s">
        <v>0</v>
      </c>
    </row>
    <row r="2907" spans="1:8" x14ac:dyDescent="0.25">
      <c r="A2907" s="1">
        <v>2016</v>
      </c>
      <c r="B2907" s="1">
        <v>256</v>
      </c>
      <c r="C2907" s="15">
        <v>42625</v>
      </c>
      <c r="D2907" s="16">
        <v>0.35625000000000001</v>
      </c>
      <c r="E2907" s="1">
        <v>210</v>
      </c>
      <c r="F2907" s="1">
        <v>6</v>
      </c>
      <c r="G2907" s="1" t="e">
        <v>#N/A</v>
      </c>
      <c r="H2907" s="1" t="s">
        <v>0</v>
      </c>
    </row>
    <row r="2908" spans="1:8" x14ac:dyDescent="0.25">
      <c r="A2908" s="1">
        <v>2016</v>
      </c>
      <c r="B2908" s="1">
        <v>256</v>
      </c>
      <c r="C2908" s="15">
        <v>42625</v>
      </c>
      <c r="D2908" s="16">
        <v>0.36180555555555555</v>
      </c>
      <c r="E2908" s="1">
        <v>210</v>
      </c>
      <c r="F2908" s="1">
        <v>7</v>
      </c>
      <c r="G2908" s="1">
        <v>0.26192528156313744</v>
      </c>
      <c r="H2908" s="1" t="s">
        <v>143</v>
      </c>
    </row>
    <row r="2909" spans="1:8" x14ac:dyDescent="0.25">
      <c r="A2909" s="1">
        <v>2016</v>
      </c>
      <c r="B2909" s="1">
        <v>256</v>
      </c>
      <c r="C2909" s="15">
        <v>42625</v>
      </c>
      <c r="D2909" s="16">
        <v>0.36874999999999997</v>
      </c>
      <c r="E2909" s="1">
        <v>210</v>
      </c>
      <c r="F2909" s="1">
        <v>8</v>
      </c>
      <c r="G2909" s="1">
        <v>0.29147240023629861</v>
      </c>
      <c r="H2909" s="1" t="s">
        <v>143</v>
      </c>
    </row>
    <row r="2910" spans="1:8" x14ac:dyDescent="0.25">
      <c r="A2910" s="1">
        <v>2016</v>
      </c>
      <c r="B2910" s="1">
        <v>256</v>
      </c>
      <c r="C2910" s="15">
        <v>42625</v>
      </c>
      <c r="D2910" s="16">
        <v>0.375</v>
      </c>
      <c r="E2910" s="1">
        <v>210</v>
      </c>
      <c r="F2910" s="1">
        <v>9</v>
      </c>
      <c r="G2910" s="1">
        <v>0.28565251322491836</v>
      </c>
      <c r="H2910" s="1" t="s">
        <v>143</v>
      </c>
    </row>
    <row r="2911" spans="1:8" x14ac:dyDescent="0.25">
      <c r="A2911" s="1">
        <v>2016</v>
      </c>
      <c r="B2911" s="1">
        <v>256</v>
      </c>
      <c r="C2911" s="15">
        <v>42625</v>
      </c>
      <c r="D2911" s="16">
        <v>0.38194444444444442</v>
      </c>
      <c r="E2911" s="1">
        <v>210</v>
      </c>
      <c r="F2911" s="1">
        <v>10</v>
      </c>
      <c r="G2911" s="1">
        <v>0.25351661537947107</v>
      </c>
      <c r="H2911" s="1" t="s">
        <v>143</v>
      </c>
    </row>
    <row r="2912" spans="1:8" x14ac:dyDescent="0.25">
      <c r="A2912" s="1">
        <v>2016</v>
      </c>
      <c r="B2912" s="1">
        <v>256</v>
      </c>
      <c r="C2912" s="15">
        <v>42625</v>
      </c>
      <c r="D2912" s="16">
        <v>0.4513888888888889</v>
      </c>
      <c r="E2912" s="1">
        <v>210</v>
      </c>
      <c r="F2912" s="1">
        <v>11</v>
      </c>
      <c r="G2912" s="1">
        <v>0.29655263605559712</v>
      </c>
      <c r="H2912" s="1" t="s">
        <v>144</v>
      </c>
    </row>
    <row r="2913" spans="1:8" x14ac:dyDescent="0.25">
      <c r="A2913" s="1">
        <v>2016</v>
      </c>
      <c r="B2913" s="1">
        <v>256</v>
      </c>
      <c r="C2913" s="15">
        <v>42625</v>
      </c>
      <c r="D2913" s="16">
        <v>0.45833333333333331</v>
      </c>
      <c r="E2913" s="1">
        <v>210</v>
      </c>
      <c r="F2913" s="1">
        <v>12</v>
      </c>
      <c r="G2913" s="1">
        <v>0.30173019440016946</v>
      </c>
      <c r="H2913" s="1" t="s">
        <v>144</v>
      </c>
    </row>
    <row r="2914" spans="1:8" x14ac:dyDescent="0.25">
      <c r="A2914" s="1">
        <v>2016</v>
      </c>
      <c r="B2914" s="1">
        <v>256</v>
      </c>
      <c r="C2914" s="15">
        <v>42625</v>
      </c>
      <c r="D2914" s="16">
        <v>0.46527777777777773</v>
      </c>
      <c r="E2914" s="1">
        <v>210</v>
      </c>
      <c r="F2914" s="1">
        <v>13</v>
      </c>
      <c r="G2914" s="1">
        <v>0.28781307328599931</v>
      </c>
      <c r="H2914" s="1" t="s">
        <v>144</v>
      </c>
    </row>
    <row r="2915" spans="1:8" x14ac:dyDescent="0.25">
      <c r="A2915" s="1">
        <v>2016</v>
      </c>
      <c r="B2915" s="1">
        <v>256</v>
      </c>
      <c r="C2915" s="15">
        <v>42625</v>
      </c>
      <c r="D2915" s="16">
        <v>0.44444444444444442</v>
      </c>
      <c r="E2915" s="1">
        <v>210</v>
      </c>
      <c r="F2915" s="1">
        <v>14</v>
      </c>
      <c r="G2915" s="1">
        <v>0.26328779691697229</v>
      </c>
      <c r="H2915" s="1" t="s">
        <v>144</v>
      </c>
    </row>
    <row r="2916" spans="1:8" x14ac:dyDescent="0.25">
      <c r="A2916" s="1">
        <v>2016</v>
      </c>
      <c r="B2916" s="1">
        <v>256</v>
      </c>
      <c r="C2916" s="15">
        <v>42625</v>
      </c>
      <c r="D2916" s="16">
        <v>0.44166666666666665</v>
      </c>
      <c r="E2916" s="1">
        <v>210</v>
      </c>
      <c r="F2916" s="1">
        <v>15</v>
      </c>
      <c r="G2916" s="1" t="e">
        <v>#N/A</v>
      </c>
      <c r="H2916" s="1" t="s">
        <v>1</v>
      </c>
    </row>
    <row r="2917" spans="1:8" x14ac:dyDescent="0.25">
      <c r="A2917" s="1">
        <v>2016</v>
      </c>
      <c r="B2917" s="1">
        <v>256</v>
      </c>
      <c r="C2917" s="15">
        <v>42625</v>
      </c>
      <c r="D2917" s="16">
        <v>0.43194444444444446</v>
      </c>
      <c r="E2917" s="1">
        <v>210</v>
      </c>
      <c r="F2917" s="1">
        <v>16</v>
      </c>
      <c r="G2917" s="1" t="e">
        <v>#N/A</v>
      </c>
      <c r="H2917" s="1" t="s">
        <v>1</v>
      </c>
    </row>
    <row r="2918" spans="1:8" x14ac:dyDescent="0.25">
      <c r="A2918" s="1">
        <v>2016</v>
      </c>
      <c r="B2918" s="1">
        <v>256</v>
      </c>
      <c r="C2918" s="15">
        <v>42625</v>
      </c>
      <c r="D2918" s="16">
        <v>0.42430555555555555</v>
      </c>
      <c r="E2918" s="1">
        <v>210</v>
      </c>
      <c r="F2918" s="1">
        <v>17</v>
      </c>
      <c r="G2918" s="1">
        <v>0.29879105413689716</v>
      </c>
      <c r="H2918" s="1" t="s">
        <v>144</v>
      </c>
    </row>
    <row r="2919" spans="1:8" x14ac:dyDescent="0.25">
      <c r="A2919" s="1">
        <v>2016</v>
      </c>
      <c r="B2919" s="1">
        <v>256</v>
      </c>
      <c r="C2919" s="15">
        <v>42625</v>
      </c>
      <c r="D2919" s="16">
        <v>0.41736111111111113</v>
      </c>
      <c r="E2919" s="1">
        <v>210</v>
      </c>
      <c r="F2919" s="1">
        <v>18</v>
      </c>
      <c r="G2919" s="1">
        <v>0.29766211284371974</v>
      </c>
      <c r="H2919" s="1" t="s">
        <v>144</v>
      </c>
    </row>
    <row r="2920" spans="1:8" x14ac:dyDescent="0.25">
      <c r="A2920" s="1">
        <v>2016</v>
      </c>
      <c r="B2920" s="1">
        <v>256</v>
      </c>
      <c r="C2920" s="15">
        <v>42625</v>
      </c>
      <c r="D2920" s="16">
        <v>0.41111111111111115</v>
      </c>
      <c r="E2920" s="1">
        <v>210</v>
      </c>
      <c r="F2920" s="1">
        <v>19</v>
      </c>
      <c r="G2920" s="1">
        <v>0.28407588831548092</v>
      </c>
      <c r="H2920" s="1" t="s">
        <v>144</v>
      </c>
    </row>
    <row r="2921" spans="1:8" x14ac:dyDescent="0.25">
      <c r="A2921" s="1">
        <v>2016</v>
      </c>
      <c r="B2921" s="1">
        <v>256</v>
      </c>
      <c r="C2921" s="15">
        <v>42625</v>
      </c>
      <c r="D2921" s="16">
        <v>0.40486111111111112</v>
      </c>
      <c r="E2921" s="1">
        <v>210</v>
      </c>
      <c r="F2921" s="1">
        <v>20</v>
      </c>
      <c r="G2921" s="1">
        <v>0.28685931253831493</v>
      </c>
      <c r="H2921" s="1" t="s">
        <v>144</v>
      </c>
    </row>
    <row r="2922" spans="1:8" x14ac:dyDescent="0.25">
      <c r="A2922" s="1">
        <v>2016</v>
      </c>
      <c r="B2922" s="1">
        <v>256</v>
      </c>
      <c r="C2922" s="15">
        <v>42625</v>
      </c>
      <c r="D2922" s="16">
        <v>0.32708333333333334</v>
      </c>
      <c r="E2922" s="1">
        <v>190</v>
      </c>
      <c r="F2922" s="1">
        <v>1</v>
      </c>
      <c r="G2922" s="1">
        <v>0.27148235354503608</v>
      </c>
      <c r="H2922" s="1" t="s">
        <v>143</v>
      </c>
    </row>
    <row r="2923" spans="1:8" x14ac:dyDescent="0.25">
      <c r="A2923" s="1">
        <v>2016</v>
      </c>
      <c r="B2923" s="1">
        <v>256</v>
      </c>
      <c r="C2923" s="15">
        <v>42625</v>
      </c>
      <c r="D2923" s="16">
        <v>0.3125</v>
      </c>
      <c r="E2923" s="1">
        <v>190</v>
      </c>
      <c r="F2923" s="1">
        <v>2</v>
      </c>
      <c r="G2923" s="1">
        <v>0.27885940096079898</v>
      </c>
      <c r="H2923" s="1" t="s">
        <v>143</v>
      </c>
    </row>
    <row r="2924" spans="1:8" x14ac:dyDescent="0.25">
      <c r="A2924" s="1">
        <v>2016</v>
      </c>
      <c r="B2924" s="1">
        <v>256</v>
      </c>
      <c r="C2924" s="15">
        <v>42625</v>
      </c>
      <c r="D2924" s="16">
        <v>0.3430555555555555</v>
      </c>
      <c r="E2924" s="1">
        <v>190</v>
      </c>
      <c r="F2924" s="1">
        <v>3</v>
      </c>
      <c r="G2924" s="1">
        <v>0.28199318627461911</v>
      </c>
      <c r="H2924" s="1" t="s">
        <v>143</v>
      </c>
    </row>
    <row r="2925" spans="1:8" x14ac:dyDescent="0.25">
      <c r="A2925" s="1">
        <v>2016</v>
      </c>
      <c r="B2925" s="1">
        <v>256</v>
      </c>
      <c r="C2925" s="15">
        <v>42625</v>
      </c>
      <c r="D2925" s="16">
        <v>0.33402777777777781</v>
      </c>
      <c r="E2925" s="1">
        <v>190</v>
      </c>
      <c r="F2925" s="1">
        <v>4</v>
      </c>
      <c r="G2925" s="1">
        <v>0.28376445623460439</v>
      </c>
      <c r="H2925" s="1" t="s">
        <v>143</v>
      </c>
    </row>
    <row r="2926" spans="1:8" x14ac:dyDescent="0.25">
      <c r="A2926" s="1">
        <v>2016</v>
      </c>
      <c r="B2926" s="1">
        <v>256</v>
      </c>
      <c r="C2926" s="15">
        <v>42625</v>
      </c>
      <c r="D2926" s="16">
        <v>0.35069444444444442</v>
      </c>
      <c r="E2926" s="1">
        <v>190</v>
      </c>
      <c r="F2926" s="1">
        <v>5</v>
      </c>
      <c r="G2926" s="1">
        <v>0.32812406325445576</v>
      </c>
      <c r="H2926" s="1" t="s">
        <v>0</v>
      </c>
    </row>
    <row r="2927" spans="1:8" x14ac:dyDescent="0.25">
      <c r="A2927" s="1">
        <v>2016</v>
      </c>
      <c r="B2927" s="1">
        <v>256</v>
      </c>
      <c r="C2927" s="15">
        <v>42625</v>
      </c>
      <c r="D2927" s="16">
        <v>0.35625000000000001</v>
      </c>
      <c r="E2927" s="1">
        <v>190</v>
      </c>
      <c r="F2927" s="1">
        <v>6</v>
      </c>
      <c r="G2927" s="1">
        <v>0.34233315194444758</v>
      </c>
      <c r="H2927" s="1" t="s">
        <v>0</v>
      </c>
    </row>
    <row r="2928" spans="1:8" x14ac:dyDescent="0.25">
      <c r="A2928" s="1">
        <v>2016</v>
      </c>
      <c r="B2928" s="1">
        <v>256</v>
      </c>
      <c r="C2928" s="15">
        <v>42625</v>
      </c>
      <c r="D2928" s="16">
        <v>0.36180555555555555</v>
      </c>
      <c r="E2928" s="1">
        <v>190</v>
      </c>
      <c r="F2928" s="1">
        <v>7</v>
      </c>
      <c r="G2928" s="1">
        <v>0.27288379790898049</v>
      </c>
      <c r="H2928" s="1" t="s">
        <v>143</v>
      </c>
    </row>
    <row r="2929" spans="1:8" x14ac:dyDescent="0.25">
      <c r="A2929" s="1">
        <v>2016</v>
      </c>
      <c r="B2929" s="1">
        <v>256</v>
      </c>
      <c r="C2929" s="15">
        <v>42625</v>
      </c>
      <c r="D2929" s="16">
        <v>0.36874999999999997</v>
      </c>
      <c r="E2929" s="1">
        <v>190</v>
      </c>
      <c r="F2929" s="1">
        <v>8</v>
      </c>
      <c r="G2929" s="1">
        <v>0.28818289888204024</v>
      </c>
      <c r="H2929" s="1" t="s">
        <v>143</v>
      </c>
    </row>
    <row r="2930" spans="1:8" x14ac:dyDescent="0.25">
      <c r="A2930" s="1">
        <v>2016</v>
      </c>
      <c r="B2930" s="1">
        <v>256</v>
      </c>
      <c r="C2930" s="15">
        <v>42625</v>
      </c>
      <c r="D2930" s="16">
        <v>0.375</v>
      </c>
      <c r="E2930" s="1">
        <v>190</v>
      </c>
      <c r="F2930" s="1">
        <v>9</v>
      </c>
      <c r="G2930" s="1">
        <v>0.27681562793004677</v>
      </c>
      <c r="H2930" s="1" t="s">
        <v>143</v>
      </c>
    </row>
    <row r="2931" spans="1:8" x14ac:dyDescent="0.25">
      <c r="A2931" s="1">
        <v>2016</v>
      </c>
      <c r="B2931" s="1">
        <v>256</v>
      </c>
      <c r="C2931" s="15">
        <v>42625</v>
      </c>
      <c r="D2931" s="16">
        <v>0.38194444444444442</v>
      </c>
      <c r="E2931" s="1">
        <v>190</v>
      </c>
      <c r="F2931" s="1">
        <v>10</v>
      </c>
      <c r="G2931" s="1">
        <v>0.27956012314277118</v>
      </c>
      <c r="H2931" s="1" t="s">
        <v>143</v>
      </c>
    </row>
    <row r="2932" spans="1:8" x14ac:dyDescent="0.25">
      <c r="A2932" s="1">
        <v>2016</v>
      </c>
      <c r="B2932" s="1">
        <v>256</v>
      </c>
      <c r="C2932" s="15">
        <v>42625</v>
      </c>
      <c r="D2932" s="16">
        <v>0.4513888888888889</v>
      </c>
      <c r="E2932" s="1">
        <v>190</v>
      </c>
      <c r="F2932" s="1">
        <v>11</v>
      </c>
      <c r="G2932" s="1">
        <v>0.30213894900631988</v>
      </c>
      <c r="H2932" s="1" t="s">
        <v>144</v>
      </c>
    </row>
    <row r="2933" spans="1:8" x14ac:dyDescent="0.25">
      <c r="A2933" s="1">
        <v>2016</v>
      </c>
      <c r="B2933" s="1">
        <v>256</v>
      </c>
      <c r="C2933" s="15">
        <v>42625</v>
      </c>
      <c r="D2933" s="16">
        <v>0.45833333333333331</v>
      </c>
      <c r="E2933" s="1">
        <v>190</v>
      </c>
      <c r="F2933" s="1">
        <v>12</v>
      </c>
      <c r="G2933" s="1">
        <v>0.30535059234035916</v>
      </c>
      <c r="H2933" s="1" t="s">
        <v>144</v>
      </c>
    </row>
    <row r="2934" spans="1:8" x14ac:dyDescent="0.25">
      <c r="A2934" s="1">
        <v>2016</v>
      </c>
      <c r="B2934" s="1">
        <v>256</v>
      </c>
      <c r="C2934" s="15">
        <v>42625</v>
      </c>
      <c r="D2934" s="16">
        <v>0.46527777777777773</v>
      </c>
      <c r="E2934" s="1">
        <v>190</v>
      </c>
      <c r="F2934" s="1">
        <v>13</v>
      </c>
      <c r="G2934" s="1">
        <v>0.28117567706231822</v>
      </c>
      <c r="H2934" s="1" t="s">
        <v>144</v>
      </c>
    </row>
    <row r="2935" spans="1:8" x14ac:dyDescent="0.25">
      <c r="A2935" s="1">
        <v>2016</v>
      </c>
      <c r="B2935" s="1">
        <v>256</v>
      </c>
      <c r="C2935" s="15">
        <v>42625</v>
      </c>
      <c r="D2935" s="16">
        <v>0.44444444444444442</v>
      </c>
      <c r="E2935" s="1">
        <v>190</v>
      </c>
      <c r="F2935" s="1">
        <v>14</v>
      </c>
      <c r="G2935" s="1">
        <v>0.29121936167058643</v>
      </c>
      <c r="H2935" s="1" t="s">
        <v>144</v>
      </c>
    </row>
    <row r="2936" spans="1:8" x14ac:dyDescent="0.25">
      <c r="A2936" s="1">
        <v>2016</v>
      </c>
      <c r="B2936" s="1">
        <v>256</v>
      </c>
      <c r="C2936" s="15">
        <v>42625</v>
      </c>
      <c r="D2936" s="16">
        <v>0.44166666666666665</v>
      </c>
      <c r="E2936" s="1">
        <v>190</v>
      </c>
      <c r="F2936" s="1">
        <v>15</v>
      </c>
      <c r="G2936" s="1">
        <v>0.311384588907342</v>
      </c>
      <c r="H2936" s="1" t="s">
        <v>1</v>
      </c>
    </row>
    <row r="2937" spans="1:8" x14ac:dyDescent="0.25">
      <c r="A2937" s="1">
        <v>2016</v>
      </c>
      <c r="B2937" s="1">
        <v>256</v>
      </c>
      <c r="C2937" s="15">
        <v>42625</v>
      </c>
      <c r="D2937" s="16">
        <v>0.43194444444444446</v>
      </c>
      <c r="E2937" s="1">
        <v>190</v>
      </c>
      <c r="F2937" s="1">
        <v>16</v>
      </c>
      <c r="G2937" s="1">
        <v>0.33326269258891855</v>
      </c>
      <c r="H2937" s="1" t="s">
        <v>1</v>
      </c>
    </row>
    <row r="2938" spans="1:8" x14ac:dyDescent="0.25">
      <c r="A2938" s="1">
        <v>2016</v>
      </c>
      <c r="B2938" s="1">
        <v>256</v>
      </c>
      <c r="C2938" s="15">
        <v>42625</v>
      </c>
      <c r="D2938" s="16">
        <v>0.42430555555555555</v>
      </c>
      <c r="E2938" s="1">
        <v>190</v>
      </c>
      <c r="F2938" s="1">
        <v>17</v>
      </c>
      <c r="G2938" s="1">
        <v>0.31241620767524553</v>
      </c>
      <c r="H2938" s="1" t="s">
        <v>144</v>
      </c>
    </row>
    <row r="2939" spans="1:8" x14ac:dyDescent="0.25">
      <c r="A2939" s="1">
        <v>2016</v>
      </c>
      <c r="B2939" s="1">
        <v>256</v>
      </c>
      <c r="C2939" s="15">
        <v>42625</v>
      </c>
      <c r="D2939" s="16">
        <v>0.41736111111111113</v>
      </c>
      <c r="E2939" s="1">
        <v>190</v>
      </c>
      <c r="F2939" s="1">
        <v>18</v>
      </c>
      <c r="G2939" s="1">
        <v>0.30597345650211222</v>
      </c>
      <c r="H2939" s="1" t="s">
        <v>144</v>
      </c>
    </row>
    <row r="2940" spans="1:8" x14ac:dyDescent="0.25">
      <c r="A2940" s="1">
        <v>2016</v>
      </c>
      <c r="B2940" s="1">
        <v>256</v>
      </c>
      <c r="C2940" s="15">
        <v>42625</v>
      </c>
      <c r="D2940" s="16">
        <v>0.41111111111111115</v>
      </c>
      <c r="E2940" s="1">
        <v>190</v>
      </c>
      <c r="F2940" s="1">
        <v>19</v>
      </c>
      <c r="G2940" s="1">
        <v>0.29337992173166738</v>
      </c>
      <c r="H2940" s="1" t="s">
        <v>144</v>
      </c>
    </row>
    <row r="2941" spans="1:8" x14ac:dyDescent="0.25">
      <c r="A2941" s="1">
        <v>2016</v>
      </c>
      <c r="B2941" s="1">
        <v>256</v>
      </c>
      <c r="C2941" s="15">
        <v>42625</v>
      </c>
      <c r="D2941" s="16">
        <v>0.40486111111111112</v>
      </c>
      <c r="E2941" s="1">
        <v>190</v>
      </c>
      <c r="F2941" s="1">
        <v>20</v>
      </c>
      <c r="G2941" s="1">
        <v>0.29628013298483014</v>
      </c>
      <c r="H2941" s="1" t="s">
        <v>144</v>
      </c>
    </row>
    <row r="2942" spans="1:8" x14ac:dyDescent="0.25">
      <c r="A2942" s="1">
        <v>2016</v>
      </c>
      <c r="B2942" s="1">
        <v>256</v>
      </c>
      <c r="C2942" s="15">
        <v>42625</v>
      </c>
      <c r="D2942" s="16">
        <v>0.32708333333333334</v>
      </c>
      <c r="E2942" s="1">
        <v>170</v>
      </c>
      <c r="F2942" s="1">
        <v>1</v>
      </c>
      <c r="G2942" s="1">
        <v>0.26723909144309332</v>
      </c>
      <c r="H2942" s="1" t="s">
        <v>143</v>
      </c>
    </row>
    <row r="2943" spans="1:8" x14ac:dyDescent="0.25">
      <c r="A2943" s="1">
        <v>2016</v>
      </c>
      <c r="B2943" s="1">
        <v>256</v>
      </c>
      <c r="C2943" s="15">
        <v>42625</v>
      </c>
      <c r="D2943" s="16">
        <v>0.3125</v>
      </c>
      <c r="E2943" s="1">
        <v>170</v>
      </c>
      <c r="F2943" s="1">
        <v>2</v>
      </c>
      <c r="G2943" s="1">
        <v>0.25746790990559204</v>
      </c>
      <c r="H2943" s="1" t="s">
        <v>143</v>
      </c>
    </row>
    <row r="2944" spans="1:8" x14ac:dyDescent="0.25">
      <c r="A2944" s="1">
        <v>2016</v>
      </c>
      <c r="B2944" s="1">
        <v>256</v>
      </c>
      <c r="C2944" s="15">
        <v>42625</v>
      </c>
      <c r="D2944" s="16">
        <v>0.3430555555555555</v>
      </c>
      <c r="E2944" s="1">
        <v>170</v>
      </c>
      <c r="F2944" s="1">
        <v>3</v>
      </c>
      <c r="G2944" s="1">
        <v>0.26700551738243594</v>
      </c>
      <c r="H2944" s="1" t="s">
        <v>143</v>
      </c>
    </row>
    <row r="2945" spans="1:8" x14ac:dyDescent="0.25">
      <c r="A2945" s="1">
        <v>2016</v>
      </c>
      <c r="B2945" s="1">
        <v>256</v>
      </c>
      <c r="C2945" s="15">
        <v>42625</v>
      </c>
      <c r="D2945" s="16">
        <v>0.33402777777777781</v>
      </c>
      <c r="E2945" s="1">
        <v>170</v>
      </c>
      <c r="F2945" s="1">
        <v>4</v>
      </c>
      <c r="G2945" s="1">
        <v>0.27959905215288078</v>
      </c>
      <c r="H2945" s="1" t="s">
        <v>143</v>
      </c>
    </row>
    <row r="2946" spans="1:8" x14ac:dyDescent="0.25">
      <c r="A2946" s="1">
        <v>2016</v>
      </c>
      <c r="B2946" s="1">
        <v>256</v>
      </c>
      <c r="C2946" s="15">
        <v>42625</v>
      </c>
      <c r="D2946" s="16">
        <v>0.35069444444444442</v>
      </c>
      <c r="E2946" s="1">
        <v>170</v>
      </c>
      <c r="F2946" s="1">
        <v>5</v>
      </c>
      <c r="G2946" s="1">
        <v>0.32238203426329465</v>
      </c>
      <c r="H2946" s="1" t="s">
        <v>0</v>
      </c>
    </row>
    <row r="2947" spans="1:8" x14ac:dyDescent="0.25">
      <c r="A2947" s="1">
        <v>2016</v>
      </c>
      <c r="B2947" s="1">
        <v>256</v>
      </c>
      <c r="C2947" s="15">
        <v>42625</v>
      </c>
      <c r="D2947" s="16">
        <v>0.35625000000000001</v>
      </c>
      <c r="E2947" s="1">
        <v>170</v>
      </c>
      <c r="F2947" s="1">
        <v>6</v>
      </c>
      <c r="G2947" s="1">
        <v>0.32890264345664705</v>
      </c>
      <c r="H2947" s="1" t="s">
        <v>0</v>
      </c>
    </row>
    <row r="2948" spans="1:8" x14ac:dyDescent="0.25">
      <c r="A2948" s="1">
        <v>2016</v>
      </c>
      <c r="B2948" s="1">
        <v>256</v>
      </c>
      <c r="C2948" s="15">
        <v>42625</v>
      </c>
      <c r="D2948" s="16">
        <v>0.36180555555555555</v>
      </c>
      <c r="E2948" s="1">
        <v>170</v>
      </c>
      <c r="F2948" s="1">
        <v>7</v>
      </c>
      <c r="G2948" s="1">
        <v>0.28892255007412199</v>
      </c>
      <c r="H2948" s="1" t="s">
        <v>143</v>
      </c>
    </row>
    <row r="2949" spans="1:8" x14ac:dyDescent="0.25">
      <c r="A2949" s="1">
        <v>2016</v>
      </c>
      <c r="B2949" s="1">
        <v>256</v>
      </c>
      <c r="C2949" s="15">
        <v>42625</v>
      </c>
      <c r="D2949" s="16">
        <v>0.36874999999999997</v>
      </c>
      <c r="E2949" s="1">
        <v>170</v>
      </c>
      <c r="F2949" s="1">
        <v>8</v>
      </c>
      <c r="G2949" s="1">
        <v>0.29701978417691188</v>
      </c>
      <c r="H2949" s="1" t="s">
        <v>143</v>
      </c>
    </row>
    <row r="2950" spans="1:8" x14ac:dyDescent="0.25">
      <c r="A2950" s="1">
        <v>2016</v>
      </c>
      <c r="B2950" s="1">
        <v>256</v>
      </c>
      <c r="C2950" s="15">
        <v>42625</v>
      </c>
      <c r="D2950" s="16">
        <v>0.375</v>
      </c>
      <c r="E2950" s="1">
        <v>170</v>
      </c>
      <c r="F2950" s="1">
        <v>9</v>
      </c>
      <c r="G2950" s="1">
        <v>0.28687877704336973</v>
      </c>
      <c r="H2950" s="1" t="s">
        <v>143</v>
      </c>
    </row>
    <row r="2951" spans="1:8" x14ac:dyDescent="0.25">
      <c r="A2951" s="1">
        <v>2016</v>
      </c>
      <c r="B2951" s="1">
        <v>256</v>
      </c>
      <c r="C2951" s="15">
        <v>42625</v>
      </c>
      <c r="D2951" s="16">
        <v>0.38194444444444442</v>
      </c>
      <c r="E2951" s="1">
        <v>170</v>
      </c>
      <c r="F2951" s="1">
        <v>10</v>
      </c>
      <c r="G2951" s="1">
        <v>0.29717550021735017</v>
      </c>
      <c r="H2951" s="1" t="s">
        <v>143</v>
      </c>
    </row>
    <row r="2952" spans="1:8" x14ac:dyDescent="0.25">
      <c r="A2952" s="1">
        <v>2016</v>
      </c>
      <c r="B2952" s="1">
        <v>256</v>
      </c>
      <c r="C2952" s="15">
        <v>42625</v>
      </c>
      <c r="D2952" s="16">
        <v>0.4513888888888889</v>
      </c>
      <c r="E2952" s="1">
        <v>170</v>
      </c>
      <c r="F2952" s="1">
        <v>11</v>
      </c>
      <c r="G2952" s="1">
        <v>0.31317532337238208</v>
      </c>
      <c r="H2952" s="1" t="s">
        <v>144</v>
      </c>
    </row>
    <row r="2953" spans="1:8" x14ac:dyDescent="0.25">
      <c r="A2953" s="1">
        <v>2016</v>
      </c>
      <c r="B2953" s="1">
        <v>256</v>
      </c>
      <c r="C2953" s="15">
        <v>42625</v>
      </c>
      <c r="D2953" s="16">
        <v>0.45833333333333331</v>
      </c>
      <c r="E2953" s="1">
        <v>170</v>
      </c>
      <c r="F2953" s="1">
        <v>12</v>
      </c>
      <c r="G2953" s="1">
        <v>0.32822138577972965</v>
      </c>
      <c r="H2953" s="1" t="s">
        <v>144</v>
      </c>
    </row>
    <row r="2954" spans="1:8" x14ac:dyDescent="0.25">
      <c r="A2954" s="1">
        <v>2016</v>
      </c>
      <c r="B2954" s="1">
        <v>256</v>
      </c>
      <c r="C2954" s="15">
        <v>42625</v>
      </c>
      <c r="D2954" s="16">
        <v>0.46527777777777773</v>
      </c>
      <c r="E2954" s="1">
        <v>170</v>
      </c>
      <c r="F2954" s="1">
        <v>13</v>
      </c>
      <c r="G2954" s="1">
        <v>0.28898094358928633</v>
      </c>
      <c r="H2954" s="1" t="s">
        <v>144</v>
      </c>
    </row>
    <row r="2955" spans="1:8" x14ac:dyDescent="0.25">
      <c r="A2955" s="1">
        <v>2016</v>
      </c>
      <c r="B2955" s="1">
        <v>256</v>
      </c>
      <c r="C2955" s="15">
        <v>42625</v>
      </c>
      <c r="D2955" s="16">
        <v>0.44444444444444442</v>
      </c>
      <c r="E2955" s="1">
        <v>170</v>
      </c>
      <c r="F2955" s="1">
        <v>14</v>
      </c>
      <c r="G2955" s="1">
        <v>0.31286389129150555</v>
      </c>
      <c r="H2955" s="1" t="s">
        <v>144</v>
      </c>
    </row>
    <row r="2956" spans="1:8" x14ac:dyDescent="0.25">
      <c r="A2956" s="1">
        <v>2016</v>
      </c>
      <c r="B2956" s="1">
        <v>256</v>
      </c>
      <c r="C2956" s="15">
        <v>42625</v>
      </c>
      <c r="D2956" s="16">
        <v>0.44166666666666665</v>
      </c>
      <c r="E2956" s="1">
        <v>170</v>
      </c>
      <c r="F2956" s="1">
        <v>15</v>
      </c>
      <c r="G2956" s="1">
        <v>0.30583720496672873</v>
      </c>
      <c r="H2956" s="1" t="s">
        <v>1</v>
      </c>
    </row>
    <row r="2957" spans="1:8" x14ac:dyDescent="0.25">
      <c r="A2957" s="1">
        <v>2016</v>
      </c>
      <c r="B2957" s="1">
        <v>256</v>
      </c>
      <c r="C2957" s="15">
        <v>42625</v>
      </c>
      <c r="D2957" s="16">
        <v>0.43194444444444446</v>
      </c>
      <c r="E2957" s="1">
        <v>170</v>
      </c>
      <c r="F2957" s="1">
        <v>16</v>
      </c>
      <c r="G2957" s="1">
        <v>0.32631386428436088</v>
      </c>
      <c r="H2957" s="1" t="s">
        <v>1</v>
      </c>
    </row>
    <row r="2958" spans="1:8" x14ac:dyDescent="0.25">
      <c r="A2958" s="1">
        <v>2016</v>
      </c>
      <c r="B2958" s="1">
        <v>256</v>
      </c>
      <c r="C2958" s="15">
        <v>42625</v>
      </c>
      <c r="D2958" s="16">
        <v>0.42430555555555555</v>
      </c>
      <c r="E2958" s="1">
        <v>170</v>
      </c>
      <c r="F2958" s="1">
        <v>17</v>
      </c>
      <c r="G2958" s="1">
        <v>0.31006100256361674</v>
      </c>
      <c r="H2958" s="1" t="s">
        <v>144</v>
      </c>
    </row>
    <row r="2959" spans="1:8" x14ac:dyDescent="0.25">
      <c r="A2959" s="1">
        <v>2016</v>
      </c>
      <c r="B2959" s="1">
        <v>256</v>
      </c>
      <c r="C2959" s="15">
        <v>42625</v>
      </c>
      <c r="D2959" s="16">
        <v>0.41736111111111113</v>
      </c>
      <c r="E2959" s="1">
        <v>170</v>
      </c>
      <c r="F2959" s="1">
        <v>18</v>
      </c>
      <c r="G2959" s="1">
        <v>0.3200657581617754</v>
      </c>
      <c r="H2959" s="1" t="s">
        <v>144</v>
      </c>
    </row>
    <row r="2960" spans="1:8" x14ac:dyDescent="0.25">
      <c r="A2960" s="1">
        <v>2016</v>
      </c>
      <c r="B2960" s="1">
        <v>256</v>
      </c>
      <c r="C2960" s="15">
        <v>42625</v>
      </c>
      <c r="D2960" s="16">
        <v>0.41111111111111115</v>
      </c>
      <c r="E2960" s="1">
        <v>170</v>
      </c>
      <c r="F2960" s="1">
        <v>19</v>
      </c>
      <c r="G2960" s="1">
        <v>0.30661578516892007</v>
      </c>
      <c r="H2960" s="1" t="s">
        <v>144</v>
      </c>
    </row>
    <row r="2961" spans="1:8" x14ac:dyDescent="0.25">
      <c r="A2961" s="1">
        <v>2016</v>
      </c>
      <c r="B2961" s="1">
        <v>256</v>
      </c>
      <c r="C2961" s="15">
        <v>42625</v>
      </c>
      <c r="D2961" s="16">
        <v>0.40486111111111112</v>
      </c>
      <c r="E2961" s="1">
        <v>170</v>
      </c>
      <c r="F2961" s="1">
        <v>20</v>
      </c>
      <c r="G2961" s="1">
        <v>0.31136512440228725</v>
      </c>
      <c r="H2961" s="1" t="s">
        <v>144</v>
      </c>
    </row>
    <row r="2962" spans="1:8" x14ac:dyDescent="0.25">
      <c r="A2962" s="1">
        <v>2016</v>
      </c>
      <c r="B2962" s="1">
        <v>256</v>
      </c>
      <c r="C2962" s="15">
        <v>42625</v>
      </c>
      <c r="D2962" s="16">
        <v>0.32708333333333334</v>
      </c>
      <c r="E2962" s="1">
        <v>150</v>
      </c>
      <c r="F2962" s="1">
        <v>1</v>
      </c>
      <c r="G2962" s="1">
        <v>0.32388080115251294</v>
      </c>
      <c r="H2962" s="1" t="s">
        <v>143</v>
      </c>
    </row>
    <row r="2963" spans="1:8" x14ac:dyDescent="0.25">
      <c r="A2963" s="1">
        <v>2016</v>
      </c>
      <c r="B2963" s="1">
        <v>256</v>
      </c>
      <c r="C2963" s="15">
        <v>42625</v>
      </c>
      <c r="D2963" s="16">
        <v>0.3125</v>
      </c>
      <c r="E2963" s="1">
        <v>150</v>
      </c>
      <c r="F2963" s="1">
        <v>2</v>
      </c>
      <c r="G2963" s="1">
        <v>0.31611446363565437</v>
      </c>
      <c r="H2963" s="1" t="s">
        <v>143</v>
      </c>
    </row>
    <row r="2964" spans="1:8" x14ac:dyDescent="0.25">
      <c r="A2964" s="1">
        <v>2016</v>
      </c>
      <c r="B2964" s="1">
        <v>256</v>
      </c>
      <c r="C2964" s="15">
        <v>42625</v>
      </c>
      <c r="D2964" s="16">
        <v>0.3430555555555555</v>
      </c>
      <c r="E2964" s="1">
        <v>150</v>
      </c>
      <c r="F2964" s="1">
        <v>3</v>
      </c>
      <c r="G2964" s="1">
        <v>0.2974480032881171</v>
      </c>
      <c r="H2964" s="1" t="s">
        <v>143</v>
      </c>
    </row>
    <row r="2965" spans="1:8" x14ac:dyDescent="0.25">
      <c r="A2965" s="1">
        <v>2016</v>
      </c>
      <c r="B2965" s="1">
        <v>256</v>
      </c>
      <c r="C2965" s="15">
        <v>42625</v>
      </c>
      <c r="D2965" s="16">
        <v>0.33402777777777781</v>
      </c>
      <c r="E2965" s="1">
        <v>150</v>
      </c>
      <c r="F2965" s="1">
        <v>4</v>
      </c>
      <c r="G2965" s="1">
        <v>0.27868422041530594</v>
      </c>
      <c r="H2965" s="1" t="s">
        <v>143</v>
      </c>
    </row>
    <row r="2966" spans="1:8" x14ac:dyDescent="0.25">
      <c r="A2966" s="1">
        <v>2016</v>
      </c>
      <c r="B2966" s="1">
        <v>256</v>
      </c>
      <c r="C2966" s="15">
        <v>42625</v>
      </c>
      <c r="D2966" s="16">
        <v>0.35069444444444442</v>
      </c>
      <c r="E2966" s="1">
        <v>150</v>
      </c>
      <c r="F2966" s="1">
        <v>5</v>
      </c>
      <c r="G2966" s="1">
        <v>0.36039621263528654</v>
      </c>
      <c r="H2966" s="1" t="s">
        <v>0</v>
      </c>
    </row>
    <row r="2967" spans="1:8" x14ac:dyDescent="0.25">
      <c r="A2967" s="1">
        <v>2016</v>
      </c>
      <c r="B2967" s="1">
        <v>256</v>
      </c>
      <c r="C2967" s="15">
        <v>42625</v>
      </c>
      <c r="D2967" s="16">
        <v>0.35625000000000001</v>
      </c>
      <c r="E2967" s="1">
        <v>150</v>
      </c>
      <c r="F2967" s="1">
        <v>6</v>
      </c>
      <c r="G2967" s="1">
        <v>0.34060081099457185</v>
      </c>
      <c r="H2967" s="1" t="s">
        <v>0</v>
      </c>
    </row>
    <row r="2968" spans="1:8" x14ac:dyDescent="0.25">
      <c r="A2968" s="1">
        <v>2016</v>
      </c>
      <c r="B2968" s="1">
        <v>256</v>
      </c>
      <c r="C2968" s="15">
        <v>42625</v>
      </c>
      <c r="D2968" s="16">
        <v>0.36180555555555555</v>
      </c>
      <c r="E2968" s="1">
        <v>150</v>
      </c>
      <c r="F2968" s="1">
        <v>7</v>
      </c>
      <c r="G2968" s="1">
        <v>0.3193455714747484</v>
      </c>
      <c r="H2968" s="1" t="s">
        <v>143</v>
      </c>
    </row>
    <row r="2969" spans="1:8" x14ac:dyDescent="0.25">
      <c r="A2969" s="1">
        <v>2016</v>
      </c>
      <c r="B2969" s="1">
        <v>256</v>
      </c>
      <c r="C2969" s="15">
        <v>42625</v>
      </c>
      <c r="D2969" s="16">
        <v>0.36874999999999997</v>
      </c>
      <c r="E2969" s="1">
        <v>150</v>
      </c>
      <c r="F2969" s="1">
        <v>8</v>
      </c>
      <c r="G2969" s="1">
        <v>0.33077123594190627</v>
      </c>
      <c r="H2969" s="1" t="s">
        <v>143</v>
      </c>
    </row>
    <row r="2970" spans="1:8" x14ac:dyDescent="0.25">
      <c r="A2970" s="1">
        <v>2016</v>
      </c>
      <c r="B2970" s="1">
        <v>256</v>
      </c>
      <c r="C2970" s="15">
        <v>42625</v>
      </c>
      <c r="D2970" s="16">
        <v>0.375</v>
      </c>
      <c r="E2970" s="1">
        <v>150</v>
      </c>
      <c r="F2970" s="1">
        <v>9</v>
      </c>
      <c r="G2970" s="1">
        <v>0.32244042777845899</v>
      </c>
      <c r="H2970" s="1" t="s">
        <v>143</v>
      </c>
    </row>
    <row r="2971" spans="1:8" x14ac:dyDescent="0.25">
      <c r="A2971" s="1">
        <v>2016</v>
      </c>
      <c r="B2971" s="1">
        <v>256</v>
      </c>
      <c r="C2971" s="15">
        <v>42625</v>
      </c>
      <c r="D2971" s="16">
        <v>0.38194444444444442</v>
      </c>
      <c r="E2971" s="1">
        <v>150</v>
      </c>
      <c r="F2971" s="1">
        <v>10</v>
      </c>
      <c r="G2971" s="1">
        <v>0.32337472402108858</v>
      </c>
      <c r="H2971" s="1" t="s">
        <v>143</v>
      </c>
    </row>
    <row r="2972" spans="1:8" x14ac:dyDescent="0.25">
      <c r="A2972" s="1">
        <v>2016</v>
      </c>
      <c r="B2972" s="1">
        <v>256</v>
      </c>
      <c r="C2972" s="15">
        <v>42625</v>
      </c>
      <c r="D2972" s="16">
        <v>0.4513888888888889</v>
      </c>
      <c r="E2972" s="1">
        <v>150</v>
      </c>
      <c r="F2972" s="1">
        <v>11</v>
      </c>
      <c r="G2972" s="1">
        <v>0.32318007897054074</v>
      </c>
      <c r="H2972" s="1" t="s">
        <v>144</v>
      </c>
    </row>
    <row r="2973" spans="1:8" x14ac:dyDescent="0.25">
      <c r="A2973" s="1">
        <v>2016</v>
      </c>
      <c r="B2973" s="1">
        <v>256</v>
      </c>
      <c r="C2973" s="15">
        <v>42625</v>
      </c>
      <c r="D2973" s="16">
        <v>0.45833333333333331</v>
      </c>
      <c r="E2973" s="1">
        <v>150</v>
      </c>
      <c r="F2973" s="1">
        <v>12</v>
      </c>
      <c r="G2973" s="1">
        <v>0.317223940423777</v>
      </c>
      <c r="H2973" s="1" t="s">
        <v>144</v>
      </c>
    </row>
    <row r="2974" spans="1:8" x14ac:dyDescent="0.25">
      <c r="A2974" s="1">
        <v>2016</v>
      </c>
      <c r="B2974" s="1">
        <v>256</v>
      </c>
      <c r="C2974" s="15">
        <v>42625</v>
      </c>
      <c r="D2974" s="16">
        <v>0.46527777777777773</v>
      </c>
      <c r="E2974" s="1">
        <v>150</v>
      </c>
      <c r="F2974" s="1">
        <v>13</v>
      </c>
      <c r="G2974" s="1">
        <v>0.29631906199493968</v>
      </c>
      <c r="H2974" s="1" t="s">
        <v>144</v>
      </c>
    </row>
    <row r="2975" spans="1:8" x14ac:dyDescent="0.25">
      <c r="A2975" s="1">
        <v>2016</v>
      </c>
      <c r="B2975" s="1">
        <v>256</v>
      </c>
      <c r="C2975" s="15">
        <v>42625</v>
      </c>
      <c r="D2975" s="16">
        <v>0.44444444444444442</v>
      </c>
      <c r="E2975" s="1">
        <v>150</v>
      </c>
      <c r="F2975" s="1">
        <v>14</v>
      </c>
      <c r="G2975" s="1">
        <v>0.29511226268154311</v>
      </c>
      <c r="H2975" s="1" t="s">
        <v>144</v>
      </c>
    </row>
    <row r="2976" spans="1:8" x14ac:dyDescent="0.25">
      <c r="A2976" s="1">
        <v>2016</v>
      </c>
      <c r="B2976" s="1">
        <v>256</v>
      </c>
      <c r="C2976" s="15">
        <v>42625</v>
      </c>
      <c r="D2976" s="16">
        <v>0.44166666666666665</v>
      </c>
      <c r="E2976" s="1">
        <v>150</v>
      </c>
      <c r="F2976" s="1">
        <v>15</v>
      </c>
      <c r="G2976" s="1">
        <v>0.30963278345241152</v>
      </c>
      <c r="H2976" s="1" t="s">
        <v>1</v>
      </c>
    </row>
    <row r="2977" spans="1:8" x14ac:dyDescent="0.25">
      <c r="A2977" s="1">
        <v>2016</v>
      </c>
      <c r="B2977" s="1">
        <v>256</v>
      </c>
      <c r="C2977" s="15">
        <v>42625</v>
      </c>
      <c r="D2977" s="16">
        <v>0.43194444444444446</v>
      </c>
      <c r="E2977" s="1">
        <v>150</v>
      </c>
      <c r="F2977" s="1">
        <v>16</v>
      </c>
      <c r="G2977" s="1">
        <v>0.32321900798065029</v>
      </c>
      <c r="H2977" s="1" t="s">
        <v>1</v>
      </c>
    </row>
    <row r="2978" spans="1:8" x14ac:dyDescent="0.25">
      <c r="A2978" s="1">
        <v>2016</v>
      </c>
      <c r="B2978" s="1">
        <v>256</v>
      </c>
      <c r="C2978" s="15">
        <v>42625</v>
      </c>
      <c r="D2978" s="16">
        <v>0.42430555555555555</v>
      </c>
      <c r="E2978" s="1">
        <v>150</v>
      </c>
      <c r="F2978" s="1">
        <v>17</v>
      </c>
      <c r="G2978" s="1">
        <v>0.30239198757203212</v>
      </c>
      <c r="H2978" s="1" t="s">
        <v>144</v>
      </c>
    </row>
    <row r="2979" spans="1:8" x14ac:dyDescent="0.25">
      <c r="A2979" s="1">
        <v>2016</v>
      </c>
      <c r="B2979" s="1">
        <v>256</v>
      </c>
      <c r="C2979" s="15">
        <v>42625</v>
      </c>
      <c r="D2979" s="16">
        <v>0.41736111111111113</v>
      </c>
      <c r="E2979" s="1">
        <v>150</v>
      </c>
      <c r="F2979" s="1">
        <v>18</v>
      </c>
      <c r="G2979" s="1">
        <v>0.3275011990927027</v>
      </c>
      <c r="H2979" s="1" t="s">
        <v>144</v>
      </c>
    </row>
    <row r="2980" spans="1:8" x14ac:dyDescent="0.25">
      <c r="A2980" s="1">
        <v>2016</v>
      </c>
      <c r="B2980" s="1">
        <v>256</v>
      </c>
      <c r="C2980" s="15">
        <v>42625</v>
      </c>
      <c r="D2980" s="16">
        <v>0.41111111111111115</v>
      </c>
      <c r="E2980" s="1">
        <v>150</v>
      </c>
      <c r="F2980" s="1">
        <v>19</v>
      </c>
      <c r="G2980" s="1">
        <v>0.31541374145368217</v>
      </c>
      <c r="H2980" s="1" t="s">
        <v>144</v>
      </c>
    </row>
    <row r="2981" spans="1:8" x14ac:dyDescent="0.25">
      <c r="A2981" s="1">
        <v>2016</v>
      </c>
      <c r="B2981" s="1">
        <v>256</v>
      </c>
      <c r="C2981" s="15">
        <v>42625</v>
      </c>
      <c r="D2981" s="16">
        <v>0.40486111111111112</v>
      </c>
      <c r="E2981" s="1">
        <v>150</v>
      </c>
      <c r="F2981" s="1">
        <v>20</v>
      </c>
      <c r="G2981" s="1">
        <v>0.32870799840609921</v>
      </c>
      <c r="H2981" s="1" t="s">
        <v>144</v>
      </c>
    </row>
    <row r="2982" spans="1:8" x14ac:dyDescent="0.25">
      <c r="A2982" s="1">
        <v>2016</v>
      </c>
      <c r="B2982" s="1">
        <v>256</v>
      </c>
      <c r="C2982" s="15">
        <v>42625</v>
      </c>
      <c r="D2982" s="16">
        <v>0.32708333333333334</v>
      </c>
      <c r="E2982" s="1">
        <v>130</v>
      </c>
      <c r="F2982" s="1">
        <v>1</v>
      </c>
      <c r="G2982" s="1">
        <v>0.30708293329023489</v>
      </c>
      <c r="H2982" s="1" t="s">
        <v>143</v>
      </c>
    </row>
    <row r="2983" spans="1:8" x14ac:dyDescent="0.25">
      <c r="A2983" s="1">
        <v>2016</v>
      </c>
      <c r="B2983" s="1">
        <v>256</v>
      </c>
      <c r="C2983" s="15">
        <v>42625</v>
      </c>
      <c r="D2983" s="16">
        <v>0.3125</v>
      </c>
      <c r="E2983" s="1">
        <v>130</v>
      </c>
      <c r="F2983" s="1">
        <v>2</v>
      </c>
      <c r="G2983" s="1">
        <v>0.29639692001515883</v>
      </c>
      <c r="H2983" s="1" t="s">
        <v>143</v>
      </c>
    </row>
    <row r="2984" spans="1:8" x14ac:dyDescent="0.25">
      <c r="A2984" s="1">
        <v>2016</v>
      </c>
      <c r="B2984" s="1">
        <v>256</v>
      </c>
      <c r="C2984" s="15">
        <v>42625</v>
      </c>
      <c r="D2984" s="16">
        <v>0.3430555555555555</v>
      </c>
      <c r="E2984" s="1">
        <v>130</v>
      </c>
      <c r="F2984" s="1">
        <v>3</v>
      </c>
      <c r="G2984" s="1">
        <v>0.29571566233824137</v>
      </c>
      <c r="H2984" s="1" t="s">
        <v>143</v>
      </c>
    </row>
    <row r="2985" spans="1:8" x14ac:dyDescent="0.25">
      <c r="A2985" s="1">
        <v>2016</v>
      </c>
      <c r="B2985" s="1">
        <v>256</v>
      </c>
      <c r="C2985" s="15">
        <v>42625</v>
      </c>
      <c r="D2985" s="16">
        <v>0.33402777777777781</v>
      </c>
      <c r="E2985" s="1">
        <v>130</v>
      </c>
      <c r="F2985" s="1">
        <v>4</v>
      </c>
      <c r="G2985" s="1">
        <v>0.29715603571229537</v>
      </c>
      <c r="H2985" s="1" t="s">
        <v>143</v>
      </c>
    </row>
    <row r="2986" spans="1:8" x14ac:dyDescent="0.25">
      <c r="A2986" s="1">
        <v>2016</v>
      </c>
      <c r="B2986" s="1">
        <v>256</v>
      </c>
      <c r="C2986" s="15">
        <v>42625</v>
      </c>
      <c r="D2986" s="16">
        <v>0.35069444444444442</v>
      </c>
      <c r="E2986" s="1">
        <v>130</v>
      </c>
      <c r="F2986" s="1">
        <v>5</v>
      </c>
      <c r="G2986" s="1">
        <v>0.30961331894735677</v>
      </c>
      <c r="H2986" s="1" t="s">
        <v>0</v>
      </c>
    </row>
    <row r="2987" spans="1:8" x14ac:dyDescent="0.25">
      <c r="A2987" s="1">
        <v>2016</v>
      </c>
      <c r="B2987" s="1">
        <v>256</v>
      </c>
      <c r="C2987" s="15">
        <v>42625</v>
      </c>
      <c r="D2987" s="16">
        <v>0.35625000000000001</v>
      </c>
      <c r="E2987" s="1">
        <v>130</v>
      </c>
      <c r="F2987" s="1">
        <v>6</v>
      </c>
      <c r="G2987" s="1">
        <v>0.29997838894523898</v>
      </c>
      <c r="H2987" s="1" t="s">
        <v>0</v>
      </c>
    </row>
    <row r="2988" spans="1:8" x14ac:dyDescent="0.25">
      <c r="A2988" s="1">
        <v>2016</v>
      </c>
      <c r="B2988" s="1">
        <v>256</v>
      </c>
      <c r="C2988" s="15">
        <v>42625</v>
      </c>
      <c r="D2988" s="16">
        <v>0.36180555555555555</v>
      </c>
      <c r="E2988" s="1">
        <v>130</v>
      </c>
      <c r="F2988" s="1">
        <v>7</v>
      </c>
      <c r="G2988" s="1">
        <v>0.30283967118829214</v>
      </c>
      <c r="H2988" s="1" t="s">
        <v>143</v>
      </c>
    </row>
    <row r="2989" spans="1:8" x14ac:dyDescent="0.25">
      <c r="A2989" s="1">
        <v>2016</v>
      </c>
      <c r="B2989" s="1">
        <v>256</v>
      </c>
      <c r="C2989" s="15">
        <v>42625</v>
      </c>
      <c r="D2989" s="16">
        <v>0.36874999999999997</v>
      </c>
      <c r="E2989" s="1">
        <v>130</v>
      </c>
      <c r="F2989" s="1">
        <v>8</v>
      </c>
      <c r="G2989" s="1">
        <v>0.33079070044696107</v>
      </c>
      <c r="H2989" s="1" t="s">
        <v>143</v>
      </c>
    </row>
    <row r="2990" spans="1:8" x14ac:dyDescent="0.25">
      <c r="A2990" s="1">
        <v>2016</v>
      </c>
      <c r="B2990" s="1">
        <v>256</v>
      </c>
      <c r="C2990" s="15">
        <v>42625</v>
      </c>
      <c r="D2990" s="16">
        <v>0.375</v>
      </c>
      <c r="E2990" s="1">
        <v>130</v>
      </c>
      <c r="F2990" s="1">
        <v>9</v>
      </c>
      <c r="G2990" s="1">
        <v>0.29376921183276306</v>
      </c>
      <c r="H2990" s="1" t="s">
        <v>143</v>
      </c>
    </row>
    <row r="2991" spans="1:8" x14ac:dyDescent="0.25">
      <c r="A2991" s="1">
        <v>2016</v>
      </c>
      <c r="B2991" s="1">
        <v>256</v>
      </c>
      <c r="C2991" s="15">
        <v>42625</v>
      </c>
      <c r="D2991" s="16">
        <v>0.38194444444444442</v>
      </c>
      <c r="E2991" s="1">
        <v>130</v>
      </c>
      <c r="F2991" s="1">
        <v>10</v>
      </c>
      <c r="G2991" s="1">
        <v>0.30663524967397487</v>
      </c>
      <c r="H2991" s="1" t="s">
        <v>143</v>
      </c>
    </row>
    <row r="2992" spans="1:8" x14ac:dyDescent="0.25">
      <c r="A2992" s="1">
        <v>2016</v>
      </c>
      <c r="B2992" s="1">
        <v>256</v>
      </c>
      <c r="C2992" s="15">
        <v>42625</v>
      </c>
      <c r="D2992" s="16">
        <v>0.4513888888888889</v>
      </c>
      <c r="E2992" s="1">
        <v>130</v>
      </c>
      <c r="F2992" s="1">
        <v>11</v>
      </c>
      <c r="G2992" s="1">
        <v>0.29390546336814655</v>
      </c>
      <c r="H2992" s="1" t="s">
        <v>144</v>
      </c>
    </row>
    <row r="2993" spans="1:8" x14ac:dyDescent="0.25">
      <c r="A2993" s="1">
        <v>2016</v>
      </c>
      <c r="B2993" s="1">
        <v>256</v>
      </c>
      <c r="C2993" s="15">
        <v>42625</v>
      </c>
      <c r="D2993" s="16">
        <v>0.45833333333333331</v>
      </c>
      <c r="E2993" s="1">
        <v>130</v>
      </c>
      <c r="F2993" s="1">
        <v>12</v>
      </c>
      <c r="G2993" s="1">
        <v>0.2770881310008137</v>
      </c>
      <c r="H2993" s="1" t="s">
        <v>144</v>
      </c>
    </row>
    <row r="2994" spans="1:8" x14ac:dyDescent="0.25">
      <c r="A2994" s="1">
        <v>2016</v>
      </c>
      <c r="B2994" s="1">
        <v>256</v>
      </c>
      <c r="C2994" s="15">
        <v>42625</v>
      </c>
      <c r="D2994" s="16">
        <v>0.46527777777777773</v>
      </c>
      <c r="E2994" s="1">
        <v>130</v>
      </c>
      <c r="F2994" s="1">
        <v>13</v>
      </c>
      <c r="G2994" s="1">
        <v>0.30862062918956279</v>
      </c>
      <c r="H2994" s="1" t="s">
        <v>144</v>
      </c>
    </row>
    <row r="2995" spans="1:8" x14ac:dyDescent="0.25">
      <c r="A2995" s="1">
        <v>2016</v>
      </c>
      <c r="B2995" s="1">
        <v>256</v>
      </c>
      <c r="C2995" s="15">
        <v>42625</v>
      </c>
      <c r="D2995" s="16">
        <v>0.44444444444444442</v>
      </c>
      <c r="E2995" s="1">
        <v>130</v>
      </c>
      <c r="F2995" s="1">
        <v>14</v>
      </c>
      <c r="G2995" s="1">
        <v>0.30819241007835751</v>
      </c>
      <c r="H2995" s="1" t="s">
        <v>144</v>
      </c>
    </row>
    <row r="2996" spans="1:8" x14ac:dyDescent="0.25">
      <c r="A2996" s="1">
        <v>2016</v>
      </c>
      <c r="B2996" s="1">
        <v>256</v>
      </c>
      <c r="C2996" s="15">
        <v>42625</v>
      </c>
      <c r="D2996" s="16">
        <v>0.44166666666666665</v>
      </c>
      <c r="E2996" s="1">
        <v>130</v>
      </c>
      <c r="F2996" s="1">
        <v>15</v>
      </c>
      <c r="G2996" s="1">
        <v>0.31749644349454398</v>
      </c>
      <c r="H2996" s="1" t="s">
        <v>1</v>
      </c>
    </row>
    <row r="2997" spans="1:8" x14ac:dyDescent="0.25">
      <c r="A2997" s="1">
        <v>2016</v>
      </c>
      <c r="B2997" s="1">
        <v>256</v>
      </c>
      <c r="C2997" s="15">
        <v>42625</v>
      </c>
      <c r="D2997" s="16">
        <v>0.43194444444444446</v>
      </c>
      <c r="E2997" s="1">
        <v>130</v>
      </c>
      <c r="F2997" s="1">
        <v>16</v>
      </c>
      <c r="G2997" s="1">
        <v>0.29275705756991433</v>
      </c>
      <c r="H2997" s="1" t="s">
        <v>1</v>
      </c>
    </row>
    <row r="2998" spans="1:8" x14ac:dyDescent="0.25">
      <c r="A2998" s="1">
        <v>2016</v>
      </c>
      <c r="B2998" s="1">
        <v>256</v>
      </c>
      <c r="C2998" s="15">
        <v>42625</v>
      </c>
      <c r="D2998" s="16">
        <v>0.42430555555555555</v>
      </c>
      <c r="E2998" s="1">
        <v>130</v>
      </c>
      <c r="F2998" s="1">
        <v>17</v>
      </c>
      <c r="G2998" s="1">
        <v>0.30149662033951202</v>
      </c>
      <c r="H2998" s="1" t="s">
        <v>144</v>
      </c>
    </row>
    <row r="2999" spans="1:8" x14ac:dyDescent="0.25">
      <c r="A2999" s="1">
        <v>2016</v>
      </c>
      <c r="B2999" s="1">
        <v>256</v>
      </c>
      <c r="C2999" s="15">
        <v>42625</v>
      </c>
      <c r="D2999" s="16">
        <v>0.41736111111111113</v>
      </c>
      <c r="E2999" s="1">
        <v>130</v>
      </c>
      <c r="F2999" s="1">
        <v>18</v>
      </c>
      <c r="G2999" s="1">
        <v>0.2983239060155824</v>
      </c>
      <c r="H2999" s="1" t="s">
        <v>144</v>
      </c>
    </row>
    <row r="3000" spans="1:8" x14ac:dyDescent="0.25">
      <c r="A3000" s="1">
        <v>2016</v>
      </c>
      <c r="B3000" s="1">
        <v>256</v>
      </c>
      <c r="C3000" s="15">
        <v>42625</v>
      </c>
      <c r="D3000" s="16">
        <v>0.41111111111111115</v>
      </c>
      <c r="E3000" s="1">
        <v>130</v>
      </c>
      <c r="F3000" s="1">
        <v>19</v>
      </c>
      <c r="G3000" s="1">
        <v>0.29635799100504923</v>
      </c>
      <c r="H3000" s="1" t="s">
        <v>144</v>
      </c>
    </row>
    <row r="3001" spans="1:8" x14ac:dyDescent="0.25">
      <c r="A3001" s="1">
        <v>2016</v>
      </c>
      <c r="B3001" s="1">
        <v>256</v>
      </c>
      <c r="C3001" s="15">
        <v>42625</v>
      </c>
      <c r="D3001" s="16">
        <v>0.40486111111111112</v>
      </c>
      <c r="E3001" s="1">
        <v>130</v>
      </c>
      <c r="F3001" s="1">
        <v>20</v>
      </c>
      <c r="G3001" s="1">
        <v>0.27148235354503608</v>
      </c>
      <c r="H3001" s="1" t="s">
        <v>144</v>
      </c>
    </row>
    <row r="3002" spans="1:8" x14ac:dyDescent="0.25">
      <c r="A3002" s="1">
        <v>2016</v>
      </c>
      <c r="B3002" s="1">
        <v>256</v>
      </c>
      <c r="C3002" s="15">
        <v>42625</v>
      </c>
      <c r="D3002" s="16">
        <v>0.32708333333333334</v>
      </c>
      <c r="E3002" s="1">
        <v>110</v>
      </c>
      <c r="F3002" s="1">
        <v>1</v>
      </c>
      <c r="G3002" s="1">
        <v>0.32420268017209675</v>
      </c>
      <c r="H3002" s="1" t="s">
        <v>143</v>
      </c>
    </row>
    <row r="3003" spans="1:8" x14ac:dyDescent="0.25">
      <c r="A3003" s="1">
        <v>2016</v>
      </c>
      <c r="B3003" s="1">
        <v>256</v>
      </c>
      <c r="C3003" s="15">
        <v>42625</v>
      </c>
      <c r="D3003" s="16">
        <v>0.3125</v>
      </c>
      <c r="E3003" s="1">
        <v>110</v>
      </c>
      <c r="F3003" s="1">
        <v>2</v>
      </c>
      <c r="G3003" s="1">
        <v>0.31941693496215884</v>
      </c>
      <c r="H3003" s="1" t="s">
        <v>143</v>
      </c>
    </row>
    <row r="3004" spans="1:8" x14ac:dyDescent="0.25">
      <c r="A3004" s="1">
        <v>2016</v>
      </c>
      <c r="B3004" s="1">
        <v>256</v>
      </c>
      <c r="C3004" s="15">
        <v>42625</v>
      </c>
      <c r="D3004" s="16">
        <v>0.3430555555555555</v>
      </c>
      <c r="E3004" s="1">
        <v>110</v>
      </c>
      <c r="F3004" s="1">
        <v>3</v>
      </c>
      <c r="G3004" s="1">
        <v>0.31112774947891703</v>
      </c>
      <c r="H3004" s="1" t="s">
        <v>143</v>
      </c>
    </row>
    <row r="3005" spans="1:8" x14ac:dyDescent="0.25">
      <c r="A3005" s="1">
        <v>2016</v>
      </c>
      <c r="B3005" s="1">
        <v>256</v>
      </c>
      <c r="C3005" s="15">
        <v>42625</v>
      </c>
      <c r="D3005" s="16">
        <v>0.33402777777777781</v>
      </c>
      <c r="E3005" s="1">
        <v>110</v>
      </c>
      <c r="F3005" s="1">
        <v>4</v>
      </c>
      <c r="G3005" s="1">
        <v>0.32079083310855244</v>
      </c>
      <c r="H3005" s="1" t="s">
        <v>143</v>
      </c>
    </row>
    <row r="3006" spans="1:8" x14ac:dyDescent="0.25">
      <c r="A3006" s="1">
        <v>2016</v>
      </c>
      <c r="B3006" s="1">
        <v>256</v>
      </c>
      <c r="C3006" s="15">
        <v>42625</v>
      </c>
      <c r="D3006" s="16">
        <v>0.35069444444444442</v>
      </c>
      <c r="E3006" s="1">
        <v>110</v>
      </c>
      <c r="F3006" s="1">
        <v>5</v>
      </c>
      <c r="G3006" s="1">
        <v>0.32106561273783119</v>
      </c>
      <c r="H3006" s="1" t="s">
        <v>0</v>
      </c>
    </row>
    <row r="3007" spans="1:8" x14ac:dyDescent="0.25">
      <c r="A3007" s="1">
        <v>2016</v>
      </c>
      <c r="B3007" s="1">
        <v>256</v>
      </c>
      <c r="C3007" s="15">
        <v>42625</v>
      </c>
      <c r="D3007" s="16">
        <v>0.35625000000000001</v>
      </c>
      <c r="E3007" s="1">
        <v>110</v>
      </c>
      <c r="F3007" s="1">
        <v>6</v>
      </c>
      <c r="G3007" s="1">
        <v>0.30856313960564885</v>
      </c>
      <c r="H3007" s="1" t="s">
        <v>0</v>
      </c>
    </row>
    <row r="3008" spans="1:8" x14ac:dyDescent="0.25">
      <c r="A3008" s="1">
        <v>2016</v>
      </c>
      <c r="B3008" s="1">
        <v>256</v>
      </c>
      <c r="C3008" s="15">
        <v>42625</v>
      </c>
      <c r="D3008" s="16">
        <v>0.36180555555555555</v>
      </c>
      <c r="E3008" s="1">
        <v>110</v>
      </c>
      <c r="F3008" s="1">
        <v>7</v>
      </c>
      <c r="G3008" s="1">
        <v>0.32360732430865946</v>
      </c>
      <c r="H3008" s="1" t="s">
        <v>143</v>
      </c>
    </row>
    <row r="3009" spans="1:8" x14ac:dyDescent="0.25">
      <c r="A3009" s="1">
        <v>2016</v>
      </c>
      <c r="B3009" s="1">
        <v>256</v>
      </c>
      <c r="C3009" s="15">
        <v>42625</v>
      </c>
      <c r="D3009" s="16">
        <v>0.36874999999999997</v>
      </c>
      <c r="E3009" s="1">
        <v>110</v>
      </c>
      <c r="F3009" s="1">
        <v>8</v>
      </c>
      <c r="G3009" s="1">
        <v>0.32873654405519581</v>
      </c>
      <c r="H3009" s="1" t="s">
        <v>143</v>
      </c>
    </row>
    <row r="3010" spans="1:8" x14ac:dyDescent="0.25">
      <c r="A3010" s="1">
        <v>2016</v>
      </c>
      <c r="B3010" s="1">
        <v>256</v>
      </c>
      <c r="C3010" s="15">
        <v>42625</v>
      </c>
      <c r="D3010" s="16">
        <v>0.375</v>
      </c>
      <c r="E3010" s="1">
        <v>110</v>
      </c>
      <c r="F3010" s="1">
        <v>9</v>
      </c>
      <c r="G3010" s="1">
        <v>0.32743134081612185</v>
      </c>
      <c r="H3010" s="1" t="s">
        <v>143</v>
      </c>
    </row>
    <row r="3011" spans="1:8" x14ac:dyDescent="0.25">
      <c r="A3011" s="1">
        <v>2016</v>
      </c>
      <c r="B3011" s="1">
        <v>256</v>
      </c>
      <c r="C3011" s="15">
        <v>42625</v>
      </c>
      <c r="D3011" s="16">
        <v>0.38194444444444442</v>
      </c>
      <c r="E3011" s="1">
        <v>110</v>
      </c>
      <c r="F3011" s="1">
        <v>10</v>
      </c>
      <c r="G3011" s="1">
        <v>0.32317225656230147</v>
      </c>
      <c r="H3011" s="1" t="s">
        <v>143</v>
      </c>
    </row>
    <row r="3012" spans="1:8" x14ac:dyDescent="0.25">
      <c r="A3012" s="1">
        <v>2016</v>
      </c>
      <c r="B3012" s="1">
        <v>256</v>
      </c>
      <c r="C3012" s="15">
        <v>42625</v>
      </c>
      <c r="D3012" s="16">
        <v>0.4513888888888889</v>
      </c>
      <c r="E3012" s="1">
        <v>110</v>
      </c>
      <c r="F3012" s="1">
        <v>11</v>
      </c>
      <c r="G3012" s="1">
        <v>0.28964914179029616</v>
      </c>
      <c r="H3012" s="1" t="s">
        <v>144</v>
      </c>
    </row>
    <row r="3013" spans="1:8" x14ac:dyDescent="0.25">
      <c r="A3013" s="1">
        <v>2016</v>
      </c>
      <c r="B3013" s="1">
        <v>256</v>
      </c>
      <c r="C3013" s="15">
        <v>42625</v>
      </c>
      <c r="D3013" s="16">
        <v>0.45833333333333331</v>
      </c>
      <c r="E3013" s="1">
        <v>110</v>
      </c>
      <c r="F3013" s="1">
        <v>12</v>
      </c>
      <c r="G3013" s="1">
        <v>0.30918139377152604</v>
      </c>
      <c r="H3013" s="1" t="s">
        <v>144</v>
      </c>
    </row>
    <row r="3014" spans="1:8" x14ac:dyDescent="0.25">
      <c r="A3014" s="1">
        <v>2016</v>
      </c>
      <c r="B3014" s="1">
        <v>256</v>
      </c>
      <c r="C3014" s="15">
        <v>42625</v>
      </c>
      <c r="D3014" s="16">
        <v>0.46527777777777773</v>
      </c>
      <c r="E3014" s="1">
        <v>110</v>
      </c>
      <c r="F3014" s="1">
        <v>13</v>
      </c>
      <c r="G3014" s="1">
        <v>0.31002863096180211</v>
      </c>
      <c r="H3014" s="1" t="s">
        <v>144</v>
      </c>
    </row>
    <row r="3015" spans="1:8" x14ac:dyDescent="0.25">
      <c r="A3015" s="1">
        <v>2016</v>
      </c>
      <c r="B3015" s="1">
        <v>256</v>
      </c>
      <c r="C3015" s="15">
        <v>42625</v>
      </c>
      <c r="D3015" s="16">
        <v>0.44444444444444442</v>
      </c>
      <c r="E3015" s="1">
        <v>110</v>
      </c>
      <c r="F3015" s="1">
        <v>14</v>
      </c>
      <c r="G3015" s="1">
        <v>0.29999917449312841</v>
      </c>
      <c r="H3015" s="1" t="s">
        <v>144</v>
      </c>
    </row>
    <row r="3016" spans="1:8" x14ac:dyDescent="0.25">
      <c r="A3016" s="1">
        <v>2016</v>
      </c>
      <c r="B3016" s="1">
        <v>256</v>
      </c>
      <c r="C3016" s="15">
        <v>42625</v>
      </c>
      <c r="D3016" s="16">
        <v>0.44166666666666665</v>
      </c>
      <c r="E3016" s="1">
        <v>110</v>
      </c>
      <c r="F3016" s="1">
        <v>15</v>
      </c>
      <c r="G3016" s="1">
        <v>0.30931878358616544</v>
      </c>
      <c r="H3016" s="1" t="s">
        <v>1</v>
      </c>
    </row>
    <row r="3017" spans="1:8" x14ac:dyDescent="0.25">
      <c r="A3017" s="1">
        <v>2016</v>
      </c>
      <c r="B3017" s="1">
        <v>256</v>
      </c>
      <c r="C3017" s="15">
        <v>42625</v>
      </c>
      <c r="D3017" s="16">
        <v>0.43194444444444446</v>
      </c>
      <c r="E3017" s="1">
        <v>110</v>
      </c>
      <c r="F3017" s="1">
        <v>16</v>
      </c>
      <c r="G3017" s="1">
        <v>0.3137610542595049</v>
      </c>
      <c r="H3017" s="1" t="s">
        <v>1</v>
      </c>
    </row>
    <row r="3018" spans="1:8" x14ac:dyDescent="0.25">
      <c r="A3018" s="1">
        <v>2016</v>
      </c>
      <c r="B3018" s="1">
        <v>256</v>
      </c>
      <c r="C3018" s="15">
        <v>42625</v>
      </c>
      <c r="D3018" s="16">
        <v>0.42430555555555555</v>
      </c>
      <c r="E3018" s="1">
        <v>110</v>
      </c>
      <c r="F3018" s="1">
        <v>17</v>
      </c>
      <c r="G3018" s="1">
        <v>0.31781405379136618</v>
      </c>
      <c r="H3018" s="1" t="s">
        <v>144</v>
      </c>
    </row>
    <row r="3019" spans="1:8" x14ac:dyDescent="0.25">
      <c r="A3019" s="1">
        <v>2016</v>
      </c>
      <c r="B3019" s="1">
        <v>256</v>
      </c>
      <c r="C3019" s="15">
        <v>42625</v>
      </c>
      <c r="D3019" s="16">
        <v>0.41736111111111113</v>
      </c>
      <c r="E3019" s="1">
        <v>110</v>
      </c>
      <c r="F3019" s="1">
        <v>18</v>
      </c>
      <c r="G3019" s="1">
        <v>0.31362366444486556</v>
      </c>
      <c r="H3019" s="1" t="s">
        <v>144</v>
      </c>
    </row>
    <row r="3020" spans="1:8" x14ac:dyDescent="0.25">
      <c r="A3020" s="1">
        <v>2016</v>
      </c>
      <c r="B3020" s="1">
        <v>256</v>
      </c>
      <c r="C3020" s="15">
        <v>42625</v>
      </c>
      <c r="D3020" s="16">
        <v>0.41111111111111115</v>
      </c>
      <c r="E3020" s="1">
        <v>110</v>
      </c>
      <c r="F3020" s="1">
        <v>19</v>
      </c>
      <c r="G3020" s="1">
        <v>0.31781405379136618</v>
      </c>
      <c r="H3020" s="1" t="s">
        <v>144</v>
      </c>
    </row>
    <row r="3021" spans="1:8" x14ac:dyDescent="0.25">
      <c r="A3021" s="1">
        <v>2016</v>
      </c>
      <c r="B3021" s="1">
        <v>256</v>
      </c>
      <c r="C3021" s="15">
        <v>42625</v>
      </c>
      <c r="D3021" s="16">
        <v>0.40486111111111112</v>
      </c>
      <c r="E3021" s="1">
        <v>110</v>
      </c>
      <c r="F3021" s="1">
        <v>20</v>
      </c>
      <c r="G3021" s="1">
        <v>0.29626675119542561</v>
      </c>
      <c r="H3021" s="1" t="s">
        <v>144</v>
      </c>
    </row>
    <row r="3022" spans="1:8" x14ac:dyDescent="0.25">
      <c r="A3022" s="1">
        <v>2016</v>
      </c>
      <c r="B3022" s="1">
        <v>256</v>
      </c>
      <c r="C3022" s="15">
        <v>42625</v>
      </c>
      <c r="D3022" s="16">
        <v>0.32708333333333334</v>
      </c>
      <c r="E3022" s="1">
        <v>90</v>
      </c>
      <c r="F3022" s="1">
        <v>1</v>
      </c>
      <c r="G3022" s="1">
        <v>0.31073847833743884</v>
      </c>
      <c r="H3022" s="1" t="s">
        <v>143</v>
      </c>
    </row>
    <row r="3023" spans="1:8" x14ac:dyDescent="0.25">
      <c r="A3023" s="1">
        <v>2016</v>
      </c>
      <c r="B3023" s="1">
        <v>256</v>
      </c>
      <c r="C3023" s="15">
        <v>42625</v>
      </c>
      <c r="D3023" s="16">
        <v>0.3125</v>
      </c>
      <c r="E3023" s="1">
        <v>90</v>
      </c>
      <c r="F3023" s="1">
        <v>2</v>
      </c>
      <c r="G3023" s="1">
        <v>0.31829491814260402</v>
      </c>
      <c r="H3023" s="1" t="s">
        <v>143</v>
      </c>
    </row>
    <row r="3024" spans="1:8" x14ac:dyDescent="0.25">
      <c r="A3024" s="1">
        <v>2016</v>
      </c>
      <c r="B3024" s="1">
        <v>256</v>
      </c>
      <c r="C3024" s="15">
        <v>42625</v>
      </c>
      <c r="D3024" s="16">
        <v>0.3430555555555555</v>
      </c>
      <c r="E3024" s="1">
        <v>90</v>
      </c>
      <c r="F3024" s="1">
        <v>3</v>
      </c>
      <c r="G3024" s="1">
        <v>0.31023471568376121</v>
      </c>
      <c r="H3024" s="1" t="s">
        <v>143</v>
      </c>
    </row>
    <row r="3025" spans="1:8" x14ac:dyDescent="0.25">
      <c r="A3025" s="1">
        <v>2016</v>
      </c>
      <c r="B3025" s="1">
        <v>256</v>
      </c>
      <c r="C3025" s="15">
        <v>42625</v>
      </c>
      <c r="D3025" s="16">
        <v>0.33402777777777781</v>
      </c>
      <c r="E3025" s="1">
        <v>90</v>
      </c>
      <c r="F3025" s="1">
        <v>4</v>
      </c>
      <c r="G3025" s="1">
        <v>0.31751637585964754</v>
      </c>
      <c r="H3025" s="1" t="s">
        <v>143</v>
      </c>
    </row>
    <row r="3026" spans="1:8" x14ac:dyDescent="0.25">
      <c r="A3026" s="1">
        <v>2016</v>
      </c>
      <c r="B3026" s="1">
        <v>256</v>
      </c>
      <c r="C3026" s="15">
        <v>42625</v>
      </c>
      <c r="D3026" s="16">
        <v>0.35069444444444442</v>
      </c>
      <c r="E3026" s="1">
        <v>90</v>
      </c>
      <c r="F3026" s="1">
        <v>5</v>
      </c>
      <c r="G3026" s="1">
        <v>0.32717945948928295</v>
      </c>
      <c r="H3026" s="1" t="s">
        <v>0</v>
      </c>
    </row>
    <row r="3027" spans="1:8" x14ac:dyDescent="0.25">
      <c r="A3027" s="1">
        <v>2016</v>
      </c>
      <c r="B3027" s="1">
        <v>256</v>
      </c>
      <c r="C3027" s="15">
        <v>42625</v>
      </c>
      <c r="D3027" s="16">
        <v>0.35625000000000001</v>
      </c>
      <c r="E3027" s="1">
        <v>90</v>
      </c>
      <c r="F3027" s="1">
        <v>6</v>
      </c>
      <c r="G3027" s="1">
        <v>0.31298251197654853</v>
      </c>
      <c r="H3027" s="1" t="s">
        <v>0</v>
      </c>
    </row>
    <row r="3028" spans="1:8" x14ac:dyDescent="0.25">
      <c r="A3028" s="1">
        <v>2016</v>
      </c>
      <c r="B3028" s="1">
        <v>256</v>
      </c>
      <c r="C3028" s="15">
        <v>42625</v>
      </c>
      <c r="D3028" s="16">
        <v>0.36180555555555555</v>
      </c>
      <c r="E3028" s="1">
        <v>90</v>
      </c>
      <c r="F3028" s="1">
        <v>7</v>
      </c>
      <c r="G3028" s="1">
        <v>0.32420268017209675</v>
      </c>
      <c r="H3028" s="1" t="s">
        <v>143</v>
      </c>
    </row>
    <row r="3029" spans="1:8" x14ac:dyDescent="0.25">
      <c r="A3029" s="1">
        <v>2016</v>
      </c>
      <c r="B3029" s="1">
        <v>256</v>
      </c>
      <c r="C3029" s="15">
        <v>42625</v>
      </c>
      <c r="D3029" s="16">
        <v>0.36874999999999997</v>
      </c>
      <c r="E3029" s="1">
        <v>90</v>
      </c>
      <c r="F3029" s="1">
        <v>8</v>
      </c>
      <c r="G3029" s="1">
        <v>0.31753927416208744</v>
      </c>
      <c r="H3029" s="1" t="s">
        <v>143</v>
      </c>
    </row>
    <row r="3030" spans="1:8" x14ac:dyDescent="0.25">
      <c r="A3030" s="1">
        <v>2016</v>
      </c>
      <c r="B3030" s="1">
        <v>256</v>
      </c>
      <c r="C3030" s="15">
        <v>42625</v>
      </c>
      <c r="D3030" s="16">
        <v>0.375</v>
      </c>
      <c r="E3030" s="1">
        <v>90</v>
      </c>
      <c r="F3030" s="1">
        <v>9</v>
      </c>
      <c r="G3030" s="1">
        <v>0.32511861226969252</v>
      </c>
      <c r="H3030" s="1" t="s">
        <v>143</v>
      </c>
    </row>
    <row r="3031" spans="1:8" x14ac:dyDescent="0.25">
      <c r="A3031" s="1">
        <v>2016</v>
      </c>
      <c r="B3031" s="1">
        <v>256</v>
      </c>
      <c r="C3031" s="15">
        <v>42625</v>
      </c>
      <c r="D3031" s="16">
        <v>0.38194444444444442</v>
      </c>
      <c r="E3031" s="1">
        <v>90</v>
      </c>
      <c r="F3031" s="1">
        <v>10</v>
      </c>
      <c r="G3031" s="1">
        <v>0.32172966350858812</v>
      </c>
      <c r="H3031" s="1" t="s">
        <v>143</v>
      </c>
    </row>
    <row r="3032" spans="1:8" x14ac:dyDescent="0.25">
      <c r="A3032" s="1">
        <v>2016</v>
      </c>
      <c r="B3032" s="1">
        <v>256</v>
      </c>
      <c r="C3032" s="15">
        <v>42625</v>
      </c>
      <c r="D3032" s="16">
        <v>0.4513888888888889</v>
      </c>
      <c r="E3032" s="1">
        <v>90</v>
      </c>
      <c r="F3032" s="1">
        <v>11</v>
      </c>
      <c r="G3032" s="1">
        <v>0.28909958253173873</v>
      </c>
      <c r="H3032" s="1" t="s">
        <v>144</v>
      </c>
    </row>
    <row r="3033" spans="1:8" x14ac:dyDescent="0.25">
      <c r="A3033" s="1">
        <v>2016</v>
      </c>
      <c r="B3033" s="1">
        <v>256</v>
      </c>
      <c r="C3033" s="15">
        <v>42625</v>
      </c>
      <c r="D3033" s="16">
        <v>0.45833333333333331</v>
      </c>
      <c r="E3033" s="1">
        <v>90</v>
      </c>
      <c r="F3033" s="1">
        <v>12</v>
      </c>
      <c r="G3033" s="1">
        <v>0.28582512528283383</v>
      </c>
      <c r="H3033" s="1" t="s">
        <v>144</v>
      </c>
    </row>
    <row r="3034" spans="1:8" x14ac:dyDescent="0.25">
      <c r="A3034" s="1">
        <v>2016</v>
      </c>
      <c r="B3034" s="1">
        <v>256</v>
      </c>
      <c r="C3034" s="15">
        <v>42625</v>
      </c>
      <c r="D3034" s="16">
        <v>0.46527777777777773</v>
      </c>
      <c r="E3034" s="1">
        <v>90</v>
      </c>
      <c r="F3034" s="1">
        <v>13</v>
      </c>
      <c r="G3034" s="1">
        <v>0.28186371896073209</v>
      </c>
      <c r="H3034" s="1" t="s">
        <v>144</v>
      </c>
    </row>
    <row r="3035" spans="1:8" x14ac:dyDescent="0.25">
      <c r="A3035" s="1">
        <v>2016</v>
      </c>
      <c r="B3035" s="1">
        <v>256</v>
      </c>
      <c r="C3035" s="15">
        <v>42625</v>
      </c>
      <c r="D3035" s="16">
        <v>0.44444444444444442</v>
      </c>
      <c r="E3035" s="1">
        <v>90</v>
      </c>
      <c r="F3035" s="1">
        <v>14</v>
      </c>
      <c r="G3035" s="1">
        <v>0.28268805784856832</v>
      </c>
      <c r="H3035" s="1" t="s">
        <v>144</v>
      </c>
    </row>
    <row r="3036" spans="1:8" x14ac:dyDescent="0.25">
      <c r="A3036" s="1">
        <v>2016</v>
      </c>
      <c r="B3036" s="1">
        <v>256</v>
      </c>
      <c r="C3036" s="15">
        <v>42625</v>
      </c>
      <c r="D3036" s="16">
        <v>0.44166666666666665</v>
      </c>
      <c r="E3036" s="1">
        <v>90</v>
      </c>
      <c r="F3036" s="1">
        <v>15</v>
      </c>
      <c r="G3036" s="1">
        <v>0.3122955629033517</v>
      </c>
      <c r="H3036" s="1" t="s">
        <v>1</v>
      </c>
    </row>
    <row r="3037" spans="1:8" x14ac:dyDescent="0.25">
      <c r="A3037" s="1">
        <v>2016</v>
      </c>
      <c r="B3037" s="1">
        <v>256</v>
      </c>
      <c r="C3037" s="15">
        <v>42625</v>
      </c>
      <c r="D3037" s="16">
        <v>0.43194444444444446</v>
      </c>
      <c r="E3037" s="1">
        <v>90</v>
      </c>
      <c r="F3037" s="1">
        <v>16</v>
      </c>
      <c r="G3037" s="1">
        <v>0.31273063064970963</v>
      </c>
      <c r="H3037" s="1" t="s">
        <v>1</v>
      </c>
    </row>
    <row r="3038" spans="1:8" x14ac:dyDescent="0.25">
      <c r="A3038" s="1">
        <v>2016</v>
      </c>
      <c r="B3038" s="1">
        <v>256</v>
      </c>
      <c r="C3038" s="15">
        <v>42625</v>
      </c>
      <c r="D3038" s="16">
        <v>0.42430555555555555</v>
      </c>
      <c r="E3038" s="1">
        <v>90</v>
      </c>
      <c r="F3038" s="1">
        <v>17</v>
      </c>
      <c r="G3038" s="1">
        <v>0.32278298542082329</v>
      </c>
      <c r="H3038" s="1" t="s">
        <v>144</v>
      </c>
    </row>
    <row r="3039" spans="1:8" x14ac:dyDescent="0.25">
      <c r="A3039" s="1">
        <v>2016</v>
      </c>
      <c r="B3039" s="1">
        <v>256</v>
      </c>
      <c r="C3039" s="15">
        <v>42625</v>
      </c>
      <c r="D3039" s="16">
        <v>0.41736111111111113</v>
      </c>
      <c r="E3039" s="1">
        <v>90</v>
      </c>
      <c r="F3039" s="1">
        <v>18</v>
      </c>
      <c r="G3039" s="1">
        <v>0.31206657987895275</v>
      </c>
      <c r="H3039" s="1" t="s">
        <v>144</v>
      </c>
    </row>
    <row r="3040" spans="1:8" x14ac:dyDescent="0.25">
      <c r="A3040" s="1">
        <v>2016</v>
      </c>
      <c r="B3040" s="1">
        <v>256</v>
      </c>
      <c r="C3040" s="15">
        <v>42625</v>
      </c>
      <c r="D3040" s="16">
        <v>0.41111111111111115</v>
      </c>
      <c r="E3040" s="1">
        <v>90</v>
      </c>
      <c r="F3040" s="1">
        <v>19</v>
      </c>
      <c r="G3040" s="1">
        <v>0.29457227681487347</v>
      </c>
      <c r="H3040" s="1" t="s">
        <v>144</v>
      </c>
    </row>
    <row r="3041" spans="1:8" x14ac:dyDescent="0.25">
      <c r="A3041" s="1">
        <v>2016</v>
      </c>
      <c r="B3041" s="1">
        <v>256</v>
      </c>
      <c r="C3041" s="15">
        <v>42625</v>
      </c>
      <c r="D3041" s="16">
        <v>0.40486111111111112</v>
      </c>
      <c r="E3041" s="1">
        <v>90</v>
      </c>
      <c r="F3041" s="1">
        <v>20</v>
      </c>
      <c r="G3041" s="1">
        <v>0.29912903900041243</v>
      </c>
      <c r="H3041" s="1" t="s">
        <v>144</v>
      </c>
    </row>
    <row r="3042" spans="1:8" x14ac:dyDescent="0.25">
      <c r="A3042" s="1">
        <v>2016</v>
      </c>
      <c r="B3042" s="1">
        <v>256</v>
      </c>
      <c r="C3042" s="15">
        <v>42625</v>
      </c>
      <c r="D3042" s="16">
        <v>0.32708333333333334</v>
      </c>
      <c r="E3042" s="1">
        <v>70</v>
      </c>
      <c r="F3042" s="1">
        <v>1</v>
      </c>
      <c r="G3042" s="1">
        <v>0.33086608618210595</v>
      </c>
      <c r="H3042" s="1" t="s">
        <v>143</v>
      </c>
    </row>
    <row r="3043" spans="1:8" x14ac:dyDescent="0.25">
      <c r="A3043" s="1">
        <v>2016</v>
      </c>
      <c r="B3043" s="1">
        <v>256</v>
      </c>
      <c r="C3043" s="15">
        <v>42625</v>
      </c>
      <c r="D3043" s="16">
        <v>0.3125</v>
      </c>
      <c r="E3043" s="1">
        <v>70</v>
      </c>
      <c r="F3043" s="1">
        <v>2</v>
      </c>
      <c r="G3043" s="1">
        <v>0.33253766226021825</v>
      </c>
      <c r="H3043" s="1" t="s">
        <v>143</v>
      </c>
    </row>
    <row r="3044" spans="1:8" x14ac:dyDescent="0.25">
      <c r="A3044" s="1">
        <v>2016</v>
      </c>
      <c r="B3044" s="1">
        <v>256</v>
      </c>
      <c r="C3044" s="15">
        <v>42625</v>
      </c>
      <c r="D3044" s="16">
        <v>0.3430555555555555</v>
      </c>
      <c r="E3044" s="1">
        <v>70</v>
      </c>
      <c r="F3044" s="1">
        <v>3</v>
      </c>
      <c r="G3044" s="1">
        <v>0.33681964481647853</v>
      </c>
      <c r="H3044" s="1" t="s">
        <v>143</v>
      </c>
    </row>
    <row r="3045" spans="1:8" x14ac:dyDescent="0.25">
      <c r="A3045" s="1">
        <v>2016</v>
      </c>
      <c r="B3045" s="1">
        <v>256</v>
      </c>
      <c r="C3045" s="15">
        <v>42625</v>
      </c>
      <c r="D3045" s="16">
        <v>0.33402777777777781</v>
      </c>
      <c r="E3045" s="1">
        <v>70</v>
      </c>
      <c r="F3045" s="1">
        <v>4</v>
      </c>
      <c r="G3045" s="1">
        <v>0.33189650979190122</v>
      </c>
      <c r="H3045" s="1" t="s">
        <v>143</v>
      </c>
    </row>
    <row r="3046" spans="1:8" x14ac:dyDescent="0.25">
      <c r="A3046" s="1">
        <v>2016</v>
      </c>
      <c r="B3046" s="1">
        <v>256</v>
      </c>
      <c r="C3046" s="15">
        <v>42625</v>
      </c>
      <c r="D3046" s="16">
        <v>0.35069444444444442</v>
      </c>
      <c r="E3046" s="1">
        <v>70</v>
      </c>
      <c r="F3046" s="1">
        <v>5</v>
      </c>
      <c r="G3046" s="1">
        <v>0.34107872907029885</v>
      </c>
      <c r="H3046" s="1" t="s">
        <v>0</v>
      </c>
    </row>
    <row r="3047" spans="1:8" x14ac:dyDescent="0.25">
      <c r="A3047" s="1">
        <v>2016</v>
      </c>
      <c r="B3047" s="1">
        <v>256</v>
      </c>
      <c r="C3047" s="15">
        <v>42625</v>
      </c>
      <c r="D3047" s="16">
        <v>0.35625000000000001</v>
      </c>
      <c r="E3047" s="1">
        <v>70</v>
      </c>
      <c r="F3047" s="1">
        <v>6</v>
      </c>
      <c r="G3047" s="1">
        <v>0.33503357722616672</v>
      </c>
      <c r="H3047" s="1" t="s">
        <v>0</v>
      </c>
    </row>
    <row r="3048" spans="1:8" x14ac:dyDescent="0.25">
      <c r="A3048" s="1">
        <v>2016</v>
      </c>
      <c r="B3048" s="1">
        <v>256</v>
      </c>
      <c r="C3048" s="15">
        <v>42625</v>
      </c>
      <c r="D3048" s="16">
        <v>0.36180555555555555</v>
      </c>
      <c r="E3048" s="1">
        <v>70</v>
      </c>
      <c r="F3048" s="1">
        <v>7</v>
      </c>
      <c r="G3048" s="1">
        <v>0.34133061039713769</v>
      </c>
      <c r="H3048" s="1" t="s">
        <v>143</v>
      </c>
    </row>
    <row r="3049" spans="1:8" x14ac:dyDescent="0.25">
      <c r="A3049" s="1">
        <v>2016</v>
      </c>
      <c r="B3049" s="1">
        <v>256</v>
      </c>
      <c r="C3049" s="15">
        <v>42625</v>
      </c>
      <c r="D3049" s="16">
        <v>0.36874999999999997</v>
      </c>
      <c r="E3049" s="1">
        <v>70</v>
      </c>
      <c r="F3049" s="1">
        <v>8</v>
      </c>
      <c r="G3049" s="1">
        <v>0.32834727291371762</v>
      </c>
      <c r="H3049" s="1" t="s">
        <v>143</v>
      </c>
    </row>
    <row r="3050" spans="1:8" x14ac:dyDescent="0.25">
      <c r="A3050" s="1">
        <v>2016</v>
      </c>
      <c r="B3050" s="1">
        <v>256</v>
      </c>
      <c r="C3050" s="15">
        <v>42625</v>
      </c>
      <c r="D3050" s="16">
        <v>0.375</v>
      </c>
      <c r="E3050" s="1">
        <v>70</v>
      </c>
      <c r="F3050" s="1">
        <v>9</v>
      </c>
      <c r="G3050" s="1">
        <v>0.33938425468974665</v>
      </c>
      <c r="H3050" s="1" t="s">
        <v>143</v>
      </c>
    </row>
    <row r="3051" spans="1:8" x14ac:dyDescent="0.25">
      <c r="A3051" s="1">
        <v>2016</v>
      </c>
      <c r="B3051" s="1">
        <v>256</v>
      </c>
      <c r="C3051" s="15">
        <v>42625</v>
      </c>
      <c r="D3051" s="16">
        <v>0.38194444444444442</v>
      </c>
      <c r="E3051" s="1">
        <v>70</v>
      </c>
      <c r="F3051" s="1">
        <v>10</v>
      </c>
      <c r="G3051" s="1">
        <v>0.33521676364568587</v>
      </c>
      <c r="H3051" s="1" t="s">
        <v>143</v>
      </c>
    </row>
    <row r="3052" spans="1:8" x14ac:dyDescent="0.25">
      <c r="A3052" s="1">
        <v>2016</v>
      </c>
      <c r="B3052" s="1">
        <v>256</v>
      </c>
      <c r="C3052" s="15">
        <v>42625</v>
      </c>
      <c r="D3052" s="16">
        <v>0.4513888888888889</v>
      </c>
      <c r="E3052" s="1">
        <v>70</v>
      </c>
      <c r="F3052" s="1">
        <v>11</v>
      </c>
      <c r="G3052" s="1">
        <v>0.32246240918666474</v>
      </c>
      <c r="H3052" s="1" t="s">
        <v>144</v>
      </c>
    </row>
    <row r="3053" spans="1:8" x14ac:dyDescent="0.25">
      <c r="A3053" s="1">
        <v>2016</v>
      </c>
      <c r="B3053" s="1">
        <v>256</v>
      </c>
      <c r="C3053" s="15">
        <v>42625</v>
      </c>
      <c r="D3053" s="16">
        <v>0.45833333333333331</v>
      </c>
      <c r="E3053" s="1">
        <v>70</v>
      </c>
      <c r="F3053" s="1">
        <v>12</v>
      </c>
      <c r="G3053" s="1">
        <v>0.30897530904956699</v>
      </c>
      <c r="H3053" s="1" t="s">
        <v>144</v>
      </c>
    </row>
    <row r="3054" spans="1:8" x14ac:dyDescent="0.25">
      <c r="A3054" s="1">
        <v>2016</v>
      </c>
      <c r="B3054" s="1">
        <v>256</v>
      </c>
      <c r="C3054" s="15">
        <v>42625</v>
      </c>
      <c r="D3054" s="16">
        <v>0.46527777777777773</v>
      </c>
      <c r="E3054" s="1">
        <v>70</v>
      </c>
      <c r="F3054" s="1">
        <v>13</v>
      </c>
      <c r="G3054" s="1">
        <v>0.3019455302005194</v>
      </c>
      <c r="H3054" s="1" t="s">
        <v>144</v>
      </c>
    </row>
    <row r="3055" spans="1:8" x14ac:dyDescent="0.25">
      <c r="A3055" s="1">
        <v>2016</v>
      </c>
      <c r="B3055" s="1">
        <v>256</v>
      </c>
      <c r="C3055" s="15">
        <v>42625</v>
      </c>
      <c r="D3055" s="16">
        <v>0.44444444444444442</v>
      </c>
      <c r="E3055" s="1">
        <v>70</v>
      </c>
      <c r="F3055" s="1">
        <v>14</v>
      </c>
      <c r="G3055" s="1">
        <v>0.32008098573291571</v>
      </c>
      <c r="H3055" s="1" t="s">
        <v>144</v>
      </c>
    </row>
    <row r="3056" spans="1:8" x14ac:dyDescent="0.25">
      <c r="A3056" s="1">
        <v>2016</v>
      </c>
      <c r="B3056" s="1">
        <v>256</v>
      </c>
      <c r="C3056" s="15">
        <v>42625</v>
      </c>
      <c r="D3056" s="16">
        <v>0.44166666666666665</v>
      </c>
      <c r="E3056" s="1">
        <v>70</v>
      </c>
      <c r="F3056" s="1">
        <v>15</v>
      </c>
      <c r="G3056" s="1">
        <v>0.32736264590880215</v>
      </c>
      <c r="H3056" s="1" t="s">
        <v>1</v>
      </c>
    </row>
    <row r="3057" spans="1:8" x14ac:dyDescent="0.25">
      <c r="A3057" s="1">
        <v>2016</v>
      </c>
      <c r="B3057" s="1">
        <v>256</v>
      </c>
      <c r="C3057" s="15">
        <v>42625</v>
      </c>
      <c r="D3057" s="16">
        <v>0.43194444444444446</v>
      </c>
      <c r="E3057" s="1">
        <v>70</v>
      </c>
      <c r="F3057" s="1">
        <v>16</v>
      </c>
      <c r="G3057" s="1">
        <v>0.32649251041608612</v>
      </c>
      <c r="H3057" s="1" t="s">
        <v>1</v>
      </c>
    </row>
    <row r="3058" spans="1:8" x14ac:dyDescent="0.25">
      <c r="A3058" s="1">
        <v>2016</v>
      </c>
      <c r="B3058" s="1">
        <v>256</v>
      </c>
      <c r="C3058" s="15">
        <v>42625</v>
      </c>
      <c r="D3058" s="16">
        <v>0.42430555555555555</v>
      </c>
      <c r="E3058" s="1">
        <v>70</v>
      </c>
      <c r="F3058" s="1">
        <v>17</v>
      </c>
      <c r="G3058" s="1">
        <v>0.33739210237747586</v>
      </c>
      <c r="H3058" s="1" t="s">
        <v>144</v>
      </c>
    </row>
    <row r="3059" spans="1:8" x14ac:dyDescent="0.25">
      <c r="A3059" s="1">
        <v>2016</v>
      </c>
      <c r="B3059" s="1">
        <v>256</v>
      </c>
      <c r="C3059" s="15">
        <v>42625</v>
      </c>
      <c r="D3059" s="16">
        <v>0.41736111111111113</v>
      </c>
      <c r="E3059" s="1">
        <v>70</v>
      </c>
      <c r="F3059" s="1">
        <v>18</v>
      </c>
      <c r="G3059" s="1">
        <v>0.32507281566481272</v>
      </c>
      <c r="H3059" s="1" t="s">
        <v>144</v>
      </c>
    </row>
    <row r="3060" spans="1:8" x14ac:dyDescent="0.25">
      <c r="A3060" s="1">
        <v>2016</v>
      </c>
      <c r="B3060" s="1">
        <v>256</v>
      </c>
      <c r="C3060" s="15">
        <v>42625</v>
      </c>
      <c r="D3060" s="16">
        <v>0.41111111111111115</v>
      </c>
      <c r="E3060" s="1">
        <v>70</v>
      </c>
      <c r="F3060" s="1">
        <v>19</v>
      </c>
      <c r="G3060" s="1">
        <v>0.3136465627473054</v>
      </c>
      <c r="H3060" s="1" t="s">
        <v>144</v>
      </c>
    </row>
    <row r="3061" spans="1:8" x14ac:dyDescent="0.25">
      <c r="A3061" s="1">
        <v>2016</v>
      </c>
      <c r="B3061" s="1">
        <v>256</v>
      </c>
      <c r="C3061" s="15">
        <v>42625</v>
      </c>
      <c r="D3061" s="16">
        <v>0.40486111111111112</v>
      </c>
      <c r="E3061" s="1">
        <v>70</v>
      </c>
      <c r="F3061" s="1">
        <v>20</v>
      </c>
      <c r="G3061" s="1">
        <v>0.32537049359653131</v>
      </c>
      <c r="H3061" s="1" t="s">
        <v>144</v>
      </c>
    </row>
    <row r="3062" spans="1:8" x14ac:dyDescent="0.25">
      <c r="A3062" s="1">
        <v>2016</v>
      </c>
      <c r="B3062" s="1">
        <v>256</v>
      </c>
      <c r="C3062" s="15">
        <v>42625</v>
      </c>
      <c r="D3062" s="16">
        <v>0.32708333333333334</v>
      </c>
      <c r="E3062" s="1">
        <v>50</v>
      </c>
      <c r="F3062" s="1">
        <v>1</v>
      </c>
      <c r="G3062" s="1">
        <v>0.34400971178260531</v>
      </c>
      <c r="H3062" s="1" t="s">
        <v>143</v>
      </c>
    </row>
    <row r="3063" spans="1:8" x14ac:dyDescent="0.25">
      <c r="A3063" s="1">
        <v>2016</v>
      </c>
      <c r="B3063" s="1">
        <v>256</v>
      </c>
      <c r="C3063" s="15">
        <v>42625</v>
      </c>
      <c r="D3063" s="16">
        <v>0.3125</v>
      </c>
      <c r="E3063" s="1">
        <v>50</v>
      </c>
      <c r="F3063" s="1">
        <v>2</v>
      </c>
      <c r="G3063" s="1">
        <v>0.35239049047560667</v>
      </c>
      <c r="H3063" s="1" t="s">
        <v>143</v>
      </c>
    </row>
    <row r="3064" spans="1:8" x14ac:dyDescent="0.25">
      <c r="A3064" s="1">
        <v>2016</v>
      </c>
      <c r="B3064" s="1">
        <v>256</v>
      </c>
      <c r="C3064" s="15">
        <v>42625</v>
      </c>
      <c r="D3064" s="16">
        <v>0.3430555555555555</v>
      </c>
      <c r="E3064" s="1">
        <v>50</v>
      </c>
      <c r="F3064" s="1">
        <v>3</v>
      </c>
      <c r="G3064" s="1">
        <v>0.34911603322670176</v>
      </c>
      <c r="H3064" s="1" t="s">
        <v>143</v>
      </c>
    </row>
    <row r="3065" spans="1:8" x14ac:dyDescent="0.25">
      <c r="A3065" s="1">
        <v>2016</v>
      </c>
      <c r="B3065" s="1">
        <v>256</v>
      </c>
      <c r="C3065" s="15">
        <v>42625</v>
      </c>
      <c r="D3065" s="16">
        <v>0.33402777777777781</v>
      </c>
      <c r="E3065" s="1">
        <v>50</v>
      </c>
      <c r="F3065" s="1">
        <v>4</v>
      </c>
      <c r="G3065" s="1">
        <v>0.33858281410435032</v>
      </c>
      <c r="H3065" s="1" t="s">
        <v>143</v>
      </c>
    </row>
    <row r="3066" spans="1:8" x14ac:dyDescent="0.25">
      <c r="A3066" s="1">
        <v>2016</v>
      </c>
      <c r="B3066" s="1">
        <v>256</v>
      </c>
      <c r="C3066" s="15">
        <v>42625</v>
      </c>
      <c r="D3066" s="16">
        <v>0.35069444444444442</v>
      </c>
      <c r="E3066" s="1">
        <v>50</v>
      </c>
      <c r="F3066" s="1">
        <v>5</v>
      </c>
      <c r="G3066" s="1">
        <v>0.35058152458285496</v>
      </c>
      <c r="H3066" s="1" t="s">
        <v>0</v>
      </c>
    </row>
    <row r="3067" spans="1:8" x14ac:dyDescent="0.25">
      <c r="A3067" s="1">
        <v>2016</v>
      </c>
      <c r="B3067" s="1">
        <v>256</v>
      </c>
      <c r="C3067" s="15">
        <v>42625</v>
      </c>
      <c r="D3067" s="16">
        <v>0.35625000000000001</v>
      </c>
      <c r="E3067" s="1">
        <v>50</v>
      </c>
      <c r="F3067" s="1">
        <v>6</v>
      </c>
      <c r="G3067" s="1">
        <v>0.35106238893409281</v>
      </c>
      <c r="H3067" s="1" t="s">
        <v>0</v>
      </c>
    </row>
    <row r="3068" spans="1:8" x14ac:dyDescent="0.25">
      <c r="A3068" s="1">
        <v>2016</v>
      </c>
      <c r="B3068" s="1">
        <v>256</v>
      </c>
      <c r="C3068" s="15">
        <v>42625</v>
      </c>
      <c r="D3068" s="16">
        <v>0.36180555555555555</v>
      </c>
      <c r="E3068" s="1">
        <v>50</v>
      </c>
      <c r="F3068" s="1">
        <v>7</v>
      </c>
      <c r="G3068" s="1">
        <v>0.35188672782192898</v>
      </c>
      <c r="H3068" s="1" t="s">
        <v>143</v>
      </c>
    </row>
    <row r="3069" spans="1:8" x14ac:dyDescent="0.25">
      <c r="A3069" s="1">
        <v>2016</v>
      </c>
      <c r="B3069" s="1">
        <v>256</v>
      </c>
      <c r="C3069" s="15">
        <v>42625</v>
      </c>
      <c r="D3069" s="16">
        <v>0.36874999999999997</v>
      </c>
      <c r="E3069" s="1">
        <v>50</v>
      </c>
      <c r="F3069" s="1">
        <v>8</v>
      </c>
      <c r="G3069" s="1">
        <v>0.34277320345085099</v>
      </c>
      <c r="H3069" s="1" t="s">
        <v>143</v>
      </c>
    </row>
    <row r="3070" spans="1:8" x14ac:dyDescent="0.25">
      <c r="A3070" s="1">
        <v>2016</v>
      </c>
      <c r="B3070" s="1">
        <v>256</v>
      </c>
      <c r="C3070" s="15">
        <v>42625</v>
      </c>
      <c r="D3070" s="16">
        <v>0.375</v>
      </c>
      <c r="E3070" s="1">
        <v>50</v>
      </c>
      <c r="F3070" s="1">
        <v>9</v>
      </c>
      <c r="G3070" s="1">
        <v>0.34824589773398573</v>
      </c>
      <c r="H3070" s="1" t="s">
        <v>143</v>
      </c>
    </row>
    <row r="3071" spans="1:8" x14ac:dyDescent="0.25">
      <c r="A3071" s="1">
        <v>2016</v>
      </c>
      <c r="B3071" s="1">
        <v>256</v>
      </c>
      <c r="C3071" s="15">
        <v>42625</v>
      </c>
      <c r="D3071" s="16">
        <v>0.38194444444444442</v>
      </c>
      <c r="E3071" s="1">
        <v>50</v>
      </c>
      <c r="F3071" s="1">
        <v>10</v>
      </c>
      <c r="G3071" s="1">
        <v>0.35275686331464495</v>
      </c>
      <c r="H3071" s="1" t="s">
        <v>143</v>
      </c>
    </row>
    <row r="3072" spans="1:8" x14ac:dyDescent="0.25">
      <c r="A3072" s="1">
        <v>2016</v>
      </c>
      <c r="B3072" s="1">
        <v>256</v>
      </c>
      <c r="C3072" s="15">
        <v>42625</v>
      </c>
      <c r="D3072" s="16">
        <v>0.4513888888888889</v>
      </c>
      <c r="E3072" s="1">
        <v>50</v>
      </c>
      <c r="F3072" s="1">
        <v>11</v>
      </c>
      <c r="G3072" s="1">
        <v>0.33672805160671893</v>
      </c>
      <c r="H3072" s="1" t="s">
        <v>144</v>
      </c>
    </row>
    <row r="3073" spans="1:8" x14ac:dyDescent="0.25">
      <c r="A3073" s="1">
        <v>2016</v>
      </c>
      <c r="B3073" s="1">
        <v>256</v>
      </c>
      <c r="C3073" s="15">
        <v>42625</v>
      </c>
      <c r="D3073" s="16">
        <v>0.45833333333333331</v>
      </c>
      <c r="E3073" s="1">
        <v>50</v>
      </c>
      <c r="F3073" s="1">
        <v>12</v>
      </c>
      <c r="G3073" s="1">
        <v>0.34062076302150096</v>
      </c>
      <c r="H3073" s="1" t="s">
        <v>144</v>
      </c>
    </row>
    <row r="3074" spans="1:8" x14ac:dyDescent="0.25">
      <c r="A3074" s="1">
        <v>2016</v>
      </c>
      <c r="B3074" s="1">
        <v>256</v>
      </c>
      <c r="C3074" s="15">
        <v>42625</v>
      </c>
      <c r="D3074" s="16">
        <v>0.46527777777777773</v>
      </c>
      <c r="E3074" s="1">
        <v>50</v>
      </c>
      <c r="F3074" s="1">
        <v>13</v>
      </c>
      <c r="G3074" s="1">
        <v>0.30865473281540845</v>
      </c>
      <c r="H3074" s="1" t="s">
        <v>144</v>
      </c>
    </row>
    <row r="3075" spans="1:8" x14ac:dyDescent="0.25">
      <c r="A3075" s="1">
        <v>2016</v>
      </c>
      <c r="B3075" s="1">
        <v>256</v>
      </c>
      <c r="C3075" s="15">
        <v>42625</v>
      </c>
      <c r="D3075" s="16">
        <v>0.44444444444444442</v>
      </c>
      <c r="E3075" s="1">
        <v>50</v>
      </c>
      <c r="F3075" s="1">
        <v>14</v>
      </c>
      <c r="G3075" s="1">
        <v>0.30389188590791044</v>
      </c>
      <c r="H3075" s="1" t="s">
        <v>144</v>
      </c>
    </row>
    <row r="3076" spans="1:8" x14ac:dyDescent="0.25">
      <c r="A3076" s="1">
        <v>2016</v>
      </c>
      <c r="B3076" s="1">
        <v>256</v>
      </c>
      <c r="C3076" s="15">
        <v>42625</v>
      </c>
      <c r="D3076" s="16">
        <v>0.44166666666666665</v>
      </c>
      <c r="E3076" s="1">
        <v>50</v>
      </c>
      <c r="F3076" s="1">
        <v>15</v>
      </c>
      <c r="G3076" s="1">
        <v>0.33084318787966605</v>
      </c>
      <c r="H3076" s="1" t="s">
        <v>1</v>
      </c>
    </row>
    <row r="3077" spans="1:8" x14ac:dyDescent="0.25">
      <c r="A3077" s="1">
        <v>2016</v>
      </c>
      <c r="B3077" s="1">
        <v>256</v>
      </c>
      <c r="C3077" s="15">
        <v>42625</v>
      </c>
      <c r="D3077" s="16">
        <v>0.43194444444444446</v>
      </c>
      <c r="E3077" s="1">
        <v>50</v>
      </c>
      <c r="F3077" s="1">
        <v>16</v>
      </c>
      <c r="G3077" s="1">
        <v>0.34004830546050357</v>
      </c>
      <c r="H3077" s="1" t="s">
        <v>1</v>
      </c>
    </row>
    <row r="3078" spans="1:8" x14ac:dyDescent="0.25">
      <c r="A3078" s="1">
        <v>2016</v>
      </c>
      <c r="B3078" s="1">
        <v>256</v>
      </c>
      <c r="C3078" s="15">
        <v>42625</v>
      </c>
      <c r="D3078" s="16">
        <v>0.42430555555555555</v>
      </c>
      <c r="E3078" s="1">
        <v>50</v>
      </c>
      <c r="F3078" s="1">
        <v>17</v>
      </c>
      <c r="G3078" s="1">
        <v>0.35525277828059348</v>
      </c>
      <c r="H3078" s="1" t="s">
        <v>144</v>
      </c>
    </row>
    <row r="3079" spans="1:8" x14ac:dyDescent="0.25">
      <c r="A3079" s="1">
        <v>2016</v>
      </c>
      <c r="B3079" s="1">
        <v>256</v>
      </c>
      <c r="C3079" s="15">
        <v>42625</v>
      </c>
      <c r="D3079" s="16">
        <v>0.41736111111111113</v>
      </c>
      <c r="E3079" s="1">
        <v>50</v>
      </c>
      <c r="F3079" s="1">
        <v>18</v>
      </c>
      <c r="G3079" s="1">
        <v>0.34160539002641643</v>
      </c>
      <c r="H3079" s="1" t="s">
        <v>144</v>
      </c>
    </row>
    <row r="3080" spans="1:8" x14ac:dyDescent="0.25">
      <c r="A3080" s="1">
        <v>2016</v>
      </c>
      <c r="B3080" s="1">
        <v>256</v>
      </c>
      <c r="C3080" s="15">
        <v>42625</v>
      </c>
      <c r="D3080" s="16">
        <v>0.41111111111111115</v>
      </c>
      <c r="E3080" s="1">
        <v>50</v>
      </c>
      <c r="F3080" s="1">
        <v>19</v>
      </c>
      <c r="G3080" s="1">
        <v>0.34414710159724471</v>
      </c>
      <c r="H3080" s="1" t="s">
        <v>144</v>
      </c>
    </row>
    <row r="3081" spans="1:8" x14ac:dyDescent="0.25">
      <c r="A3081" s="1">
        <v>2016</v>
      </c>
      <c r="B3081" s="1">
        <v>256</v>
      </c>
      <c r="C3081" s="15">
        <v>42625</v>
      </c>
      <c r="D3081" s="16">
        <v>0.40486111111111112</v>
      </c>
      <c r="E3081" s="1">
        <v>50</v>
      </c>
      <c r="F3081" s="1">
        <v>20</v>
      </c>
      <c r="G3081" s="1">
        <v>0.34636823693391444</v>
      </c>
      <c r="H3081" s="1" t="s">
        <v>144</v>
      </c>
    </row>
    <row r="3082" spans="1:8" x14ac:dyDescent="0.25">
      <c r="A3082" s="1">
        <v>2016</v>
      </c>
      <c r="B3082" s="1">
        <v>256</v>
      </c>
      <c r="C3082" s="15">
        <v>42625</v>
      </c>
      <c r="D3082" s="16">
        <v>0.32708333333333334</v>
      </c>
      <c r="E3082" s="1">
        <v>30</v>
      </c>
      <c r="F3082" s="1">
        <v>1</v>
      </c>
      <c r="G3082" s="1">
        <v>0.34508593199728033</v>
      </c>
      <c r="H3082" s="1" t="s">
        <v>143</v>
      </c>
    </row>
    <row r="3083" spans="1:8" x14ac:dyDescent="0.25">
      <c r="A3083" s="1">
        <v>2016</v>
      </c>
      <c r="B3083" s="1">
        <v>256</v>
      </c>
      <c r="C3083" s="15">
        <v>42625</v>
      </c>
      <c r="D3083" s="16">
        <v>0.3125</v>
      </c>
      <c r="E3083" s="1">
        <v>30</v>
      </c>
      <c r="F3083" s="1">
        <v>2</v>
      </c>
      <c r="G3083" s="1">
        <v>0.33876600052386951</v>
      </c>
      <c r="H3083" s="1" t="s">
        <v>143</v>
      </c>
    </row>
    <row r="3084" spans="1:8" x14ac:dyDescent="0.25">
      <c r="A3084" s="1">
        <v>2016</v>
      </c>
      <c r="B3084" s="1">
        <v>256</v>
      </c>
      <c r="C3084" s="15">
        <v>42625</v>
      </c>
      <c r="D3084" s="16">
        <v>0.3430555555555555</v>
      </c>
      <c r="E3084" s="1">
        <v>30</v>
      </c>
      <c r="F3084" s="1">
        <v>3</v>
      </c>
      <c r="G3084" s="1">
        <v>0.31966881628899763</v>
      </c>
      <c r="H3084" s="1" t="s">
        <v>143</v>
      </c>
    </row>
    <row r="3085" spans="1:8" x14ac:dyDescent="0.25">
      <c r="A3085" s="1">
        <v>2016</v>
      </c>
      <c r="B3085" s="1">
        <v>256</v>
      </c>
      <c r="C3085" s="15">
        <v>42625</v>
      </c>
      <c r="D3085" s="16">
        <v>0.33402777777777781</v>
      </c>
      <c r="E3085" s="1">
        <v>30</v>
      </c>
      <c r="F3085" s="1">
        <v>4</v>
      </c>
      <c r="G3085" s="1">
        <v>0.3222334261622658</v>
      </c>
      <c r="H3085" s="1" t="s">
        <v>143</v>
      </c>
    </row>
    <row r="3086" spans="1:8" x14ac:dyDescent="0.25">
      <c r="A3086" s="1">
        <v>2016</v>
      </c>
      <c r="B3086" s="1">
        <v>256</v>
      </c>
      <c r="C3086" s="15">
        <v>42625</v>
      </c>
      <c r="D3086" s="16">
        <v>0.35069444444444442</v>
      </c>
      <c r="E3086" s="1">
        <v>30</v>
      </c>
      <c r="F3086" s="1">
        <v>5</v>
      </c>
      <c r="G3086" s="1">
        <v>0.33949874620194609</v>
      </c>
      <c r="H3086" s="1" t="s">
        <v>0</v>
      </c>
    </row>
    <row r="3087" spans="1:8" x14ac:dyDescent="0.25">
      <c r="A3087" s="1">
        <v>2016</v>
      </c>
      <c r="B3087" s="1">
        <v>256</v>
      </c>
      <c r="C3087" s="15">
        <v>42625</v>
      </c>
      <c r="D3087" s="16">
        <v>0.35625000000000001</v>
      </c>
      <c r="E3087" s="1">
        <v>30</v>
      </c>
      <c r="F3087" s="1">
        <v>6</v>
      </c>
      <c r="G3087" s="1">
        <v>0.3359724076262024</v>
      </c>
      <c r="H3087" s="1" t="s">
        <v>0</v>
      </c>
    </row>
    <row r="3088" spans="1:8" x14ac:dyDescent="0.25">
      <c r="A3088" s="1">
        <v>2016</v>
      </c>
      <c r="B3088" s="1">
        <v>256</v>
      </c>
      <c r="C3088" s="15">
        <v>42625</v>
      </c>
      <c r="D3088" s="16">
        <v>0.36180555555555555</v>
      </c>
      <c r="E3088" s="1">
        <v>30</v>
      </c>
      <c r="F3088" s="1">
        <v>7</v>
      </c>
      <c r="G3088" s="1">
        <v>0.33008754389914957</v>
      </c>
      <c r="H3088" s="1" t="s">
        <v>143</v>
      </c>
    </row>
    <row r="3089" spans="1:8" x14ac:dyDescent="0.25">
      <c r="A3089" s="1">
        <v>2016</v>
      </c>
      <c r="B3089" s="1">
        <v>256</v>
      </c>
      <c r="C3089" s="15">
        <v>42625</v>
      </c>
      <c r="D3089" s="16">
        <v>0.36874999999999997</v>
      </c>
      <c r="E3089" s="1">
        <v>30</v>
      </c>
      <c r="F3089" s="1">
        <v>8</v>
      </c>
      <c r="G3089" s="1">
        <v>0.33315591642609543</v>
      </c>
      <c r="H3089" s="1" t="s">
        <v>143</v>
      </c>
    </row>
    <row r="3090" spans="1:8" x14ac:dyDescent="0.25">
      <c r="A3090" s="1">
        <v>2016</v>
      </c>
      <c r="B3090" s="1">
        <v>256</v>
      </c>
      <c r="C3090" s="15">
        <v>42625</v>
      </c>
      <c r="D3090" s="16">
        <v>0.375</v>
      </c>
      <c r="E3090" s="1">
        <v>30</v>
      </c>
      <c r="F3090" s="1">
        <v>9</v>
      </c>
      <c r="G3090" s="1">
        <v>0.32992725578207027</v>
      </c>
      <c r="H3090" s="1" t="s">
        <v>143</v>
      </c>
    </row>
    <row r="3091" spans="1:8" x14ac:dyDescent="0.25">
      <c r="A3091" s="1">
        <v>2016</v>
      </c>
      <c r="B3091" s="1">
        <v>256</v>
      </c>
      <c r="C3091" s="15">
        <v>42625</v>
      </c>
      <c r="D3091" s="16">
        <v>0.38194444444444442</v>
      </c>
      <c r="E3091" s="1">
        <v>30</v>
      </c>
      <c r="F3091" s="1">
        <v>10</v>
      </c>
      <c r="G3091" s="1">
        <v>0.33507937383104652</v>
      </c>
      <c r="H3091" s="1" t="s">
        <v>143</v>
      </c>
    </row>
    <row r="3092" spans="1:8" x14ac:dyDescent="0.25">
      <c r="A3092" s="1">
        <v>2016</v>
      </c>
      <c r="B3092" s="1">
        <v>256</v>
      </c>
      <c r="C3092" s="15">
        <v>42625</v>
      </c>
      <c r="D3092" s="16">
        <v>0.4513888888888889</v>
      </c>
      <c r="E3092" s="1">
        <v>30</v>
      </c>
      <c r="F3092" s="1">
        <v>11</v>
      </c>
      <c r="G3092" s="1">
        <v>0.31712710471816935</v>
      </c>
      <c r="H3092" s="1" t="s">
        <v>144</v>
      </c>
    </row>
    <row r="3093" spans="1:8" x14ac:dyDescent="0.25">
      <c r="A3093" s="1">
        <v>2016</v>
      </c>
      <c r="B3093" s="1">
        <v>256</v>
      </c>
      <c r="C3093" s="15">
        <v>42625</v>
      </c>
      <c r="D3093" s="16">
        <v>0.45833333333333331</v>
      </c>
      <c r="E3093" s="1">
        <v>30</v>
      </c>
      <c r="F3093" s="1">
        <v>12</v>
      </c>
      <c r="G3093" s="1">
        <v>0.28767988778046522</v>
      </c>
      <c r="H3093" s="1" t="s">
        <v>144</v>
      </c>
    </row>
    <row r="3094" spans="1:8" x14ac:dyDescent="0.25">
      <c r="A3094" s="1">
        <v>2016</v>
      </c>
      <c r="B3094" s="1">
        <v>256</v>
      </c>
      <c r="C3094" s="15">
        <v>42625</v>
      </c>
      <c r="D3094" s="16">
        <v>0.46527777777777773</v>
      </c>
      <c r="E3094" s="1">
        <v>30</v>
      </c>
      <c r="F3094" s="1">
        <v>13</v>
      </c>
      <c r="G3094" s="1">
        <v>0.22935791146605433</v>
      </c>
      <c r="H3094" s="1" t="s">
        <v>144</v>
      </c>
    </row>
    <row r="3095" spans="1:8" x14ac:dyDescent="0.25">
      <c r="A3095" s="1">
        <v>2016</v>
      </c>
      <c r="B3095" s="1">
        <v>256</v>
      </c>
      <c r="C3095" s="15">
        <v>42625</v>
      </c>
      <c r="D3095" s="16">
        <v>0.44444444444444442</v>
      </c>
      <c r="E3095" s="1">
        <v>30</v>
      </c>
      <c r="F3095" s="1">
        <v>14</v>
      </c>
      <c r="G3095" s="1">
        <v>0.23222019927104115</v>
      </c>
      <c r="H3095" s="1" t="s">
        <v>144</v>
      </c>
    </row>
    <row r="3096" spans="1:8" x14ac:dyDescent="0.25">
      <c r="A3096" s="1">
        <v>2016</v>
      </c>
      <c r="B3096" s="1">
        <v>256</v>
      </c>
      <c r="C3096" s="15">
        <v>42625</v>
      </c>
      <c r="D3096" s="16">
        <v>0.44166666666666665</v>
      </c>
      <c r="E3096" s="1">
        <v>30</v>
      </c>
      <c r="F3096" s="1">
        <v>15</v>
      </c>
      <c r="G3096" s="1">
        <v>0.34975718569501885</v>
      </c>
      <c r="H3096" s="1" t="s">
        <v>1</v>
      </c>
    </row>
    <row r="3097" spans="1:8" x14ac:dyDescent="0.25">
      <c r="A3097" s="1">
        <v>2016</v>
      </c>
      <c r="B3097" s="1">
        <v>256</v>
      </c>
      <c r="C3097" s="15">
        <v>42625</v>
      </c>
      <c r="D3097" s="16">
        <v>0.43194444444444446</v>
      </c>
      <c r="E3097" s="1">
        <v>30</v>
      </c>
      <c r="F3097" s="1">
        <v>16</v>
      </c>
      <c r="G3097" s="1">
        <v>0.33327040793829488</v>
      </c>
      <c r="H3097" s="1" t="s">
        <v>1</v>
      </c>
    </row>
    <row r="3098" spans="1:8" x14ac:dyDescent="0.25">
      <c r="A3098" s="1">
        <v>2016</v>
      </c>
      <c r="B3098" s="1">
        <v>256</v>
      </c>
      <c r="C3098" s="15">
        <v>42625</v>
      </c>
      <c r="D3098" s="16">
        <v>0.42430555555555555</v>
      </c>
      <c r="E3098" s="1">
        <v>30</v>
      </c>
      <c r="F3098" s="1">
        <v>17</v>
      </c>
      <c r="G3098" s="1">
        <v>0.34181147474837548</v>
      </c>
      <c r="H3098" s="1" t="s">
        <v>144</v>
      </c>
    </row>
    <row r="3099" spans="1:8" x14ac:dyDescent="0.25">
      <c r="A3099" s="1">
        <v>2016</v>
      </c>
      <c r="B3099" s="1">
        <v>256</v>
      </c>
      <c r="C3099" s="15">
        <v>42625</v>
      </c>
      <c r="D3099" s="16">
        <v>0.41736111111111113</v>
      </c>
      <c r="E3099" s="1">
        <v>30</v>
      </c>
      <c r="F3099" s="1">
        <v>18</v>
      </c>
      <c r="G3099" s="1">
        <v>0.32195864653298711</v>
      </c>
      <c r="H3099" s="1" t="s">
        <v>144</v>
      </c>
    </row>
    <row r="3100" spans="1:8" x14ac:dyDescent="0.25">
      <c r="A3100" s="1">
        <v>2016</v>
      </c>
      <c r="B3100" s="1">
        <v>256</v>
      </c>
      <c r="C3100" s="15">
        <v>42625</v>
      </c>
      <c r="D3100" s="16">
        <v>0.41111111111111115</v>
      </c>
      <c r="E3100" s="1">
        <v>30</v>
      </c>
      <c r="F3100" s="1">
        <v>19</v>
      </c>
      <c r="G3100" s="1">
        <v>0.32104271443539134</v>
      </c>
      <c r="H3100" s="1" t="s">
        <v>144</v>
      </c>
    </row>
    <row r="3101" spans="1:8" x14ac:dyDescent="0.25">
      <c r="A3101" s="1">
        <v>2016</v>
      </c>
      <c r="B3101" s="1">
        <v>256</v>
      </c>
      <c r="C3101" s="15">
        <v>42625</v>
      </c>
      <c r="D3101" s="16">
        <v>0.40486111111111112</v>
      </c>
      <c r="E3101" s="1">
        <v>30</v>
      </c>
      <c r="F3101" s="1">
        <v>20</v>
      </c>
      <c r="G3101" s="1">
        <v>0.31453959654246133</v>
      </c>
      <c r="H3101" s="1" t="s">
        <v>144</v>
      </c>
    </row>
    <row r="3102" spans="1:8" x14ac:dyDescent="0.25">
      <c r="A3102" s="1">
        <v>2016</v>
      </c>
      <c r="B3102" s="1">
        <v>256</v>
      </c>
      <c r="C3102" s="15">
        <v>42625</v>
      </c>
      <c r="D3102" s="16">
        <v>0.32708333333333334</v>
      </c>
      <c r="E3102" s="1">
        <v>10</v>
      </c>
      <c r="F3102" s="1">
        <v>1</v>
      </c>
      <c r="G3102" s="1">
        <v>0.29172971605158443</v>
      </c>
      <c r="H3102" s="1" t="s">
        <v>143</v>
      </c>
    </row>
    <row r="3103" spans="1:8" x14ac:dyDescent="0.25">
      <c r="A3103" s="1">
        <v>2016</v>
      </c>
      <c r="B3103" s="1">
        <v>256</v>
      </c>
      <c r="C3103" s="15">
        <v>42625</v>
      </c>
      <c r="D3103" s="16">
        <v>0.3125</v>
      </c>
      <c r="E3103" s="1">
        <v>10</v>
      </c>
      <c r="F3103" s="1">
        <v>2</v>
      </c>
      <c r="G3103" s="1">
        <v>0.28610956148778943</v>
      </c>
      <c r="H3103" s="1" t="s">
        <v>143</v>
      </c>
    </row>
    <row r="3104" spans="1:8" x14ac:dyDescent="0.25">
      <c r="A3104" s="1">
        <v>2016</v>
      </c>
      <c r="B3104" s="1">
        <v>256</v>
      </c>
      <c r="C3104" s="15">
        <v>42625</v>
      </c>
      <c r="D3104" s="16">
        <v>0.3430555555555555</v>
      </c>
      <c r="E3104" s="1">
        <v>10</v>
      </c>
      <c r="F3104" s="1">
        <v>3</v>
      </c>
      <c r="G3104" s="1">
        <v>0.26111617788156094</v>
      </c>
      <c r="H3104" s="1" t="s">
        <v>143</v>
      </c>
    </row>
    <row r="3105" spans="1:8" x14ac:dyDescent="0.25">
      <c r="A3105" s="1">
        <v>2016</v>
      </c>
      <c r="B3105" s="1">
        <v>256</v>
      </c>
      <c r="C3105" s="15">
        <v>42625</v>
      </c>
      <c r="D3105" s="16">
        <v>0.33402777777777781</v>
      </c>
      <c r="E3105" s="1">
        <v>10</v>
      </c>
      <c r="F3105" s="1">
        <v>4</v>
      </c>
      <c r="G3105" s="1">
        <v>0.28344334481759309</v>
      </c>
      <c r="H3105" s="1" t="s">
        <v>143</v>
      </c>
    </row>
    <row r="3106" spans="1:8" x14ac:dyDescent="0.25">
      <c r="A3106" s="1">
        <v>2016</v>
      </c>
      <c r="B3106" s="1">
        <v>256</v>
      </c>
      <c r="C3106" s="15">
        <v>42625</v>
      </c>
      <c r="D3106" s="16">
        <v>0.35069444444444442</v>
      </c>
      <c r="E3106" s="1">
        <v>10</v>
      </c>
      <c r="F3106" s="1">
        <v>5</v>
      </c>
      <c r="G3106" s="1">
        <v>0.29976672889196032</v>
      </c>
      <c r="H3106" s="1" t="s">
        <v>0</v>
      </c>
    </row>
    <row r="3107" spans="1:8" x14ac:dyDescent="0.25">
      <c r="A3107" s="1">
        <v>2016</v>
      </c>
      <c r="B3107" s="1">
        <v>256</v>
      </c>
      <c r="C3107" s="15">
        <v>42625</v>
      </c>
      <c r="D3107" s="16">
        <v>0.35625000000000001</v>
      </c>
      <c r="E3107" s="1">
        <v>10</v>
      </c>
      <c r="F3107" s="1">
        <v>6</v>
      </c>
      <c r="G3107" s="1">
        <v>0.2988652023919659</v>
      </c>
      <c r="H3107" s="1" t="s">
        <v>0</v>
      </c>
    </row>
    <row r="3108" spans="1:8" x14ac:dyDescent="0.25">
      <c r="A3108" s="1">
        <v>2016</v>
      </c>
      <c r="B3108" s="1">
        <v>256</v>
      </c>
      <c r="C3108" s="15">
        <v>42625</v>
      </c>
      <c r="D3108" s="16">
        <v>0.36180555555555555</v>
      </c>
      <c r="E3108" s="1">
        <v>10</v>
      </c>
      <c r="F3108" s="1">
        <v>7</v>
      </c>
      <c r="G3108" s="1">
        <v>0.29527827780688165</v>
      </c>
      <c r="H3108" s="1" t="s">
        <v>143</v>
      </c>
    </row>
    <row r="3109" spans="1:8" x14ac:dyDescent="0.25">
      <c r="A3109" s="1">
        <v>2016</v>
      </c>
      <c r="B3109" s="1">
        <v>256</v>
      </c>
      <c r="C3109" s="15">
        <v>42625</v>
      </c>
      <c r="D3109" s="16">
        <v>0.36874999999999997</v>
      </c>
      <c r="E3109" s="1">
        <v>10</v>
      </c>
      <c r="F3109" s="1">
        <v>8</v>
      </c>
      <c r="G3109" s="1">
        <v>0.28507376508354049</v>
      </c>
      <c r="H3109" s="1" t="s">
        <v>143</v>
      </c>
    </row>
    <row r="3110" spans="1:8" x14ac:dyDescent="0.25">
      <c r="A3110" s="1">
        <v>2016</v>
      </c>
      <c r="B3110" s="1">
        <v>256</v>
      </c>
      <c r="C3110" s="15">
        <v>42625</v>
      </c>
      <c r="D3110" s="16">
        <v>0.375</v>
      </c>
      <c r="E3110" s="1">
        <v>10</v>
      </c>
      <c r="F3110" s="1">
        <v>9</v>
      </c>
      <c r="G3110" s="1">
        <v>0.28944712767925812</v>
      </c>
      <c r="H3110" s="1" t="s">
        <v>143</v>
      </c>
    </row>
    <row r="3111" spans="1:8" x14ac:dyDescent="0.25">
      <c r="A3111" s="1">
        <v>2016</v>
      </c>
      <c r="B3111" s="1">
        <v>256</v>
      </c>
      <c r="C3111" s="15">
        <v>42625</v>
      </c>
      <c r="D3111" s="16">
        <v>0.38194444444444442</v>
      </c>
      <c r="E3111" s="1">
        <v>10</v>
      </c>
      <c r="F3111" s="1">
        <v>10</v>
      </c>
      <c r="G3111" s="1">
        <v>0.30745847626425316</v>
      </c>
      <c r="H3111" s="1" t="s">
        <v>143</v>
      </c>
    </row>
    <row r="3112" spans="1:8" x14ac:dyDescent="0.25">
      <c r="A3112" s="1">
        <v>2016</v>
      </c>
      <c r="B3112" s="1">
        <v>256</v>
      </c>
      <c r="C3112" s="15">
        <v>42625</v>
      </c>
      <c r="D3112" s="16">
        <v>0.4513888888888889</v>
      </c>
      <c r="E3112" s="1">
        <v>10</v>
      </c>
      <c r="F3112" s="1">
        <v>11</v>
      </c>
      <c r="G3112" s="1">
        <v>0.24362272749869029</v>
      </c>
      <c r="H3112" s="1" t="s">
        <v>144</v>
      </c>
    </row>
    <row r="3113" spans="1:8" x14ac:dyDescent="0.25">
      <c r="A3113" s="1">
        <v>2016</v>
      </c>
      <c r="B3113" s="1">
        <v>256</v>
      </c>
      <c r="C3113" s="15">
        <v>42625</v>
      </c>
      <c r="D3113" s="16">
        <v>0.45833333333333331</v>
      </c>
      <c r="E3113" s="1">
        <v>10</v>
      </c>
      <c r="F3113" s="1">
        <v>12</v>
      </c>
      <c r="G3113" s="1">
        <v>0.23362921033917766</v>
      </c>
      <c r="H3113" s="1" t="s">
        <v>144</v>
      </c>
    </row>
    <row r="3114" spans="1:8" x14ac:dyDescent="0.25">
      <c r="A3114" s="1">
        <v>2016</v>
      </c>
      <c r="B3114" s="1">
        <v>256</v>
      </c>
      <c r="C3114" s="15">
        <v>42625</v>
      </c>
      <c r="D3114" s="16">
        <v>0.46527777777777773</v>
      </c>
      <c r="E3114" s="1">
        <v>10</v>
      </c>
      <c r="F3114" s="1">
        <v>13</v>
      </c>
      <c r="G3114" s="1">
        <v>0.26345631049856771</v>
      </c>
      <c r="H3114" s="1" t="s">
        <v>144</v>
      </c>
    </row>
    <row r="3115" spans="1:8" x14ac:dyDescent="0.25">
      <c r="A3115" s="1">
        <v>2016</v>
      </c>
      <c r="B3115" s="1">
        <v>256</v>
      </c>
      <c r="C3115" s="15">
        <v>42625</v>
      </c>
      <c r="D3115" s="16">
        <v>0.44444444444444442</v>
      </c>
      <c r="E3115" s="1">
        <v>10</v>
      </c>
      <c r="F3115" s="1">
        <v>14</v>
      </c>
      <c r="G3115" s="1">
        <v>0.25960084610497458</v>
      </c>
      <c r="H3115" s="1" t="s">
        <v>144</v>
      </c>
    </row>
    <row r="3116" spans="1:8" x14ac:dyDescent="0.25">
      <c r="A3116" s="1">
        <v>2016</v>
      </c>
      <c r="B3116" s="1">
        <v>256</v>
      </c>
      <c r="C3116" s="15">
        <v>42625</v>
      </c>
      <c r="D3116" s="16">
        <v>0.44166666666666665</v>
      </c>
      <c r="E3116" s="1">
        <v>10</v>
      </c>
      <c r="F3116" s="1">
        <v>15</v>
      </c>
      <c r="G3116" s="1">
        <v>0.303372834891938</v>
      </c>
      <c r="H3116" s="1" t="s">
        <v>1</v>
      </c>
    </row>
    <row r="3117" spans="1:8" x14ac:dyDescent="0.25">
      <c r="A3117" s="1">
        <v>2016</v>
      </c>
      <c r="B3117" s="1">
        <v>256</v>
      </c>
      <c r="C3117" s="15">
        <v>42625</v>
      </c>
      <c r="D3117" s="16">
        <v>0.43194444444444446</v>
      </c>
      <c r="E3117" s="1">
        <v>10</v>
      </c>
      <c r="F3117" s="1">
        <v>16</v>
      </c>
      <c r="G3117" s="1">
        <v>0.28747144194522783</v>
      </c>
      <c r="H3117" s="1" t="s">
        <v>1</v>
      </c>
    </row>
    <row r="3118" spans="1:8" x14ac:dyDescent="0.25">
      <c r="A3118" s="1">
        <v>2016</v>
      </c>
      <c r="B3118" s="1">
        <v>256</v>
      </c>
      <c r="C3118" s="15">
        <v>42625</v>
      </c>
      <c r="D3118" s="16">
        <v>0.42430555555555555</v>
      </c>
      <c r="E3118" s="1">
        <v>10</v>
      </c>
      <c r="F3118" s="1">
        <v>17</v>
      </c>
      <c r="G3118" s="1">
        <v>0.27256748257297947</v>
      </c>
      <c r="H3118" s="1" t="s">
        <v>144</v>
      </c>
    </row>
    <row r="3119" spans="1:8" x14ac:dyDescent="0.25">
      <c r="A3119" s="1">
        <v>2016</v>
      </c>
      <c r="B3119" s="1">
        <v>256</v>
      </c>
      <c r="C3119" s="15">
        <v>42625</v>
      </c>
      <c r="D3119" s="16">
        <v>0.41736111111111113</v>
      </c>
      <c r="E3119" s="1">
        <v>10</v>
      </c>
      <c r="F3119" s="1">
        <v>18</v>
      </c>
      <c r="G3119" s="1">
        <v>0.25501648794542842</v>
      </c>
      <c r="H3119" s="1" t="s">
        <v>144</v>
      </c>
    </row>
    <row r="3120" spans="1:8" x14ac:dyDescent="0.25">
      <c r="A3120" s="1">
        <v>2016</v>
      </c>
      <c r="B3120" s="1">
        <v>256</v>
      </c>
      <c r="C3120" s="15">
        <v>42625</v>
      </c>
      <c r="D3120" s="16">
        <v>0.41111111111111115</v>
      </c>
      <c r="E3120" s="1">
        <v>10</v>
      </c>
      <c r="F3120" s="1">
        <v>19</v>
      </c>
      <c r="G3120" s="1">
        <v>0.25607146576457085</v>
      </c>
      <c r="H3120" s="1" t="s">
        <v>144</v>
      </c>
    </row>
    <row r="3121" spans="1:8" x14ac:dyDescent="0.25">
      <c r="A3121" s="1">
        <v>2016</v>
      </c>
      <c r="B3121" s="1">
        <v>256</v>
      </c>
      <c r="C3121" s="15">
        <v>42625</v>
      </c>
      <c r="D3121" s="16">
        <v>0.40486111111111112</v>
      </c>
      <c r="E3121" s="1">
        <v>10</v>
      </c>
      <c r="F3121" s="1">
        <v>20</v>
      </c>
      <c r="G3121" s="1">
        <v>0.27813009289209406</v>
      </c>
      <c r="H3121" s="1" t="s">
        <v>144</v>
      </c>
    </row>
    <row r="3122" spans="1:8" x14ac:dyDescent="0.25">
      <c r="A3122" s="1">
        <v>2016</v>
      </c>
      <c r="B3122" s="1">
        <v>263</v>
      </c>
      <c r="C3122" s="15">
        <v>42632</v>
      </c>
      <c r="D3122" s="16">
        <v>0.52847222222222223</v>
      </c>
      <c r="E3122" s="1">
        <v>230</v>
      </c>
      <c r="F3122" s="1">
        <v>1</v>
      </c>
      <c r="G3122" s="1">
        <v>0.28853325997302631</v>
      </c>
      <c r="H3122" s="1" t="s">
        <v>143</v>
      </c>
    </row>
    <row r="3123" spans="1:8" x14ac:dyDescent="0.25">
      <c r="A3123" s="1">
        <v>2016</v>
      </c>
      <c r="B3123" s="1">
        <v>263</v>
      </c>
      <c r="C3123" s="15">
        <v>42632</v>
      </c>
      <c r="D3123" s="16">
        <v>0.53541666666666665</v>
      </c>
      <c r="E3123" s="1">
        <v>230</v>
      </c>
      <c r="F3123" s="1">
        <v>2</v>
      </c>
      <c r="G3123" s="1">
        <v>0.29012934938751855</v>
      </c>
      <c r="H3123" s="1" t="s">
        <v>143</v>
      </c>
    </row>
    <row r="3124" spans="1:8" x14ac:dyDescent="0.25">
      <c r="A3124" s="1">
        <v>2016</v>
      </c>
      <c r="B3124" s="1">
        <v>263</v>
      </c>
      <c r="C3124" s="15">
        <v>42632</v>
      </c>
      <c r="D3124" s="16">
        <v>0.5493055555555556</v>
      </c>
      <c r="E3124" s="1">
        <v>230</v>
      </c>
      <c r="F3124" s="1">
        <v>3</v>
      </c>
      <c r="G3124" s="1">
        <v>0.26266493275521924</v>
      </c>
      <c r="H3124" s="1" t="s">
        <v>143</v>
      </c>
    </row>
    <row r="3125" spans="1:8" x14ac:dyDescent="0.25">
      <c r="A3125" s="1">
        <v>2016</v>
      </c>
      <c r="B3125" s="1">
        <v>263</v>
      </c>
      <c r="C3125" s="15">
        <v>42632</v>
      </c>
      <c r="D3125" s="16">
        <v>0.52152777777777781</v>
      </c>
      <c r="E3125" s="1">
        <v>230</v>
      </c>
      <c r="F3125" s="1">
        <v>4</v>
      </c>
      <c r="G3125" s="1">
        <v>0.2705480573024065</v>
      </c>
      <c r="H3125" s="1" t="s">
        <v>143</v>
      </c>
    </row>
    <row r="3126" spans="1:8" x14ac:dyDescent="0.25">
      <c r="A3126" s="1">
        <v>2016</v>
      </c>
      <c r="B3126" s="1">
        <v>263</v>
      </c>
      <c r="C3126" s="15">
        <v>42632</v>
      </c>
      <c r="D3126" s="16">
        <v>0.51597222222222217</v>
      </c>
      <c r="E3126" s="1">
        <v>230</v>
      </c>
      <c r="F3126" s="1">
        <v>5</v>
      </c>
      <c r="G3126" s="1" t="e">
        <v>#N/A</v>
      </c>
      <c r="H3126" s="1" t="s">
        <v>0</v>
      </c>
    </row>
    <row r="3127" spans="1:8" x14ac:dyDescent="0.25">
      <c r="A3127" s="1">
        <v>2016</v>
      </c>
      <c r="B3127" s="1">
        <v>263</v>
      </c>
      <c r="C3127" s="15">
        <v>42632</v>
      </c>
      <c r="D3127" s="16">
        <v>0.52083333333333337</v>
      </c>
      <c r="E3127" s="1">
        <v>230</v>
      </c>
      <c r="F3127" s="1">
        <v>6</v>
      </c>
      <c r="G3127" s="1" t="e">
        <v>#N/A</v>
      </c>
      <c r="H3127" s="1" t="s">
        <v>0</v>
      </c>
    </row>
    <row r="3128" spans="1:8" x14ac:dyDescent="0.25">
      <c r="A3128" s="1">
        <v>2016</v>
      </c>
      <c r="B3128" s="1">
        <v>263</v>
      </c>
      <c r="C3128" s="15">
        <v>42632</v>
      </c>
      <c r="D3128" s="16">
        <v>0.54027777777777775</v>
      </c>
      <c r="E3128" s="1">
        <v>230</v>
      </c>
      <c r="F3128" s="1">
        <v>7</v>
      </c>
      <c r="G3128" s="1">
        <v>0.26788142010990118</v>
      </c>
      <c r="H3128" s="1" t="s">
        <v>143</v>
      </c>
    </row>
    <row r="3129" spans="1:8" x14ac:dyDescent="0.25">
      <c r="A3129" s="1">
        <v>2016</v>
      </c>
      <c r="B3129" s="1">
        <v>263</v>
      </c>
      <c r="C3129" s="15">
        <v>42632</v>
      </c>
      <c r="D3129" s="16">
        <v>0.5083333333333333</v>
      </c>
      <c r="E3129" s="1">
        <v>230</v>
      </c>
      <c r="F3129" s="1">
        <v>8</v>
      </c>
      <c r="G3129" s="1">
        <v>0.30357932238037388</v>
      </c>
      <c r="H3129" s="1" t="s">
        <v>143</v>
      </c>
    </row>
    <row r="3130" spans="1:8" x14ac:dyDescent="0.25">
      <c r="A3130" s="1">
        <v>2016</v>
      </c>
      <c r="B3130" s="1">
        <v>263</v>
      </c>
      <c r="C3130" s="15">
        <v>42632</v>
      </c>
      <c r="D3130" s="16">
        <v>0.50138888888888888</v>
      </c>
      <c r="E3130" s="1">
        <v>230</v>
      </c>
      <c r="F3130" s="1">
        <v>9</v>
      </c>
      <c r="G3130" s="1">
        <v>0.2961049524393371</v>
      </c>
      <c r="H3130" s="1" t="s">
        <v>143</v>
      </c>
    </row>
    <row r="3131" spans="1:8" x14ac:dyDescent="0.25">
      <c r="A3131" s="1">
        <v>2016</v>
      </c>
      <c r="B3131" s="1">
        <v>263</v>
      </c>
      <c r="C3131" s="15">
        <v>42632</v>
      </c>
      <c r="D3131" s="16">
        <v>0.49444444444444446</v>
      </c>
      <c r="E3131" s="1">
        <v>230</v>
      </c>
      <c r="F3131" s="1">
        <v>10</v>
      </c>
      <c r="G3131" s="1">
        <v>0.25240713859134839</v>
      </c>
      <c r="H3131" s="1" t="s">
        <v>143</v>
      </c>
    </row>
    <row r="3132" spans="1:8" x14ac:dyDescent="0.25">
      <c r="A3132" s="1">
        <v>2016</v>
      </c>
      <c r="B3132" s="1">
        <v>263</v>
      </c>
      <c r="C3132" s="15">
        <v>42632</v>
      </c>
      <c r="D3132" s="16">
        <v>0.3611111111111111</v>
      </c>
      <c r="E3132" s="1">
        <v>230</v>
      </c>
      <c r="F3132" s="1">
        <v>11</v>
      </c>
      <c r="G3132" s="1">
        <v>0.28549679718448012</v>
      </c>
      <c r="H3132" s="1" t="s">
        <v>144</v>
      </c>
    </row>
    <row r="3133" spans="1:8" x14ac:dyDescent="0.25">
      <c r="A3133" s="1">
        <v>2016</v>
      </c>
      <c r="B3133" s="1">
        <v>263</v>
      </c>
      <c r="C3133" s="15">
        <v>42632</v>
      </c>
      <c r="D3133" s="16">
        <v>0.36874999999999997</v>
      </c>
      <c r="E3133" s="1">
        <v>230</v>
      </c>
      <c r="F3133" s="1">
        <v>12</v>
      </c>
      <c r="G3133" s="1">
        <v>0.287306996154575</v>
      </c>
      <c r="H3133" s="1" t="s">
        <v>144</v>
      </c>
    </row>
    <row r="3134" spans="1:8" x14ac:dyDescent="0.25">
      <c r="A3134" s="1">
        <v>2016</v>
      </c>
      <c r="B3134" s="1">
        <v>263</v>
      </c>
      <c r="C3134" s="15">
        <v>42632</v>
      </c>
      <c r="D3134" s="16">
        <v>0.37708333333333338</v>
      </c>
      <c r="E3134" s="1">
        <v>230</v>
      </c>
      <c r="F3134" s="1">
        <v>13</v>
      </c>
      <c r="G3134" s="1">
        <v>0.28057227740561996</v>
      </c>
      <c r="H3134" s="1" t="s">
        <v>144</v>
      </c>
    </row>
    <row r="3135" spans="1:8" x14ac:dyDescent="0.25">
      <c r="A3135" s="1">
        <v>2016</v>
      </c>
      <c r="B3135" s="1">
        <v>263</v>
      </c>
      <c r="C3135" s="15">
        <v>42632</v>
      </c>
      <c r="D3135" s="16">
        <v>0.34861111111111115</v>
      </c>
      <c r="E3135" s="1">
        <v>230</v>
      </c>
      <c r="F3135" s="1">
        <v>14</v>
      </c>
      <c r="G3135" s="1">
        <v>0.2733120170201857</v>
      </c>
      <c r="H3135" s="1" t="s">
        <v>144</v>
      </c>
    </row>
    <row r="3136" spans="1:8" x14ac:dyDescent="0.25">
      <c r="A3136" s="1">
        <v>2016</v>
      </c>
      <c r="B3136" s="1">
        <v>263</v>
      </c>
      <c r="C3136" s="15">
        <v>42632</v>
      </c>
      <c r="D3136" s="16">
        <v>0.34166666666666662</v>
      </c>
      <c r="E3136" s="1">
        <v>230</v>
      </c>
      <c r="F3136" s="1">
        <v>15</v>
      </c>
      <c r="G3136" s="1" t="e">
        <v>#N/A</v>
      </c>
      <c r="H3136" s="1" t="s">
        <v>1</v>
      </c>
    </row>
    <row r="3137" spans="1:8" x14ac:dyDescent="0.25">
      <c r="A3137" s="1">
        <v>2016</v>
      </c>
      <c r="B3137" s="1">
        <v>263</v>
      </c>
      <c r="C3137" s="15">
        <v>42632</v>
      </c>
      <c r="D3137" s="16">
        <v>0.33680555555555558</v>
      </c>
      <c r="E3137" s="1">
        <v>230</v>
      </c>
      <c r="F3137" s="1">
        <v>16</v>
      </c>
      <c r="G3137" s="1" t="e">
        <v>#N/A</v>
      </c>
      <c r="H3137" s="1" t="s">
        <v>1</v>
      </c>
    </row>
    <row r="3138" spans="1:8" x14ac:dyDescent="0.25">
      <c r="A3138" s="1">
        <v>2016</v>
      </c>
      <c r="B3138" s="1">
        <v>263</v>
      </c>
      <c r="C3138" s="15">
        <v>42632</v>
      </c>
      <c r="D3138" s="16">
        <v>0.32708333333333334</v>
      </c>
      <c r="E3138" s="1">
        <v>230</v>
      </c>
      <c r="F3138" s="1">
        <v>17</v>
      </c>
      <c r="G3138" s="1">
        <v>0.29207579989299692</v>
      </c>
      <c r="H3138" s="1" t="s">
        <v>144</v>
      </c>
    </row>
    <row r="3139" spans="1:8" x14ac:dyDescent="0.25">
      <c r="A3139" s="1">
        <v>2016</v>
      </c>
      <c r="B3139" s="1">
        <v>263</v>
      </c>
      <c r="C3139" s="15">
        <v>42632</v>
      </c>
      <c r="D3139" s="16">
        <v>0.30624999999999997</v>
      </c>
      <c r="E3139" s="1">
        <v>230</v>
      </c>
      <c r="F3139" s="1">
        <v>18</v>
      </c>
      <c r="G3139" s="1">
        <v>0.29024613641784724</v>
      </c>
      <c r="H3139" s="1" t="s">
        <v>144</v>
      </c>
    </row>
    <row r="3140" spans="1:8" x14ac:dyDescent="0.25">
      <c r="A3140" s="1">
        <v>2016</v>
      </c>
      <c r="B3140" s="1">
        <v>263</v>
      </c>
      <c r="C3140" s="15">
        <v>42632</v>
      </c>
      <c r="D3140" s="16">
        <v>0.30208333333333331</v>
      </c>
      <c r="E3140" s="1">
        <v>230</v>
      </c>
      <c r="F3140" s="1">
        <v>19</v>
      </c>
      <c r="G3140" s="1">
        <v>0.27747742110190937</v>
      </c>
      <c r="H3140" s="1" t="s">
        <v>144</v>
      </c>
    </row>
    <row r="3141" spans="1:8" x14ac:dyDescent="0.25">
      <c r="A3141" s="1">
        <v>2016</v>
      </c>
      <c r="B3141" s="1">
        <v>263</v>
      </c>
      <c r="C3141" s="15">
        <v>42632</v>
      </c>
      <c r="D3141" s="16">
        <v>0.29444444444444445</v>
      </c>
      <c r="E3141" s="1">
        <v>230</v>
      </c>
      <c r="F3141" s="1">
        <v>20</v>
      </c>
      <c r="G3141" s="1">
        <v>0.29596870090395361</v>
      </c>
      <c r="H3141" s="1" t="s">
        <v>144</v>
      </c>
    </row>
    <row r="3142" spans="1:8" x14ac:dyDescent="0.25">
      <c r="A3142" s="1">
        <v>2016</v>
      </c>
      <c r="B3142" s="1">
        <v>263</v>
      </c>
      <c r="C3142" s="15">
        <v>42632</v>
      </c>
      <c r="D3142" s="16">
        <v>0.52847222222222223</v>
      </c>
      <c r="E3142" s="1">
        <v>210</v>
      </c>
      <c r="F3142" s="1">
        <v>1</v>
      </c>
      <c r="G3142" s="1">
        <v>0.29211472890310647</v>
      </c>
      <c r="H3142" s="1" t="s">
        <v>143</v>
      </c>
    </row>
    <row r="3143" spans="1:8" x14ac:dyDescent="0.25">
      <c r="A3143" s="1">
        <v>2016</v>
      </c>
      <c r="B3143" s="1">
        <v>263</v>
      </c>
      <c r="C3143" s="15">
        <v>42632</v>
      </c>
      <c r="D3143" s="16">
        <v>0.53541666666666665</v>
      </c>
      <c r="E3143" s="1">
        <v>210</v>
      </c>
      <c r="F3143" s="1">
        <v>2</v>
      </c>
      <c r="G3143" s="1">
        <v>0.29024613641784724</v>
      </c>
      <c r="H3143" s="1" t="s">
        <v>143</v>
      </c>
    </row>
    <row r="3144" spans="1:8" x14ac:dyDescent="0.25">
      <c r="A3144" s="1">
        <v>2016</v>
      </c>
      <c r="B3144" s="1">
        <v>263</v>
      </c>
      <c r="C3144" s="15">
        <v>42632</v>
      </c>
      <c r="D3144" s="16">
        <v>0.5493055555555556</v>
      </c>
      <c r="E3144" s="1">
        <v>210</v>
      </c>
      <c r="F3144" s="1">
        <v>3</v>
      </c>
      <c r="G3144" s="1">
        <v>0.26332672592708184</v>
      </c>
      <c r="H3144" s="1" t="s">
        <v>143</v>
      </c>
    </row>
    <row r="3145" spans="1:8" x14ac:dyDescent="0.25">
      <c r="A3145" s="1">
        <v>2016</v>
      </c>
      <c r="B3145" s="1">
        <v>263</v>
      </c>
      <c r="C3145" s="15">
        <v>42632</v>
      </c>
      <c r="D3145" s="16">
        <v>0.52152777777777781</v>
      </c>
      <c r="E3145" s="1">
        <v>210</v>
      </c>
      <c r="F3145" s="1">
        <v>4</v>
      </c>
      <c r="G3145" s="1">
        <v>0.27989101972870251</v>
      </c>
      <c r="H3145" s="1" t="s">
        <v>143</v>
      </c>
    </row>
    <row r="3146" spans="1:8" x14ac:dyDescent="0.25">
      <c r="A3146" s="1">
        <v>2016</v>
      </c>
      <c r="B3146" s="1">
        <v>263</v>
      </c>
      <c r="C3146" s="15">
        <v>42632</v>
      </c>
      <c r="D3146" s="16">
        <v>0.51597222222222217</v>
      </c>
      <c r="E3146" s="1">
        <v>210</v>
      </c>
      <c r="F3146" s="1">
        <v>5</v>
      </c>
      <c r="G3146" s="1" t="e">
        <v>#N/A</v>
      </c>
      <c r="H3146" s="1" t="s">
        <v>0</v>
      </c>
    </row>
    <row r="3147" spans="1:8" x14ac:dyDescent="0.25">
      <c r="A3147" s="1">
        <v>2016</v>
      </c>
      <c r="B3147" s="1">
        <v>263</v>
      </c>
      <c r="C3147" s="15">
        <v>42632</v>
      </c>
      <c r="D3147" s="16">
        <v>0.52083333333333337</v>
      </c>
      <c r="E3147" s="1">
        <v>210</v>
      </c>
      <c r="F3147" s="1">
        <v>6</v>
      </c>
      <c r="G3147" s="1" t="e">
        <v>#N/A</v>
      </c>
      <c r="H3147" s="1" t="s">
        <v>0</v>
      </c>
    </row>
    <row r="3148" spans="1:8" x14ac:dyDescent="0.25">
      <c r="A3148" s="1">
        <v>2016</v>
      </c>
      <c r="B3148" s="1">
        <v>263</v>
      </c>
      <c r="C3148" s="15">
        <v>42632</v>
      </c>
      <c r="D3148" s="16">
        <v>0.54027777777777775</v>
      </c>
      <c r="E3148" s="1">
        <v>210</v>
      </c>
      <c r="F3148" s="1">
        <v>7</v>
      </c>
      <c r="G3148" s="1">
        <v>0.26342404845235573</v>
      </c>
      <c r="H3148" s="1" t="s">
        <v>143</v>
      </c>
    </row>
    <row r="3149" spans="1:8" x14ac:dyDescent="0.25">
      <c r="A3149" s="1">
        <v>2016</v>
      </c>
      <c r="B3149" s="1">
        <v>263</v>
      </c>
      <c r="C3149" s="15">
        <v>42632</v>
      </c>
      <c r="D3149" s="16">
        <v>0.5083333333333333</v>
      </c>
      <c r="E3149" s="1">
        <v>210</v>
      </c>
      <c r="F3149" s="1">
        <v>8</v>
      </c>
      <c r="G3149" s="1">
        <v>0.29659156506570666</v>
      </c>
      <c r="H3149" s="1" t="s">
        <v>143</v>
      </c>
    </row>
    <row r="3150" spans="1:8" x14ac:dyDescent="0.25">
      <c r="A3150" s="1">
        <v>2016</v>
      </c>
      <c r="B3150" s="1">
        <v>263</v>
      </c>
      <c r="C3150" s="15">
        <v>42632</v>
      </c>
      <c r="D3150" s="16">
        <v>0.50138888888888888</v>
      </c>
      <c r="E3150" s="1">
        <v>210</v>
      </c>
      <c r="F3150" s="1">
        <v>9</v>
      </c>
      <c r="G3150" s="1">
        <v>0.28148710914319475</v>
      </c>
      <c r="H3150" s="1" t="s">
        <v>143</v>
      </c>
    </row>
    <row r="3151" spans="1:8" x14ac:dyDescent="0.25">
      <c r="A3151" s="1">
        <v>2016</v>
      </c>
      <c r="B3151" s="1">
        <v>263</v>
      </c>
      <c r="C3151" s="15">
        <v>42632</v>
      </c>
      <c r="D3151" s="16">
        <v>0.49444444444444446</v>
      </c>
      <c r="E3151" s="1">
        <v>210</v>
      </c>
      <c r="F3151" s="1">
        <v>10</v>
      </c>
      <c r="G3151" s="1">
        <v>0.24868941812588474</v>
      </c>
      <c r="H3151" s="1" t="s">
        <v>143</v>
      </c>
    </row>
    <row r="3152" spans="1:8" x14ac:dyDescent="0.25">
      <c r="A3152" s="1">
        <v>2016</v>
      </c>
      <c r="B3152" s="1">
        <v>263</v>
      </c>
      <c r="C3152" s="15">
        <v>42632</v>
      </c>
      <c r="D3152" s="16">
        <v>0.3611111111111111</v>
      </c>
      <c r="E3152" s="1">
        <v>210</v>
      </c>
      <c r="F3152" s="1">
        <v>11</v>
      </c>
      <c r="G3152" s="1">
        <v>0.29540423025736484</v>
      </c>
      <c r="H3152" s="1" t="s">
        <v>144</v>
      </c>
    </row>
    <row r="3153" spans="1:8" x14ac:dyDescent="0.25">
      <c r="A3153" s="1">
        <v>2016</v>
      </c>
      <c r="B3153" s="1">
        <v>263</v>
      </c>
      <c r="C3153" s="15">
        <v>42632</v>
      </c>
      <c r="D3153" s="16">
        <v>0.36874999999999997</v>
      </c>
      <c r="E3153" s="1">
        <v>210</v>
      </c>
      <c r="F3153" s="1">
        <v>12</v>
      </c>
      <c r="G3153" s="1">
        <v>0.30564255991618094</v>
      </c>
      <c r="H3153" s="1" t="s">
        <v>144</v>
      </c>
    </row>
    <row r="3154" spans="1:8" x14ac:dyDescent="0.25">
      <c r="A3154" s="1">
        <v>2016</v>
      </c>
      <c r="B3154" s="1">
        <v>263</v>
      </c>
      <c r="C3154" s="15">
        <v>42632</v>
      </c>
      <c r="D3154" s="16">
        <v>0.37708333333333338</v>
      </c>
      <c r="E3154" s="1">
        <v>210</v>
      </c>
      <c r="F3154" s="1">
        <v>13</v>
      </c>
      <c r="G3154" s="1">
        <v>0.28666466748776714</v>
      </c>
      <c r="H3154" s="1" t="s">
        <v>144</v>
      </c>
    </row>
    <row r="3155" spans="1:8" x14ac:dyDescent="0.25">
      <c r="A3155" s="1">
        <v>2016</v>
      </c>
      <c r="B3155" s="1">
        <v>263</v>
      </c>
      <c r="C3155" s="15">
        <v>42632</v>
      </c>
      <c r="D3155" s="16">
        <v>0.34861111111111115</v>
      </c>
      <c r="E3155" s="1">
        <v>210</v>
      </c>
      <c r="F3155" s="1">
        <v>14</v>
      </c>
      <c r="G3155" s="1">
        <v>0.26258707473500009</v>
      </c>
      <c r="H3155" s="1" t="s">
        <v>144</v>
      </c>
    </row>
    <row r="3156" spans="1:8" x14ac:dyDescent="0.25">
      <c r="A3156" s="1">
        <v>2016</v>
      </c>
      <c r="B3156" s="1">
        <v>263</v>
      </c>
      <c r="C3156" s="15">
        <v>42632</v>
      </c>
      <c r="D3156" s="16">
        <v>0.34166666666666662</v>
      </c>
      <c r="E3156" s="1">
        <v>210</v>
      </c>
      <c r="F3156" s="1">
        <v>15</v>
      </c>
      <c r="G3156" s="1" t="e">
        <v>#N/A</v>
      </c>
      <c r="H3156" s="1" t="s">
        <v>1</v>
      </c>
    </row>
    <row r="3157" spans="1:8" x14ac:dyDescent="0.25">
      <c r="A3157" s="1">
        <v>2016</v>
      </c>
      <c r="B3157" s="1">
        <v>263</v>
      </c>
      <c r="C3157" s="15">
        <v>42632</v>
      </c>
      <c r="D3157" s="16">
        <v>0.33680555555555558</v>
      </c>
      <c r="E3157" s="1">
        <v>210</v>
      </c>
      <c r="F3157" s="1">
        <v>16</v>
      </c>
      <c r="G3157" s="1" t="e">
        <v>#N/A</v>
      </c>
      <c r="H3157" s="1" t="s">
        <v>1</v>
      </c>
    </row>
    <row r="3158" spans="1:8" x14ac:dyDescent="0.25">
      <c r="A3158" s="1">
        <v>2016</v>
      </c>
      <c r="B3158" s="1">
        <v>263</v>
      </c>
      <c r="C3158" s="15">
        <v>42632</v>
      </c>
      <c r="D3158" s="16">
        <v>0.32708333333333334</v>
      </c>
      <c r="E3158" s="1">
        <v>210</v>
      </c>
      <c r="F3158" s="1">
        <v>17</v>
      </c>
      <c r="G3158" s="1">
        <v>0.30116572375358075</v>
      </c>
      <c r="H3158" s="1" t="s">
        <v>144</v>
      </c>
    </row>
    <row r="3159" spans="1:8" x14ac:dyDescent="0.25">
      <c r="A3159" s="1">
        <v>2016</v>
      </c>
      <c r="B3159" s="1">
        <v>263</v>
      </c>
      <c r="C3159" s="15">
        <v>42632</v>
      </c>
      <c r="D3159" s="16">
        <v>0.30624999999999997</v>
      </c>
      <c r="E3159" s="1">
        <v>210</v>
      </c>
      <c r="F3159" s="1">
        <v>18</v>
      </c>
      <c r="G3159" s="1">
        <v>0.29645531353032317</v>
      </c>
      <c r="H3159" s="1" t="s">
        <v>144</v>
      </c>
    </row>
    <row r="3160" spans="1:8" x14ac:dyDescent="0.25">
      <c r="A3160" s="1">
        <v>2016</v>
      </c>
      <c r="B3160" s="1">
        <v>263</v>
      </c>
      <c r="C3160" s="15">
        <v>42632</v>
      </c>
      <c r="D3160" s="16">
        <v>0.30208333333333331</v>
      </c>
      <c r="E3160" s="1">
        <v>210</v>
      </c>
      <c r="F3160" s="1">
        <v>19</v>
      </c>
      <c r="G3160" s="1">
        <v>0.28464035896206968</v>
      </c>
      <c r="H3160" s="1" t="s">
        <v>144</v>
      </c>
    </row>
    <row r="3161" spans="1:8" x14ac:dyDescent="0.25">
      <c r="A3161" s="1">
        <v>2016</v>
      </c>
      <c r="B3161" s="1">
        <v>263</v>
      </c>
      <c r="C3161" s="15">
        <v>42632</v>
      </c>
      <c r="D3161" s="16">
        <v>0.29444444444444445</v>
      </c>
      <c r="E3161" s="1">
        <v>210</v>
      </c>
      <c r="F3161" s="1">
        <v>20</v>
      </c>
      <c r="G3161" s="1">
        <v>0.28843593744775242</v>
      </c>
      <c r="H3161" s="1" t="s">
        <v>144</v>
      </c>
    </row>
    <row r="3162" spans="1:8" x14ac:dyDescent="0.25">
      <c r="A3162" s="1">
        <v>2016</v>
      </c>
      <c r="B3162" s="1">
        <v>263</v>
      </c>
      <c r="C3162" s="15">
        <v>42632</v>
      </c>
      <c r="D3162" s="16">
        <v>0.52847222222222223</v>
      </c>
      <c r="E3162" s="1">
        <v>190</v>
      </c>
      <c r="F3162" s="1">
        <v>1</v>
      </c>
      <c r="G3162" s="1">
        <v>0.26951643853450297</v>
      </c>
      <c r="H3162" s="1" t="s">
        <v>143</v>
      </c>
    </row>
    <row r="3163" spans="1:8" x14ac:dyDescent="0.25">
      <c r="A3163" s="1">
        <v>2016</v>
      </c>
      <c r="B3163" s="1">
        <v>263</v>
      </c>
      <c r="C3163" s="15">
        <v>42632</v>
      </c>
      <c r="D3163" s="16">
        <v>0.53541666666666665</v>
      </c>
      <c r="E3163" s="1">
        <v>190</v>
      </c>
      <c r="F3163" s="1">
        <v>2</v>
      </c>
      <c r="G3163" s="1">
        <v>0.27948226512255209</v>
      </c>
      <c r="H3163" s="1" t="s">
        <v>143</v>
      </c>
    </row>
    <row r="3164" spans="1:8" x14ac:dyDescent="0.25">
      <c r="A3164" s="1">
        <v>2016</v>
      </c>
      <c r="B3164" s="1">
        <v>263</v>
      </c>
      <c r="C3164" s="15">
        <v>42632</v>
      </c>
      <c r="D3164" s="16">
        <v>0.5493055555555556</v>
      </c>
      <c r="E3164" s="1">
        <v>190</v>
      </c>
      <c r="F3164" s="1">
        <v>3</v>
      </c>
      <c r="G3164" s="1">
        <v>0.28022191631463383</v>
      </c>
      <c r="H3164" s="1" t="s">
        <v>143</v>
      </c>
    </row>
    <row r="3165" spans="1:8" x14ac:dyDescent="0.25">
      <c r="A3165" s="1">
        <v>2016</v>
      </c>
      <c r="B3165" s="1">
        <v>263</v>
      </c>
      <c r="C3165" s="15">
        <v>42632</v>
      </c>
      <c r="D3165" s="16">
        <v>0.52152777777777781</v>
      </c>
      <c r="E3165" s="1">
        <v>190</v>
      </c>
      <c r="F3165" s="1">
        <v>4</v>
      </c>
      <c r="G3165" s="1">
        <v>0.28323891459812528</v>
      </c>
      <c r="H3165" s="1" t="s">
        <v>143</v>
      </c>
    </row>
    <row r="3166" spans="1:8" x14ac:dyDescent="0.25">
      <c r="A3166" s="1">
        <v>2016</v>
      </c>
      <c r="B3166" s="1">
        <v>263</v>
      </c>
      <c r="C3166" s="15">
        <v>42632</v>
      </c>
      <c r="D3166" s="16">
        <v>0.51597222222222217</v>
      </c>
      <c r="E3166" s="1">
        <v>190</v>
      </c>
      <c r="F3166" s="1">
        <v>5</v>
      </c>
      <c r="G3166" s="1">
        <v>0.32584671616304606</v>
      </c>
      <c r="H3166" s="1" t="s">
        <v>0</v>
      </c>
    </row>
    <row r="3167" spans="1:8" x14ac:dyDescent="0.25">
      <c r="A3167" s="1">
        <v>2016</v>
      </c>
      <c r="B3167" s="1">
        <v>263</v>
      </c>
      <c r="C3167" s="15">
        <v>42632</v>
      </c>
      <c r="D3167" s="16">
        <v>0.52083333333333337</v>
      </c>
      <c r="E3167" s="1">
        <v>190</v>
      </c>
      <c r="F3167" s="1">
        <v>6</v>
      </c>
      <c r="G3167" s="1">
        <v>0.33933561816601099</v>
      </c>
      <c r="H3167" s="1" t="s">
        <v>0</v>
      </c>
    </row>
    <row r="3168" spans="1:8" x14ac:dyDescent="0.25">
      <c r="A3168" s="1">
        <v>2016</v>
      </c>
      <c r="B3168" s="1">
        <v>263</v>
      </c>
      <c r="C3168" s="15">
        <v>42632</v>
      </c>
      <c r="D3168" s="16">
        <v>0.54027777777777775</v>
      </c>
      <c r="E3168" s="1">
        <v>190</v>
      </c>
      <c r="F3168" s="1">
        <v>7</v>
      </c>
      <c r="G3168" s="1">
        <v>0.29591030738878921</v>
      </c>
      <c r="H3168" s="1" t="s">
        <v>143</v>
      </c>
    </row>
    <row r="3169" spans="1:8" x14ac:dyDescent="0.25">
      <c r="A3169" s="1">
        <v>2016</v>
      </c>
      <c r="B3169" s="1">
        <v>263</v>
      </c>
      <c r="C3169" s="15">
        <v>42632</v>
      </c>
      <c r="D3169" s="16">
        <v>0.5083333333333333</v>
      </c>
      <c r="E3169" s="1">
        <v>190</v>
      </c>
      <c r="F3169" s="1">
        <v>8</v>
      </c>
      <c r="G3169" s="1">
        <v>0.28442624940646705</v>
      </c>
      <c r="H3169" s="1" t="s">
        <v>143</v>
      </c>
    </row>
    <row r="3170" spans="1:8" x14ac:dyDescent="0.25">
      <c r="A3170" s="1">
        <v>2016</v>
      </c>
      <c r="B3170" s="1">
        <v>263</v>
      </c>
      <c r="C3170" s="15">
        <v>42632</v>
      </c>
      <c r="D3170" s="16">
        <v>0.50138888888888888</v>
      </c>
      <c r="E3170" s="1">
        <v>190</v>
      </c>
      <c r="F3170" s="1">
        <v>9</v>
      </c>
      <c r="G3170" s="1">
        <v>0.27360398459600749</v>
      </c>
      <c r="H3170" s="1" t="s">
        <v>143</v>
      </c>
    </row>
    <row r="3171" spans="1:8" x14ac:dyDescent="0.25">
      <c r="A3171" s="1">
        <v>2016</v>
      </c>
      <c r="B3171" s="1">
        <v>263</v>
      </c>
      <c r="C3171" s="15">
        <v>42632</v>
      </c>
      <c r="D3171" s="16">
        <v>0.49444444444444446</v>
      </c>
      <c r="E3171" s="1">
        <v>190</v>
      </c>
      <c r="F3171" s="1">
        <v>10</v>
      </c>
      <c r="G3171" s="1">
        <v>0.27835332382937461</v>
      </c>
      <c r="H3171" s="1" t="s">
        <v>143</v>
      </c>
    </row>
    <row r="3172" spans="1:8" x14ac:dyDescent="0.25">
      <c r="A3172" s="1">
        <v>2016</v>
      </c>
      <c r="B3172" s="1">
        <v>263</v>
      </c>
      <c r="C3172" s="15">
        <v>42632</v>
      </c>
      <c r="D3172" s="16">
        <v>0.3611111111111111</v>
      </c>
      <c r="E3172" s="1">
        <v>190</v>
      </c>
      <c r="F3172" s="1">
        <v>11</v>
      </c>
      <c r="G3172" s="1">
        <v>0.29947231181381456</v>
      </c>
      <c r="H3172" s="1" t="s">
        <v>144</v>
      </c>
    </row>
    <row r="3173" spans="1:8" x14ac:dyDescent="0.25">
      <c r="A3173" s="1">
        <v>2016</v>
      </c>
      <c r="B3173" s="1">
        <v>263</v>
      </c>
      <c r="C3173" s="15">
        <v>42632</v>
      </c>
      <c r="D3173" s="16">
        <v>0.36874999999999997</v>
      </c>
      <c r="E3173" s="1">
        <v>190</v>
      </c>
      <c r="F3173" s="1">
        <v>12</v>
      </c>
      <c r="G3173" s="1">
        <v>0.30926295785637059</v>
      </c>
      <c r="H3173" s="1" t="s">
        <v>144</v>
      </c>
    </row>
    <row r="3174" spans="1:8" x14ac:dyDescent="0.25">
      <c r="A3174" s="1">
        <v>2016</v>
      </c>
      <c r="B3174" s="1">
        <v>263</v>
      </c>
      <c r="C3174" s="15">
        <v>42632</v>
      </c>
      <c r="D3174" s="16">
        <v>0.37708333333333338</v>
      </c>
      <c r="E3174" s="1">
        <v>190</v>
      </c>
      <c r="F3174" s="1">
        <v>13</v>
      </c>
      <c r="G3174" s="1">
        <v>0.28158443166846864</v>
      </c>
      <c r="H3174" s="1" t="s">
        <v>144</v>
      </c>
    </row>
    <row r="3175" spans="1:8" x14ac:dyDescent="0.25">
      <c r="A3175" s="1">
        <v>2016</v>
      </c>
      <c r="B3175" s="1">
        <v>263</v>
      </c>
      <c r="C3175" s="15">
        <v>42632</v>
      </c>
      <c r="D3175" s="16">
        <v>0.34861111111111115</v>
      </c>
      <c r="E3175" s="1">
        <v>190</v>
      </c>
      <c r="F3175" s="1">
        <v>14</v>
      </c>
      <c r="G3175" s="1">
        <v>0.29199794187277778</v>
      </c>
      <c r="H3175" s="1" t="s">
        <v>144</v>
      </c>
    </row>
    <row r="3176" spans="1:8" x14ac:dyDescent="0.25">
      <c r="A3176" s="1">
        <v>2016</v>
      </c>
      <c r="B3176" s="1">
        <v>263</v>
      </c>
      <c r="C3176" s="15">
        <v>42632</v>
      </c>
      <c r="D3176" s="16">
        <v>0.34166666666666662</v>
      </c>
      <c r="E3176" s="1">
        <v>190</v>
      </c>
      <c r="F3176" s="1">
        <v>15</v>
      </c>
      <c r="G3176" s="1">
        <v>0.33781738677173784</v>
      </c>
      <c r="H3176" s="1" t="s">
        <v>1</v>
      </c>
    </row>
    <row r="3177" spans="1:8" x14ac:dyDescent="0.25">
      <c r="A3177" s="1">
        <v>2016</v>
      </c>
      <c r="B3177" s="1">
        <v>263</v>
      </c>
      <c r="C3177" s="15">
        <v>42632</v>
      </c>
      <c r="D3177" s="16">
        <v>0.33680555555555558</v>
      </c>
      <c r="E3177" s="1">
        <v>190</v>
      </c>
      <c r="F3177" s="1">
        <v>16</v>
      </c>
      <c r="G3177" s="1">
        <v>0.33384662774056201</v>
      </c>
      <c r="H3177" s="1" t="s">
        <v>1</v>
      </c>
    </row>
    <row r="3178" spans="1:8" x14ac:dyDescent="0.25">
      <c r="A3178" s="1">
        <v>2016</v>
      </c>
      <c r="B3178" s="1">
        <v>263</v>
      </c>
      <c r="C3178" s="15">
        <v>42632</v>
      </c>
      <c r="D3178" s="16">
        <v>0.32708333333333334</v>
      </c>
      <c r="E3178" s="1">
        <v>190</v>
      </c>
      <c r="F3178" s="1">
        <v>17</v>
      </c>
      <c r="G3178" s="1">
        <v>0.31154030494778029</v>
      </c>
      <c r="H3178" s="1" t="s">
        <v>144</v>
      </c>
    </row>
    <row r="3179" spans="1:8" x14ac:dyDescent="0.25">
      <c r="A3179" s="1">
        <v>2016</v>
      </c>
      <c r="B3179" s="1">
        <v>263</v>
      </c>
      <c r="C3179" s="15">
        <v>42632</v>
      </c>
      <c r="D3179" s="16">
        <v>0.30624999999999997</v>
      </c>
      <c r="E3179" s="1">
        <v>190</v>
      </c>
      <c r="F3179" s="1">
        <v>18</v>
      </c>
      <c r="G3179" s="1">
        <v>0.30609024353244096</v>
      </c>
      <c r="H3179" s="1" t="s">
        <v>144</v>
      </c>
    </row>
    <row r="3180" spans="1:8" x14ac:dyDescent="0.25">
      <c r="A3180" s="1">
        <v>2016</v>
      </c>
      <c r="B3180" s="1">
        <v>263</v>
      </c>
      <c r="C3180" s="15">
        <v>42632</v>
      </c>
      <c r="D3180" s="16">
        <v>0.30208333333333331</v>
      </c>
      <c r="E3180" s="1">
        <v>190</v>
      </c>
      <c r="F3180" s="1">
        <v>19</v>
      </c>
      <c r="G3180" s="1">
        <v>0.2901682783976281</v>
      </c>
      <c r="H3180" s="1" t="s">
        <v>144</v>
      </c>
    </row>
    <row r="3181" spans="1:8" x14ac:dyDescent="0.25">
      <c r="A3181" s="1">
        <v>2016</v>
      </c>
      <c r="B3181" s="1">
        <v>263</v>
      </c>
      <c r="C3181" s="15">
        <v>42632</v>
      </c>
      <c r="D3181" s="16">
        <v>0.29444444444444445</v>
      </c>
      <c r="E3181" s="1">
        <v>190</v>
      </c>
      <c r="F3181" s="1">
        <v>20</v>
      </c>
      <c r="G3181" s="1">
        <v>0.29188115484244903</v>
      </c>
      <c r="H3181" s="1" t="s">
        <v>144</v>
      </c>
    </row>
    <row r="3182" spans="1:8" x14ac:dyDescent="0.25">
      <c r="A3182" s="1">
        <v>2016</v>
      </c>
      <c r="B3182" s="1">
        <v>263</v>
      </c>
      <c r="C3182" s="15">
        <v>42632</v>
      </c>
      <c r="D3182" s="16">
        <v>0.52847222222222223</v>
      </c>
      <c r="E3182" s="1">
        <v>170</v>
      </c>
      <c r="F3182" s="1">
        <v>1</v>
      </c>
      <c r="G3182" s="1">
        <v>0.25857738669371472</v>
      </c>
      <c r="H3182" s="1" t="s">
        <v>143</v>
      </c>
    </row>
    <row r="3183" spans="1:8" x14ac:dyDescent="0.25">
      <c r="A3183" s="1">
        <v>2016</v>
      </c>
      <c r="B3183" s="1">
        <v>263</v>
      </c>
      <c r="C3183" s="15">
        <v>42632</v>
      </c>
      <c r="D3183" s="16">
        <v>0.53541666666666665</v>
      </c>
      <c r="E3183" s="1">
        <v>170</v>
      </c>
      <c r="F3183" s="1">
        <v>2</v>
      </c>
      <c r="G3183" s="1">
        <v>0.26048490818908349</v>
      </c>
      <c r="H3183" s="1" t="s">
        <v>143</v>
      </c>
    </row>
    <row r="3184" spans="1:8" x14ac:dyDescent="0.25">
      <c r="A3184" s="1">
        <v>2016</v>
      </c>
      <c r="B3184" s="1">
        <v>263</v>
      </c>
      <c r="C3184" s="15">
        <v>42632</v>
      </c>
      <c r="D3184" s="16">
        <v>0.5493055555555556</v>
      </c>
      <c r="E3184" s="1">
        <v>170</v>
      </c>
      <c r="F3184" s="1">
        <v>3</v>
      </c>
      <c r="G3184" s="1">
        <v>0.26875732283736642</v>
      </c>
      <c r="H3184" s="1" t="s">
        <v>143</v>
      </c>
    </row>
    <row r="3185" spans="1:8" x14ac:dyDescent="0.25">
      <c r="A3185" s="1">
        <v>2016</v>
      </c>
      <c r="B3185" s="1">
        <v>263</v>
      </c>
      <c r="C3185" s="15">
        <v>42632</v>
      </c>
      <c r="D3185" s="16">
        <v>0.52152777777777781</v>
      </c>
      <c r="E3185" s="1">
        <v>170</v>
      </c>
      <c r="F3185" s="1">
        <v>4</v>
      </c>
      <c r="G3185" s="1">
        <v>0.27340933954545965</v>
      </c>
      <c r="H3185" s="1" t="s">
        <v>143</v>
      </c>
    </row>
    <row r="3186" spans="1:8" x14ac:dyDescent="0.25">
      <c r="A3186" s="1">
        <v>2016</v>
      </c>
      <c r="B3186" s="1">
        <v>263</v>
      </c>
      <c r="C3186" s="15">
        <v>42632</v>
      </c>
      <c r="D3186" s="16">
        <v>0.51597222222222217</v>
      </c>
      <c r="E3186" s="1">
        <v>170</v>
      </c>
      <c r="F3186" s="1">
        <v>5</v>
      </c>
      <c r="G3186" s="1">
        <v>0.32639172230457997</v>
      </c>
      <c r="H3186" s="1" t="s">
        <v>0</v>
      </c>
    </row>
    <row r="3187" spans="1:8" x14ac:dyDescent="0.25">
      <c r="A3187" s="1">
        <v>2016</v>
      </c>
      <c r="B3187" s="1">
        <v>263</v>
      </c>
      <c r="C3187" s="15">
        <v>42632</v>
      </c>
      <c r="D3187" s="16">
        <v>0.52083333333333337</v>
      </c>
      <c r="E3187" s="1">
        <v>170</v>
      </c>
      <c r="F3187" s="1">
        <v>6</v>
      </c>
      <c r="G3187" s="1">
        <v>0.32899996598192094</v>
      </c>
      <c r="H3187" s="1" t="s">
        <v>0</v>
      </c>
    </row>
    <row r="3188" spans="1:8" x14ac:dyDescent="0.25">
      <c r="A3188" s="1">
        <v>2016</v>
      </c>
      <c r="B3188" s="1">
        <v>263</v>
      </c>
      <c r="C3188" s="15">
        <v>42632</v>
      </c>
      <c r="D3188" s="16">
        <v>0.54027777777777775</v>
      </c>
      <c r="E3188" s="1">
        <v>170</v>
      </c>
      <c r="F3188" s="1">
        <v>7</v>
      </c>
      <c r="G3188" s="1">
        <v>0.29859640908634932</v>
      </c>
      <c r="H3188" s="1" t="s">
        <v>143</v>
      </c>
    </row>
    <row r="3189" spans="1:8" x14ac:dyDescent="0.25">
      <c r="A3189" s="1">
        <v>2016</v>
      </c>
      <c r="B3189" s="1">
        <v>263</v>
      </c>
      <c r="C3189" s="15">
        <v>42632</v>
      </c>
      <c r="D3189" s="16">
        <v>0.5083333333333333</v>
      </c>
      <c r="E3189" s="1">
        <v>170</v>
      </c>
      <c r="F3189" s="1">
        <v>8</v>
      </c>
      <c r="G3189" s="1">
        <v>0.29881051864195196</v>
      </c>
      <c r="H3189" s="1" t="s">
        <v>143</v>
      </c>
    </row>
    <row r="3190" spans="1:8" x14ac:dyDescent="0.25">
      <c r="A3190" s="1">
        <v>2016</v>
      </c>
      <c r="B3190" s="1">
        <v>263</v>
      </c>
      <c r="C3190" s="15">
        <v>42632</v>
      </c>
      <c r="D3190" s="16">
        <v>0.50138888888888888</v>
      </c>
      <c r="E3190" s="1">
        <v>170</v>
      </c>
      <c r="F3190" s="1">
        <v>9</v>
      </c>
      <c r="G3190" s="1">
        <v>0.28442624940646705</v>
      </c>
      <c r="H3190" s="1" t="s">
        <v>143</v>
      </c>
    </row>
    <row r="3191" spans="1:8" x14ac:dyDescent="0.25">
      <c r="A3191" s="1">
        <v>2016</v>
      </c>
      <c r="B3191" s="1">
        <v>263</v>
      </c>
      <c r="C3191" s="15">
        <v>42632</v>
      </c>
      <c r="D3191" s="16">
        <v>0.49444444444444446</v>
      </c>
      <c r="E3191" s="1">
        <v>170</v>
      </c>
      <c r="F3191" s="1">
        <v>10</v>
      </c>
      <c r="G3191" s="1">
        <v>0.29398332138836569</v>
      </c>
      <c r="H3191" s="1" t="s">
        <v>143</v>
      </c>
    </row>
    <row r="3192" spans="1:8" x14ac:dyDescent="0.25">
      <c r="A3192" s="1">
        <v>2016</v>
      </c>
      <c r="B3192" s="1">
        <v>263</v>
      </c>
      <c r="C3192" s="15">
        <v>42632</v>
      </c>
      <c r="D3192" s="16">
        <v>0.3611111111111111</v>
      </c>
      <c r="E3192" s="1">
        <v>170</v>
      </c>
      <c r="F3192" s="1">
        <v>11</v>
      </c>
      <c r="G3192" s="1">
        <v>0.31665946977718834</v>
      </c>
      <c r="H3192" s="1" t="s">
        <v>144</v>
      </c>
    </row>
    <row r="3193" spans="1:8" x14ac:dyDescent="0.25">
      <c r="A3193" s="1">
        <v>2016</v>
      </c>
      <c r="B3193" s="1">
        <v>263</v>
      </c>
      <c r="C3193" s="15">
        <v>42632</v>
      </c>
      <c r="D3193" s="16">
        <v>0.36874999999999997</v>
      </c>
      <c r="E3193" s="1">
        <v>170</v>
      </c>
      <c r="F3193" s="1">
        <v>12</v>
      </c>
      <c r="G3193" s="1">
        <v>0.32820192127467485</v>
      </c>
      <c r="H3193" s="1" t="s">
        <v>144</v>
      </c>
    </row>
    <row r="3194" spans="1:8" x14ac:dyDescent="0.25">
      <c r="A3194" s="1">
        <v>2016</v>
      </c>
      <c r="B3194" s="1">
        <v>263</v>
      </c>
      <c r="C3194" s="15">
        <v>42632</v>
      </c>
      <c r="D3194" s="16">
        <v>0.37708333333333338</v>
      </c>
      <c r="E3194" s="1">
        <v>170</v>
      </c>
      <c r="F3194" s="1">
        <v>13</v>
      </c>
      <c r="G3194" s="1">
        <v>0.29096632310487425</v>
      </c>
      <c r="H3194" s="1" t="s">
        <v>144</v>
      </c>
    </row>
    <row r="3195" spans="1:8" x14ac:dyDescent="0.25">
      <c r="A3195" s="1">
        <v>2016</v>
      </c>
      <c r="B3195" s="1">
        <v>263</v>
      </c>
      <c r="C3195" s="15">
        <v>42632</v>
      </c>
      <c r="D3195" s="16">
        <v>0.34861111111111115</v>
      </c>
      <c r="E3195" s="1">
        <v>170</v>
      </c>
      <c r="F3195" s="1">
        <v>14</v>
      </c>
      <c r="G3195" s="1">
        <v>0.31045029266471241</v>
      </c>
      <c r="H3195" s="1" t="s">
        <v>144</v>
      </c>
    </row>
    <row r="3196" spans="1:8" x14ac:dyDescent="0.25">
      <c r="A3196" s="1">
        <v>2016</v>
      </c>
      <c r="B3196" s="1">
        <v>263</v>
      </c>
      <c r="C3196" s="15">
        <v>42632</v>
      </c>
      <c r="D3196" s="16">
        <v>0.34166666666666662</v>
      </c>
      <c r="E3196" s="1">
        <v>170</v>
      </c>
      <c r="F3196" s="1">
        <v>15</v>
      </c>
      <c r="G3196" s="1">
        <v>0.33121891955816624</v>
      </c>
      <c r="H3196" s="1" t="s">
        <v>1</v>
      </c>
    </row>
    <row r="3197" spans="1:8" x14ac:dyDescent="0.25">
      <c r="A3197" s="1">
        <v>2016</v>
      </c>
      <c r="B3197" s="1">
        <v>263</v>
      </c>
      <c r="C3197" s="15">
        <v>42632</v>
      </c>
      <c r="D3197" s="16">
        <v>0.33680555555555558</v>
      </c>
      <c r="E3197" s="1">
        <v>170</v>
      </c>
      <c r="F3197" s="1">
        <v>16</v>
      </c>
      <c r="G3197" s="1">
        <v>0.32043558375781628</v>
      </c>
      <c r="H3197" s="1" t="s">
        <v>1</v>
      </c>
    </row>
    <row r="3198" spans="1:8" x14ac:dyDescent="0.25">
      <c r="A3198" s="1">
        <v>2016</v>
      </c>
      <c r="B3198" s="1">
        <v>263</v>
      </c>
      <c r="C3198" s="15">
        <v>42632</v>
      </c>
      <c r="D3198" s="16">
        <v>0.32708333333333334</v>
      </c>
      <c r="E3198" s="1">
        <v>170</v>
      </c>
      <c r="F3198" s="1">
        <v>17</v>
      </c>
      <c r="G3198" s="1">
        <v>0.30737490086605662</v>
      </c>
      <c r="H3198" s="1" t="s">
        <v>144</v>
      </c>
    </row>
    <row r="3199" spans="1:8" x14ac:dyDescent="0.25">
      <c r="A3199" s="1">
        <v>2016</v>
      </c>
      <c r="B3199" s="1">
        <v>263</v>
      </c>
      <c r="C3199" s="15">
        <v>42632</v>
      </c>
      <c r="D3199" s="16">
        <v>0.30624999999999997</v>
      </c>
      <c r="E3199" s="1">
        <v>170</v>
      </c>
      <c r="F3199" s="1">
        <v>18</v>
      </c>
      <c r="G3199" s="1">
        <v>0.31883949434332404</v>
      </c>
      <c r="H3199" s="1" t="s">
        <v>144</v>
      </c>
    </row>
    <row r="3200" spans="1:8" x14ac:dyDescent="0.25">
      <c r="A3200" s="1">
        <v>2016</v>
      </c>
      <c r="B3200" s="1">
        <v>263</v>
      </c>
      <c r="C3200" s="15">
        <v>42632</v>
      </c>
      <c r="D3200" s="16">
        <v>0.30208333333333331</v>
      </c>
      <c r="E3200" s="1">
        <v>170</v>
      </c>
      <c r="F3200" s="1">
        <v>19</v>
      </c>
      <c r="G3200" s="1">
        <v>0.30609024353244096</v>
      </c>
      <c r="H3200" s="1" t="s">
        <v>144</v>
      </c>
    </row>
    <row r="3201" spans="1:8" x14ac:dyDescent="0.25">
      <c r="A3201" s="1">
        <v>2016</v>
      </c>
      <c r="B3201" s="1">
        <v>263</v>
      </c>
      <c r="C3201" s="15">
        <v>42632</v>
      </c>
      <c r="D3201" s="16">
        <v>0.29444444444444445</v>
      </c>
      <c r="E3201" s="1">
        <v>170</v>
      </c>
      <c r="F3201" s="1">
        <v>20</v>
      </c>
      <c r="G3201" s="1">
        <v>0.30844544864406975</v>
      </c>
      <c r="H3201" s="1" t="s">
        <v>144</v>
      </c>
    </row>
    <row r="3202" spans="1:8" x14ac:dyDescent="0.25">
      <c r="A3202" s="1">
        <v>2016</v>
      </c>
      <c r="B3202" s="1">
        <v>263</v>
      </c>
      <c r="C3202" s="15">
        <v>42632</v>
      </c>
      <c r="D3202" s="16">
        <v>0.52847222222222223</v>
      </c>
      <c r="E3202" s="1">
        <v>150</v>
      </c>
      <c r="F3202" s="1">
        <v>1</v>
      </c>
      <c r="G3202" s="1">
        <v>0.32037719024265193</v>
      </c>
      <c r="H3202" s="1" t="s">
        <v>143</v>
      </c>
    </row>
    <row r="3203" spans="1:8" x14ac:dyDescent="0.25">
      <c r="A3203" s="1">
        <v>2016</v>
      </c>
      <c r="B3203" s="1">
        <v>263</v>
      </c>
      <c r="C3203" s="15">
        <v>42632</v>
      </c>
      <c r="D3203" s="16">
        <v>0.53541666666666665</v>
      </c>
      <c r="E3203" s="1">
        <v>150</v>
      </c>
      <c r="F3203" s="1">
        <v>2</v>
      </c>
      <c r="G3203" s="1">
        <v>0.31553052848401092</v>
      </c>
      <c r="H3203" s="1" t="s">
        <v>143</v>
      </c>
    </row>
    <row r="3204" spans="1:8" x14ac:dyDescent="0.25">
      <c r="A3204" s="1">
        <v>2016</v>
      </c>
      <c r="B3204" s="1">
        <v>263</v>
      </c>
      <c r="C3204" s="15">
        <v>42632</v>
      </c>
      <c r="D3204" s="16">
        <v>0.5493055555555556</v>
      </c>
      <c r="E3204" s="1">
        <v>150</v>
      </c>
      <c r="F3204" s="1">
        <v>3</v>
      </c>
      <c r="G3204" s="1">
        <v>0.2981876544801989</v>
      </c>
      <c r="H3204" s="1" t="s">
        <v>143</v>
      </c>
    </row>
    <row r="3205" spans="1:8" x14ac:dyDescent="0.25">
      <c r="A3205" s="1">
        <v>2016</v>
      </c>
      <c r="B3205" s="1">
        <v>263</v>
      </c>
      <c r="C3205" s="15">
        <v>42632</v>
      </c>
      <c r="D3205" s="16">
        <v>0.52152777777777781</v>
      </c>
      <c r="E3205" s="1">
        <v>150</v>
      </c>
      <c r="F3205" s="1">
        <v>4</v>
      </c>
      <c r="G3205" s="1">
        <v>0.27662098287949888</v>
      </c>
      <c r="H3205" s="1" t="s">
        <v>143</v>
      </c>
    </row>
    <row r="3206" spans="1:8" x14ac:dyDescent="0.25">
      <c r="A3206" s="1">
        <v>2016</v>
      </c>
      <c r="B3206" s="1">
        <v>263</v>
      </c>
      <c r="C3206" s="15">
        <v>42632</v>
      </c>
      <c r="D3206" s="16">
        <v>0.51597222222222217</v>
      </c>
      <c r="E3206" s="1">
        <v>150</v>
      </c>
      <c r="F3206" s="1">
        <v>5</v>
      </c>
      <c r="G3206" s="1">
        <v>0.35763225291750733</v>
      </c>
      <c r="H3206" s="1" t="s">
        <v>0</v>
      </c>
    </row>
    <row r="3207" spans="1:8" x14ac:dyDescent="0.25">
      <c r="A3207" s="1">
        <v>2016</v>
      </c>
      <c r="B3207" s="1">
        <v>263</v>
      </c>
      <c r="C3207" s="15">
        <v>42632</v>
      </c>
      <c r="D3207" s="16">
        <v>0.52083333333333337</v>
      </c>
      <c r="E3207" s="1">
        <v>150</v>
      </c>
      <c r="F3207" s="1">
        <v>6</v>
      </c>
      <c r="G3207" s="1">
        <v>0.3398416952974353</v>
      </c>
      <c r="H3207" s="1" t="s">
        <v>0</v>
      </c>
    </row>
    <row r="3208" spans="1:8" x14ac:dyDescent="0.25">
      <c r="A3208" s="1">
        <v>2016</v>
      </c>
      <c r="B3208" s="1">
        <v>263</v>
      </c>
      <c r="C3208" s="15">
        <v>42632</v>
      </c>
      <c r="D3208" s="16">
        <v>0.54027777777777775</v>
      </c>
      <c r="E3208" s="1">
        <v>150</v>
      </c>
      <c r="F3208" s="1">
        <v>7</v>
      </c>
      <c r="G3208" s="1">
        <v>0.30200269747093644</v>
      </c>
      <c r="H3208" s="1" t="s">
        <v>143</v>
      </c>
    </row>
    <row r="3209" spans="1:8" x14ac:dyDescent="0.25">
      <c r="A3209" s="1">
        <v>2016</v>
      </c>
      <c r="B3209" s="1">
        <v>263</v>
      </c>
      <c r="C3209" s="15">
        <v>42632</v>
      </c>
      <c r="D3209" s="16">
        <v>0.5083333333333333</v>
      </c>
      <c r="E3209" s="1">
        <v>150</v>
      </c>
      <c r="F3209" s="1">
        <v>8</v>
      </c>
      <c r="G3209" s="1">
        <v>0.33211428679068633</v>
      </c>
      <c r="H3209" s="1" t="s">
        <v>143</v>
      </c>
    </row>
    <row r="3210" spans="1:8" x14ac:dyDescent="0.25">
      <c r="A3210" s="1">
        <v>2016</v>
      </c>
      <c r="B3210" s="1">
        <v>263</v>
      </c>
      <c r="C3210" s="15">
        <v>42632</v>
      </c>
      <c r="D3210" s="16">
        <v>0.50138888888888888</v>
      </c>
      <c r="E3210" s="1">
        <v>150</v>
      </c>
      <c r="F3210" s="1">
        <v>9</v>
      </c>
      <c r="G3210" s="1">
        <v>0.31963753905057019</v>
      </c>
      <c r="H3210" s="1" t="s">
        <v>143</v>
      </c>
    </row>
    <row r="3211" spans="1:8" x14ac:dyDescent="0.25">
      <c r="A3211" s="1">
        <v>2016</v>
      </c>
      <c r="B3211" s="1">
        <v>263</v>
      </c>
      <c r="C3211" s="15">
        <v>42632</v>
      </c>
      <c r="D3211" s="16">
        <v>0.49444444444444446</v>
      </c>
      <c r="E3211" s="1">
        <v>150</v>
      </c>
      <c r="F3211" s="1">
        <v>10</v>
      </c>
      <c r="G3211" s="1">
        <v>0.32643065131468957</v>
      </c>
      <c r="H3211" s="1" t="s">
        <v>143</v>
      </c>
    </row>
    <row r="3212" spans="1:8" x14ac:dyDescent="0.25">
      <c r="A3212" s="1">
        <v>2016</v>
      </c>
      <c r="B3212" s="1">
        <v>263</v>
      </c>
      <c r="C3212" s="15">
        <v>42632</v>
      </c>
      <c r="D3212" s="16">
        <v>0.3611111111111111</v>
      </c>
      <c r="E3212" s="1">
        <v>150</v>
      </c>
      <c r="F3212" s="1">
        <v>11</v>
      </c>
      <c r="G3212" s="1">
        <v>0.3229854339199929</v>
      </c>
      <c r="H3212" s="1" t="s">
        <v>144</v>
      </c>
    </row>
    <row r="3213" spans="1:8" x14ac:dyDescent="0.25">
      <c r="A3213" s="1">
        <v>2016</v>
      </c>
      <c r="B3213" s="1">
        <v>263</v>
      </c>
      <c r="C3213" s="15">
        <v>42632</v>
      </c>
      <c r="D3213" s="16">
        <v>0.36874999999999997</v>
      </c>
      <c r="E3213" s="1">
        <v>150</v>
      </c>
      <c r="F3213" s="1">
        <v>12</v>
      </c>
      <c r="G3213" s="1">
        <v>0.31076172474558894</v>
      </c>
      <c r="H3213" s="1" t="s">
        <v>144</v>
      </c>
    </row>
    <row r="3214" spans="1:8" x14ac:dyDescent="0.25">
      <c r="A3214" s="1">
        <v>2016</v>
      </c>
      <c r="B3214" s="1">
        <v>263</v>
      </c>
      <c r="C3214" s="15">
        <v>42632</v>
      </c>
      <c r="D3214" s="16">
        <v>0.37708333333333338</v>
      </c>
      <c r="E3214" s="1">
        <v>150</v>
      </c>
      <c r="F3214" s="1">
        <v>13</v>
      </c>
      <c r="G3214" s="1">
        <v>0.29448939851979006</v>
      </c>
      <c r="H3214" s="1" t="s">
        <v>144</v>
      </c>
    </row>
    <row r="3215" spans="1:8" x14ac:dyDescent="0.25">
      <c r="A3215" s="1">
        <v>2016</v>
      </c>
      <c r="B3215" s="1">
        <v>263</v>
      </c>
      <c r="C3215" s="15">
        <v>42632</v>
      </c>
      <c r="D3215" s="16">
        <v>0.34861111111111115</v>
      </c>
      <c r="E3215" s="1">
        <v>150</v>
      </c>
      <c r="F3215" s="1">
        <v>14</v>
      </c>
      <c r="G3215" s="1">
        <v>0.29026560092290205</v>
      </c>
      <c r="H3215" s="1" t="s">
        <v>144</v>
      </c>
    </row>
    <row r="3216" spans="1:8" x14ac:dyDescent="0.25">
      <c r="A3216" s="1">
        <v>2016</v>
      </c>
      <c r="B3216" s="1">
        <v>263</v>
      </c>
      <c r="C3216" s="15">
        <v>42632</v>
      </c>
      <c r="D3216" s="16">
        <v>0.34166666666666662</v>
      </c>
      <c r="E3216" s="1">
        <v>150</v>
      </c>
      <c r="F3216" s="1">
        <v>15</v>
      </c>
      <c r="G3216" s="1">
        <v>0.34042563044907881</v>
      </c>
      <c r="H3216" s="1" t="s">
        <v>1</v>
      </c>
    </row>
    <row r="3217" spans="1:8" x14ac:dyDescent="0.25">
      <c r="A3217" s="1">
        <v>2016</v>
      </c>
      <c r="B3217" s="1">
        <v>263</v>
      </c>
      <c r="C3217" s="15">
        <v>42632</v>
      </c>
      <c r="D3217" s="16">
        <v>0.33680555555555558</v>
      </c>
      <c r="E3217" s="1">
        <v>150</v>
      </c>
      <c r="F3217" s="1">
        <v>16</v>
      </c>
      <c r="G3217" s="1">
        <v>0.32123362846506237</v>
      </c>
      <c r="H3217" s="1" t="s">
        <v>1</v>
      </c>
    </row>
    <row r="3218" spans="1:8" x14ac:dyDescent="0.25">
      <c r="A3218" s="1">
        <v>2016</v>
      </c>
      <c r="B3218" s="1">
        <v>263</v>
      </c>
      <c r="C3218" s="15">
        <v>42632</v>
      </c>
      <c r="D3218" s="16">
        <v>0.32708333333333334</v>
      </c>
      <c r="E3218" s="1">
        <v>150</v>
      </c>
      <c r="F3218" s="1">
        <v>17</v>
      </c>
      <c r="G3218" s="1">
        <v>0.30727757834078268</v>
      </c>
      <c r="H3218" s="1" t="s">
        <v>144</v>
      </c>
    </row>
    <row r="3219" spans="1:8" x14ac:dyDescent="0.25">
      <c r="A3219" s="1">
        <v>2016</v>
      </c>
      <c r="B3219" s="1">
        <v>263</v>
      </c>
      <c r="C3219" s="15">
        <v>42632</v>
      </c>
      <c r="D3219" s="16">
        <v>0.30624999999999997</v>
      </c>
      <c r="E3219" s="1">
        <v>150</v>
      </c>
      <c r="F3219" s="1">
        <v>18</v>
      </c>
      <c r="G3219" s="1">
        <v>0.31521909640313434</v>
      </c>
      <c r="H3219" s="1" t="s">
        <v>144</v>
      </c>
    </row>
    <row r="3220" spans="1:8" x14ac:dyDescent="0.25">
      <c r="A3220" s="1">
        <v>2016</v>
      </c>
      <c r="B3220" s="1">
        <v>263</v>
      </c>
      <c r="C3220" s="15">
        <v>42632</v>
      </c>
      <c r="D3220" s="16">
        <v>0.30208333333333331</v>
      </c>
      <c r="E3220" s="1">
        <v>150</v>
      </c>
      <c r="F3220" s="1">
        <v>19</v>
      </c>
      <c r="G3220" s="1">
        <v>0.31905360389892667</v>
      </c>
      <c r="H3220" s="1" t="s">
        <v>144</v>
      </c>
    </row>
    <row r="3221" spans="1:8" x14ac:dyDescent="0.25">
      <c r="A3221" s="1">
        <v>2016</v>
      </c>
      <c r="B3221" s="1">
        <v>263</v>
      </c>
      <c r="C3221" s="15">
        <v>42632</v>
      </c>
      <c r="D3221" s="16">
        <v>0.29444444444444445</v>
      </c>
      <c r="E3221" s="1">
        <v>150</v>
      </c>
      <c r="F3221" s="1">
        <v>20</v>
      </c>
      <c r="G3221" s="1">
        <v>0.32639172230457997</v>
      </c>
      <c r="H3221" s="1" t="s">
        <v>144</v>
      </c>
    </row>
    <row r="3222" spans="1:8" x14ac:dyDescent="0.25">
      <c r="A3222" s="1">
        <v>2016</v>
      </c>
      <c r="B3222" s="1">
        <v>263</v>
      </c>
      <c r="C3222" s="15">
        <v>42632</v>
      </c>
      <c r="D3222" s="16">
        <v>0.52847222222222223</v>
      </c>
      <c r="E3222" s="1">
        <v>130</v>
      </c>
      <c r="F3222" s="1">
        <v>1</v>
      </c>
      <c r="G3222" s="1">
        <v>0.30313163876411386</v>
      </c>
      <c r="H3222" s="1" t="s">
        <v>143</v>
      </c>
    </row>
    <row r="3223" spans="1:8" x14ac:dyDescent="0.25">
      <c r="A3223" s="1">
        <v>2016</v>
      </c>
      <c r="B3223" s="1">
        <v>263</v>
      </c>
      <c r="C3223" s="15">
        <v>42632</v>
      </c>
      <c r="D3223" s="16">
        <v>0.53541666666666665</v>
      </c>
      <c r="E3223" s="1">
        <v>130</v>
      </c>
      <c r="F3223" s="1">
        <v>2</v>
      </c>
      <c r="G3223" s="1">
        <v>0.29661102957076146</v>
      </c>
      <c r="H3223" s="1" t="s">
        <v>143</v>
      </c>
    </row>
    <row r="3224" spans="1:8" x14ac:dyDescent="0.25">
      <c r="A3224" s="1">
        <v>2016</v>
      </c>
      <c r="B3224" s="1">
        <v>263</v>
      </c>
      <c r="C3224" s="15">
        <v>42632</v>
      </c>
      <c r="D3224" s="16">
        <v>0.5493055555555556</v>
      </c>
      <c r="E3224" s="1">
        <v>130</v>
      </c>
      <c r="F3224" s="1">
        <v>3</v>
      </c>
      <c r="G3224" s="1">
        <v>0.2938470698529822</v>
      </c>
      <c r="H3224" s="1" t="s">
        <v>143</v>
      </c>
    </row>
    <row r="3225" spans="1:8" x14ac:dyDescent="0.25">
      <c r="A3225" s="1">
        <v>2016</v>
      </c>
      <c r="B3225" s="1">
        <v>263</v>
      </c>
      <c r="C3225" s="15">
        <v>42632</v>
      </c>
      <c r="D3225" s="16">
        <v>0.52152777777777781</v>
      </c>
      <c r="E3225" s="1">
        <v>130</v>
      </c>
      <c r="F3225" s="1">
        <v>4</v>
      </c>
      <c r="G3225" s="1">
        <v>0.29787622239932238</v>
      </c>
      <c r="H3225" s="1" t="s">
        <v>143</v>
      </c>
    </row>
    <row r="3226" spans="1:8" x14ac:dyDescent="0.25">
      <c r="A3226" s="1">
        <v>2016</v>
      </c>
      <c r="B3226" s="1">
        <v>263</v>
      </c>
      <c r="C3226" s="15">
        <v>42632</v>
      </c>
      <c r="D3226" s="16">
        <v>0.51597222222222217</v>
      </c>
      <c r="E3226" s="1">
        <v>130</v>
      </c>
      <c r="F3226" s="1">
        <v>5</v>
      </c>
      <c r="G3226" s="1">
        <v>0.30320949678433301</v>
      </c>
      <c r="H3226" s="1" t="s">
        <v>0</v>
      </c>
    </row>
    <row r="3227" spans="1:8" x14ac:dyDescent="0.25">
      <c r="A3227" s="1">
        <v>2016</v>
      </c>
      <c r="B3227" s="1">
        <v>263</v>
      </c>
      <c r="C3227" s="15">
        <v>42632</v>
      </c>
      <c r="D3227" s="16">
        <v>0.52083333333333337</v>
      </c>
      <c r="E3227" s="1">
        <v>130</v>
      </c>
      <c r="F3227" s="1">
        <v>6</v>
      </c>
      <c r="G3227" s="1">
        <v>0.29719496472240498</v>
      </c>
      <c r="H3227" s="1" t="s">
        <v>0</v>
      </c>
    </row>
    <row r="3228" spans="1:8" x14ac:dyDescent="0.25">
      <c r="A3228" s="1">
        <v>2016</v>
      </c>
      <c r="B3228" s="1">
        <v>263</v>
      </c>
      <c r="C3228" s="15">
        <v>42632</v>
      </c>
      <c r="D3228" s="16">
        <v>0.54027777777777775</v>
      </c>
      <c r="E3228" s="1">
        <v>130</v>
      </c>
      <c r="F3228" s="1">
        <v>7</v>
      </c>
      <c r="G3228" s="1">
        <v>0.30544791486563311</v>
      </c>
      <c r="H3228" s="1" t="s">
        <v>143</v>
      </c>
    </row>
    <row r="3229" spans="1:8" x14ac:dyDescent="0.25">
      <c r="A3229" s="1">
        <v>2016</v>
      </c>
      <c r="B3229" s="1">
        <v>263</v>
      </c>
      <c r="C3229" s="15">
        <v>42632</v>
      </c>
      <c r="D3229" s="16">
        <v>0.5083333333333333</v>
      </c>
      <c r="E3229" s="1">
        <v>130</v>
      </c>
      <c r="F3229" s="1">
        <v>8</v>
      </c>
      <c r="G3229" s="1">
        <v>0.32755959260786699</v>
      </c>
      <c r="H3229" s="1" t="s">
        <v>143</v>
      </c>
    </row>
    <row r="3230" spans="1:8" x14ac:dyDescent="0.25">
      <c r="A3230" s="1">
        <v>2016</v>
      </c>
      <c r="B3230" s="1">
        <v>263</v>
      </c>
      <c r="C3230" s="15">
        <v>42632</v>
      </c>
      <c r="D3230" s="16">
        <v>0.50138888888888888</v>
      </c>
      <c r="E3230" s="1">
        <v>130</v>
      </c>
      <c r="F3230" s="1">
        <v>9</v>
      </c>
      <c r="G3230" s="1">
        <v>0.28993470433697072</v>
      </c>
      <c r="H3230" s="1" t="s">
        <v>143</v>
      </c>
    </row>
    <row r="3231" spans="1:8" x14ac:dyDescent="0.25">
      <c r="A3231" s="1">
        <v>2016</v>
      </c>
      <c r="B3231" s="1">
        <v>263</v>
      </c>
      <c r="C3231" s="15">
        <v>42632</v>
      </c>
      <c r="D3231" s="16">
        <v>0.49444444444444446</v>
      </c>
      <c r="E3231" s="1">
        <v>130</v>
      </c>
      <c r="F3231" s="1">
        <v>10</v>
      </c>
      <c r="G3231" s="1">
        <v>0.30060125310699204</v>
      </c>
      <c r="H3231" s="1" t="s">
        <v>143</v>
      </c>
    </row>
    <row r="3232" spans="1:8" x14ac:dyDescent="0.25">
      <c r="A3232" s="1">
        <v>2016</v>
      </c>
      <c r="B3232" s="1">
        <v>263</v>
      </c>
      <c r="C3232" s="15">
        <v>42632</v>
      </c>
      <c r="D3232" s="16">
        <v>0.3611111111111111</v>
      </c>
      <c r="E3232" s="1">
        <v>130</v>
      </c>
      <c r="F3232" s="1">
        <v>11</v>
      </c>
      <c r="G3232" s="1">
        <v>0.2916281162767369</v>
      </c>
      <c r="H3232" s="1" t="s">
        <v>144</v>
      </c>
    </row>
    <row r="3233" spans="1:8" x14ac:dyDescent="0.25">
      <c r="A3233" s="1">
        <v>2016</v>
      </c>
      <c r="B3233" s="1">
        <v>263</v>
      </c>
      <c r="C3233" s="15">
        <v>42632</v>
      </c>
      <c r="D3233" s="16">
        <v>0.36874999999999997</v>
      </c>
      <c r="E3233" s="1">
        <v>130</v>
      </c>
      <c r="F3233" s="1">
        <v>12</v>
      </c>
      <c r="G3233" s="1">
        <v>0.28448464292163139</v>
      </c>
      <c r="H3233" s="1" t="s">
        <v>144</v>
      </c>
    </row>
    <row r="3234" spans="1:8" x14ac:dyDescent="0.25">
      <c r="A3234" s="1">
        <v>2016</v>
      </c>
      <c r="B3234" s="1">
        <v>263</v>
      </c>
      <c r="C3234" s="15">
        <v>42632</v>
      </c>
      <c r="D3234" s="16">
        <v>0.37708333333333338</v>
      </c>
      <c r="E3234" s="1">
        <v>130</v>
      </c>
      <c r="F3234" s="1">
        <v>13</v>
      </c>
      <c r="G3234" s="1">
        <v>0.3105670796950411</v>
      </c>
      <c r="H3234" s="1" t="s">
        <v>144</v>
      </c>
    </row>
    <row r="3235" spans="1:8" x14ac:dyDescent="0.25">
      <c r="A3235" s="1">
        <v>2016</v>
      </c>
      <c r="B3235" s="1">
        <v>263</v>
      </c>
      <c r="C3235" s="15">
        <v>42632</v>
      </c>
      <c r="D3235" s="16">
        <v>0.34861111111111115</v>
      </c>
      <c r="E3235" s="1">
        <v>130</v>
      </c>
      <c r="F3235" s="1">
        <v>14</v>
      </c>
      <c r="G3235" s="1">
        <v>0.3040075414915791</v>
      </c>
      <c r="H3235" s="1" t="s">
        <v>144</v>
      </c>
    </row>
    <row r="3236" spans="1:8" x14ac:dyDescent="0.25">
      <c r="A3236" s="1">
        <v>2016</v>
      </c>
      <c r="B3236" s="1">
        <v>263</v>
      </c>
      <c r="C3236" s="15">
        <v>42632</v>
      </c>
      <c r="D3236" s="16">
        <v>0.34166666666666662</v>
      </c>
      <c r="E3236" s="1">
        <v>130</v>
      </c>
      <c r="F3236" s="1">
        <v>15</v>
      </c>
      <c r="G3236" s="1">
        <v>0.29853801557118498</v>
      </c>
      <c r="H3236" s="1" t="s">
        <v>1</v>
      </c>
    </row>
    <row r="3237" spans="1:8" x14ac:dyDescent="0.25">
      <c r="A3237" s="1">
        <v>2016</v>
      </c>
      <c r="B3237" s="1">
        <v>263</v>
      </c>
      <c r="C3237" s="15">
        <v>42632</v>
      </c>
      <c r="D3237" s="16">
        <v>0.33680555555555558</v>
      </c>
      <c r="E3237" s="1">
        <v>130</v>
      </c>
      <c r="F3237" s="1">
        <v>16</v>
      </c>
      <c r="G3237" s="1">
        <v>0.29661102957076146</v>
      </c>
      <c r="H3237" s="1" t="s">
        <v>1</v>
      </c>
    </row>
    <row r="3238" spans="1:8" x14ac:dyDescent="0.25">
      <c r="A3238" s="1">
        <v>2016</v>
      </c>
      <c r="B3238" s="1">
        <v>263</v>
      </c>
      <c r="C3238" s="15">
        <v>42632</v>
      </c>
      <c r="D3238" s="16">
        <v>0.32708333333333334</v>
      </c>
      <c r="E3238" s="1">
        <v>130</v>
      </c>
      <c r="F3238" s="1">
        <v>17</v>
      </c>
      <c r="G3238" s="1">
        <v>0.30204162648104599</v>
      </c>
      <c r="H3238" s="1" t="s">
        <v>144</v>
      </c>
    </row>
    <row r="3239" spans="1:8" x14ac:dyDescent="0.25">
      <c r="A3239" s="1">
        <v>2016</v>
      </c>
      <c r="B3239" s="1">
        <v>263</v>
      </c>
      <c r="C3239" s="15">
        <v>42632</v>
      </c>
      <c r="D3239" s="16">
        <v>0.30624999999999997</v>
      </c>
      <c r="E3239" s="1">
        <v>130</v>
      </c>
      <c r="F3239" s="1">
        <v>18</v>
      </c>
      <c r="G3239" s="1">
        <v>0.29974481488458155</v>
      </c>
      <c r="H3239" s="1" t="s">
        <v>144</v>
      </c>
    </row>
    <row r="3240" spans="1:8" x14ac:dyDescent="0.25">
      <c r="A3240" s="1">
        <v>2016</v>
      </c>
      <c r="B3240" s="1">
        <v>263</v>
      </c>
      <c r="C3240" s="15">
        <v>42632</v>
      </c>
      <c r="D3240" s="16">
        <v>0.30208333333333331</v>
      </c>
      <c r="E3240" s="1">
        <v>130</v>
      </c>
      <c r="F3240" s="1">
        <v>19</v>
      </c>
      <c r="G3240" s="1">
        <v>0.29668888759098055</v>
      </c>
      <c r="H3240" s="1" t="s">
        <v>144</v>
      </c>
    </row>
    <row r="3241" spans="1:8" x14ac:dyDescent="0.25">
      <c r="A3241" s="1">
        <v>2016</v>
      </c>
      <c r="B3241" s="1">
        <v>263</v>
      </c>
      <c r="C3241" s="15">
        <v>42632</v>
      </c>
      <c r="D3241" s="16">
        <v>0.29444444444444445</v>
      </c>
      <c r="E3241" s="1">
        <v>130</v>
      </c>
      <c r="F3241" s="1">
        <v>20</v>
      </c>
      <c r="G3241" s="1">
        <v>0.26505906687695757</v>
      </c>
      <c r="H3241" s="1" t="s">
        <v>144</v>
      </c>
    </row>
    <row r="3242" spans="1:8" x14ac:dyDescent="0.25">
      <c r="A3242" s="1">
        <v>2016</v>
      </c>
      <c r="B3242" s="1">
        <v>263</v>
      </c>
      <c r="C3242" s="15">
        <v>42632</v>
      </c>
      <c r="D3242" s="16">
        <v>0.52847222222222223</v>
      </c>
      <c r="E3242" s="1">
        <v>110</v>
      </c>
      <c r="F3242" s="1">
        <v>1</v>
      </c>
      <c r="G3242" s="1">
        <v>0.31557002015225655</v>
      </c>
      <c r="H3242" s="1" t="s">
        <v>143</v>
      </c>
    </row>
    <row r="3243" spans="1:8" x14ac:dyDescent="0.25">
      <c r="A3243" s="1">
        <v>2016</v>
      </c>
      <c r="B3243" s="1">
        <v>263</v>
      </c>
      <c r="C3243" s="15">
        <v>42632</v>
      </c>
      <c r="D3243" s="16">
        <v>0.53541666666666665</v>
      </c>
      <c r="E3243" s="1">
        <v>110</v>
      </c>
      <c r="F3243" s="1">
        <v>2</v>
      </c>
      <c r="G3243" s="1">
        <v>0.31518074901077836</v>
      </c>
      <c r="H3243" s="1" t="s">
        <v>143</v>
      </c>
    </row>
    <row r="3244" spans="1:8" x14ac:dyDescent="0.25">
      <c r="A3244" s="1">
        <v>2016</v>
      </c>
      <c r="B3244" s="1">
        <v>263</v>
      </c>
      <c r="C3244" s="15">
        <v>42632</v>
      </c>
      <c r="D3244" s="16">
        <v>0.5493055555555556</v>
      </c>
      <c r="E3244" s="1">
        <v>110</v>
      </c>
      <c r="F3244" s="1">
        <v>3</v>
      </c>
      <c r="G3244" s="1">
        <v>0.30828835997637016</v>
      </c>
      <c r="H3244" s="1" t="s">
        <v>143</v>
      </c>
    </row>
    <row r="3245" spans="1:8" x14ac:dyDescent="0.25">
      <c r="A3245" s="1">
        <v>2016</v>
      </c>
      <c r="B3245" s="1">
        <v>263</v>
      </c>
      <c r="C3245" s="15">
        <v>42632</v>
      </c>
      <c r="D3245" s="16">
        <v>0.52152777777777781</v>
      </c>
      <c r="E3245" s="1">
        <v>110</v>
      </c>
      <c r="F3245" s="1">
        <v>4</v>
      </c>
      <c r="G3245" s="1">
        <v>0.31518074901077836</v>
      </c>
      <c r="H3245" s="1" t="s">
        <v>143</v>
      </c>
    </row>
    <row r="3246" spans="1:8" x14ac:dyDescent="0.25">
      <c r="A3246" s="1">
        <v>2016</v>
      </c>
      <c r="B3246" s="1">
        <v>263</v>
      </c>
      <c r="C3246" s="15">
        <v>42632</v>
      </c>
      <c r="D3246" s="16">
        <v>0.51597222222222217</v>
      </c>
      <c r="E3246" s="1">
        <v>110</v>
      </c>
      <c r="F3246" s="1">
        <v>5</v>
      </c>
      <c r="G3246" s="1">
        <v>0.32317225656230147</v>
      </c>
      <c r="H3246" s="1" t="s">
        <v>0</v>
      </c>
    </row>
    <row r="3247" spans="1:8" x14ac:dyDescent="0.25">
      <c r="A3247" s="1">
        <v>2016</v>
      </c>
      <c r="B3247" s="1">
        <v>263</v>
      </c>
      <c r="C3247" s="15">
        <v>42632</v>
      </c>
      <c r="D3247" s="16">
        <v>0.52083333333333337</v>
      </c>
      <c r="E3247" s="1">
        <v>110</v>
      </c>
      <c r="F3247" s="1">
        <v>6</v>
      </c>
      <c r="G3247" s="1">
        <v>0.31176890194723411</v>
      </c>
      <c r="H3247" s="1" t="s">
        <v>0</v>
      </c>
    </row>
    <row r="3248" spans="1:8" x14ac:dyDescent="0.25">
      <c r="A3248" s="1">
        <v>2016</v>
      </c>
      <c r="B3248" s="1">
        <v>263</v>
      </c>
      <c r="C3248" s="15">
        <v>42632</v>
      </c>
      <c r="D3248" s="16">
        <v>0.54027777777777775</v>
      </c>
      <c r="E3248" s="1">
        <v>110</v>
      </c>
      <c r="F3248" s="1">
        <v>7</v>
      </c>
      <c r="G3248" s="1">
        <v>0.32534759529409141</v>
      </c>
      <c r="H3248" s="1" t="s">
        <v>143</v>
      </c>
    </row>
    <row r="3249" spans="1:8" x14ac:dyDescent="0.25">
      <c r="A3249" s="1">
        <v>2016</v>
      </c>
      <c r="B3249" s="1">
        <v>263</v>
      </c>
      <c r="C3249" s="15">
        <v>42632</v>
      </c>
      <c r="D3249" s="16">
        <v>0.5083333333333333</v>
      </c>
      <c r="E3249" s="1">
        <v>110</v>
      </c>
      <c r="F3249" s="1">
        <v>8</v>
      </c>
      <c r="G3249" s="1">
        <v>0.32337834128426052</v>
      </c>
      <c r="H3249" s="1" t="s">
        <v>143</v>
      </c>
    </row>
    <row r="3250" spans="1:8" x14ac:dyDescent="0.25">
      <c r="A3250" s="1">
        <v>2016</v>
      </c>
      <c r="B3250" s="1">
        <v>263</v>
      </c>
      <c r="C3250" s="15">
        <v>42632</v>
      </c>
      <c r="D3250" s="16">
        <v>0.50138888888888888</v>
      </c>
      <c r="E3250" s="1">
        <v>110</v>
      </c>
      <c r="F3250" s="1">
        <v>9</v>
      </c>
      <c r="G3250" s="1">
        <v>0.32317225656230147</v>
      </c>
      <c r="H3250" s="1" t="s">
        <v>143</v>
      </c>
    </row>
    <row r="3251" spans="1:8" x14ac:dyDescent="0.25">
      <c r="A3251" s="1">
        <v>2016</v>
      </c>
      <c r="B3251" s="1">
        <v>263</v>
      </c>
      <c r="C3251" s="15">
        <v>42632</v>
      </c>
      <c r="D3251" s="16">
        <v>0.49444444444444446</v>
      </c>
      <c r="E3251" s="1">
        <v>110</v>
      </c>
      <c r="F3251" s="1">
        <v>10</v>
      </c>
      <c r="G3251" s="1">
        <v>0.32342413788914032</v>
      </c>
      <c r="H3251" s="1" t="s">
        <v>143</v>
      </c>
    </row>
    <row r="3252" spans="1:8" x14ac:dyDescent="0.25">
      <c r="A3252" s="1">
        <v>2016</v>
      </c>
      <c r="B3252" s="1">
        <v>263</v>
      </c>
      <c r="C3252" s="15">
        <v>42632</v>
      </c>
      <c r="D3252" s="16">
        <v>0.3611111111111111</v>
      </c>
      <c r="E3252" s="1">
        <v>110</v>
      </c>
      <c r="F3252" s="1">
        <v>11</v>
      </c>
      <c r="G3252" s="1">
        <v>0.29154970089280735</v>
      </c>
      <c r="H3252" s="1" t="s">
        <v>144</v>
      </c>
    </row>
    <row r="3253" spans="1:8" x14ac:dyDescent="0.25">
      <c r="A3253" s="1">
        <v>2016</v>
      </c>
      <c r="B3253" s="1">
        <v>263</v>
      </c>
      <c r="C3253" s="15">
        <v>42632</v>
      </c>
      <c r="D3253" s="16">
        <v>0.36874999999999997</v>
      </c>
      <c r="E3253" s="1">
        <v>110</v>
      </c>
      <c r="F3253" s="1">
        <v>12</v>
      </c>
      <c r="G3253" s="1">
        <v>0.30457883498110727</v>
      </c>
      <c r="H3253" s="1" t="s">
        <v>144</v>
      </c>
    </row>
    <row r="3254" spans="1:8" x14ac:dyDescent="0.25">
      <c r="A3254" s="1">
        <v>2016</v>
      </c>
      <c r="B3254" s="1">
        <v>263</v>
      </c>
      <c r="C3254" s="15">
        <v>42632</v>
      </c>
      <c r="D3254" s="16">
        <v>0.37708333333333338</v>
      </c>
      <c r="E3254" s="1">
        <v>110</v>
      </c>
      <c r="F3254" s="1">
        <v>13</v>
      </c>
      <c r="G3254" s="1">
        <v>0.30728083466901479</v>
      </c>
      <c r="H3254" s="1" t="s">
        <v>144</v>
      </c>
    </row>
    <row r="3255" spans="1:8" x14ac:dyDescent="0.25">
      <c r="A3255" s="1">
        <v>2016</v>
      </c>
      <c r="B3255" s="1">
        <v>263</v>
      </c>
      <c r="C3255" s="15">
        <v>42632</v>
      </c>
      <c r="D3255" s="16">
        <v>0.34861111111111115</v>
      </c>
      <c r="E3255" s="1">
        <v>110</v>
      </c>
      <c r="F3255" s="1">
        <v>14</v>
      </c>
      <c r="G3255" s="1">
        <v>0.30187683529319975</v>
      </c>
      <c r="H3255" s="1" t="s">
        <v>144</v>
      </c>
    </row>
    <row r="3256" spans="1:8" x14ac:dyDescent="0.25">
      <c r="A3256" s="1">
        <v>2016</v>
      </c>
      <c r="B3256" s="1">
        <v>263</v>
      </c>
      <c r="C3256" s="15">
        <v>42632</v>
      </c>
      <c r="D3256" s="16">
        <v>0.34166666666666662</v>
      </c>
      <c r="E3256" s="1">
        <v>110</v>
      </c>
      <c r="F3256" s="1">
        <v>15</v>
      </c>
      <c r="G3256" s="1">
        <v>0.32337834128426052</v>
      </c>
      <c r="H3256" s="1" t="s">
        <v>1</v>
      </c>
    </row>
    <row r="3257" spans="1:8" x14ac:dyDescent="0.25">
      <c r="A3257" s="1">
        <v>2016</v>
      </c>
      <c r="B3257" s="1">
        <v>263</v>
      </c>
      <c r="C3257" s="15">
        <v>42632</v>
      </c>
      <c r="D3257" s="16">
        <v>0.33680555555555558</v>
      </c>
      <c r="E3257" s="1">
        <v>110</v>
      </c>
      <c r="F3257" s="1">
        <v>16</v>
      </c>
      <c r="G3257" s="1">
        <v>0.31685232508889066</v>
      </c>
      <c r="H3257" s="1" t="s">
        <v>1</v>
      </c>
    </row>
    <row r="3258" spans="1:8" x14ac:dyDescent="0.25">
      <c r="A3258" s="1">
        <v>2016</v>
      </c>
      <c r="B3258" s="1">
        <v>263</v>
      </c>
      <c r="C3258" s="15">
        <v>42632</v>
      </c>
      <c r="D3258" s="16">
        <v>0.32708333333333334</v>
      </c>
      <c r="E3258" s="1">
        <v>110</v>
      </c>
      <c r="F3258" s="1">
        <v>17</v>
      </c>
      <c r="G3258" s="1">
        <v>0.31797434190844548</v>
      </c>
      <c r="H3258" s="1" t="s">
        <v>144</v>
      </c>
    </row>
    <row r="3259" spans="1:8" x14ac:dyDescent="0.25">
      <c r="A3259" s="1">
        <v>2016</v>
      </c>
      <c r="B3259" s="1">
        <v>263</v>
      </c>
      <c r="C3259" s="15">
        <v>42632</v>
      </c>
      <c r="D3259" s="16">
        <v>0.30624999999999997</v>
      </c>
      <c r="E3259" s="1">
        <v>110</v>
      </c>
      <c r="F3259" s="1">
        <v>18</v>
      </c>
      <c r="G3259" s="1">
        <v>0.31547842694249695</v>
      </c>
      <c r="H3259" s="1" t="s">
        <v>144</v>
      </c>
    </row>
    <row r="3260" spans="1:8" x14ac:dyDescent="0.25">
      <c r="A3260" s="1">
        <v>2016</v>
      </c>
      <c r="B3260" s="1">
        <v>263</v>
      </c>
      <c r="C3260" s="15">
        <v>42632</v>
      </c>
      <c r="D3260" s="16">
        <v>0.30208333333333331</v>
      </c>
      <c r="E3260" s="1">
        <v>110</v>
      </c>
      <c r="F3260" s="1">
        <v>19</v>
      </c>
      <c r="G3260" s="1">
        <v>0.31792854530356568</v>
      </c>
      <c r="H3260" s="1" t="s">
        <v>144</v>
      </c>
    </row>
    <row r="3261" spans="1:8" x14ac:dyDescent="0.25">
      <c r="A3261" s="1">
        <v>2016</v>
      </c>
      <c r="B3261" s="1">
        <v>263</v>
      </c>
      <c r="C3261" s="15">
        <v>42632</v>
      </c>
      <c r="D3261" s="16">
        <v>0.29444444444444445</v>
      </c>
      <c r="E3261" s="1">
        <v>110</v>
      </c>
      <c r="F3261" s="1">
        <v>20</v>
      </c>
      <c r="G3261" s="1">
        <v>0.29244273468796328</v>
      </c>
      <c r="H3261" s="1" t="s">
        <v>144</v>
      </c>
    </row>
    <row r="3262" spans="1:8" x14ac:dyDescent="0.25">
      <c r="A3262" s="1">
        <v>2016</v>
      </c>
      <c r="B3262" s="1">
        <v>263</v>
      </c>
      <c r="C3262" s="15">
        <v>42632</v>
      </c>
      <c r="D3262" s="16">
        <v>0.52847222222222223</v>
      </c>
      <c r="E3262" s="1">
        <v>90</v>
      </c>
      <c r="F3262" s="1">
        <v>1</v>
      </c>
      <c r="G3262" s="1">
        <v>0.30448724177134767</v>
      </c>
      <c r="H3262" s="1" t="s">
        <v>143</v>
      </c>
    </row>
    <row r="3263" spans="1:8" x14ac:dyDescent="0.25">
      <c r="A3263" s="1">
        <v>2016</v>
      </c>
      <c r="B3263" s="1">
        <v>263</v>
      </c>
      <c r="C3263" s="15">
        <v>42632</v>
      </c>
      <c r="D3263" s="16">
        <v>0.53541666666666665</v>
      </c>
      <c r="E3263" s="1">
        <v>90</v>
      </c>
      <c r="F3263" s="1">
        <v>2</v>
      </c>
      <c r="G3263" s="1">
        <v>0.31465408805466077</v>
      </c>
      <c r="H3263" s="1" t="s">
        <v>143</v>
      </c>
    </row>
    <row r="3264" spans="1:8" x14ac:dyDescent="0.25">
      <c r="A3264" s="1">
        <v>2016</v>
      </c>
      <c r="B3264" s="1">
        <v>263</v>
      </c>
      <c r="C3264" s="15">
        <v>42632</v>
      </c>
      <c r="D3264" s="16">
        <v>0.5493055555555556</v>
      </c>
      <c r="E3264" s="1">
        <v>90</v>
      </c>
      <c r="F3264" s="1">
        <v>3</v>
      </c>
      <c r="G3264" s="1">
        <v>0.31433351182050229</v>
      </c>
      <c r="H3264" s="1" t="s">
        <v>143</v>
      </c>
    </row>
    <row r="3265" spans="1:8" x14ac:dyDescent="0.25">
      <c r="A3265" s="1">
        <v>2016</v>
      </c>
      <c r="B3265" s="1">
        <v>263</v>
      </c>
      <c r="C3265" s="15">
        <v>42632</v>
      </c>
      <c r="D3265" s="16">
        <v>0.52152777777777781</v>
      </c>
      <c r="E3265" s="1">
        <v>90</v>
      </c>
      <c r="F3265" s="1">
        <v>4</v>
      </c>
      <c r="G3265" s="1">
        <v>0.31016602077644151</v>
      </c>
      <c r="H3265" s="1" t="s">
        <v>143</v>
      </c>
    </row>
    <row r="3266" spans="1:8" x14ac:dyDescent="0.25">
      <c r="A3266" s="1">
        <v>2016</v>
      </c>
      <c r="B3266" s="1">
        <v>263</v>
      </c>
      <c r="C3266" s="15">
        <v>42632</v>
      </c>
      <c r="D3266" s="16">
        <v>0.51597222222222217</v>
      </c>
      <c r="E3266" s="1">
        <v>90</v>
      </c>
      <c r="F3266" s="1">
        <v>5</v>
      </c>
      <c r="G3266" s="1">
        <v>0.32280588372326313</v>
      </c>
      <c r="H3266" s="1" t="s">
        <v>0</v>
      </c>
    </row>
    <row r="3267" spans="1:8" x14ac:dyDescent="0.25">
      <c r="A3267" s="1">
        <v>2016</v>
      </c>
      <c r="B3267" s="1">
        <v>263</v>
      </c>
      <c r="C3267" s="15">
        <v>42632</v>
      </c>
      <c r="D3267" s="16">
        <v>0.52083333333333337</v>
      </c>
      <c r="E3267" s="1">
        <v>90</v>
      </c>
      <c r="F3267" s="1">
        <v>6</v>
      </c>
      <c r="G3267" s="1">
        <v>0.30755561429829353</v>
      </c>
      <c r="H3267" s="1" t="s">
        <v>0</v>
      </c>
    </row>
    <row r="3268" spans="1:8" x14ac:dyDescent="0.25">
      <c r="A3268" s="1">
        <v>2016</v>
      </c>
      <c r="B3268" s="1">
        <v>263</v>
      </c>
      <c r="C3268" s="15">
        <v>42632</v>
      </c>
      <c r="D3268" s="16">
        <v>0.54027777777777775</v>
      </c>
      <c r="E3268" s="1">
        <v>90</v>
      </c>
      <c r="F3268" s="1">
        <v>7</v>
      </c>
      <c r="G3268" s="1">
        <v>0.34517752520703998</v>
      </c>
      <c r="H3268" s="1" t="s">
        <v>143</v>
      </c>
    </row>
    <row r="3269" spans="1:8" x14ac:dyDescent="0.25">
      <c r="A3269" s="1">
        <v>2016</v>
      </c>
      <c r="B3269" s="1">
        <v>263</v>
      </c>
      <c r="C3269" s="15">
        <v>42632</v>
      </c>
      <c r="D3269" s="16">
        <v>0.5083333333333333</v>
      </c>
      <c r="E3269" s="1">
        <v>90</v>
      </c>
      <c r="F3269" s="1">
        <v>8</v>
      </c>
      <c r="G3269" s="1">
        <v>0.31140252910819577</v>
      </c>
      <c r="H3269" s="1" t="s">
        <v>143</v>
      </c>
    </row>
    <row r="3270" spans="1:8" x14ac:dyDescent="0.25">
      <c r="A3270" s="1">
        <v>2016</v>
      </c>
      <c r="B3270" s="1">
        <v>263</v>
      </c>
      <c r="C3270" s="15">
        <v>42632</v>
      </c>
      <c r="D3270" s="16">
        <v>0.50138888888888888</v>
      </c>
      <c r="E3270" s="1">
        <v>90</v>
      </c>
      <c r="F3270" s="1">
        <v>9</v>
      </c>
      <c r="G3270" s="1">
        <v>0.31634856243521298</v>
      </c>
      <c r="H3270" s="1" t="s">
        <v>143</v>
      </c>
    </row>
    <row r="3271" spans="1:8" x14ac:dyDescent="0.25">
      <c r="A3271" s="1">
        <v>2016</v>
      </c>
      <c r="B3271" s="1">
        <v>263</v>
      </c>
      <c r="C3271" s="15">
        <v>42632</v>
      </c>
      <c r="D3271" s="16">
        <v>0.49444444444444446</v>
      </c>
      <c r="E3271" s="1">
        <v>90</v>
      </c>
      <c r="F3271" s="1">
        <v>10</v>
      </c>
      <c r="G3271" s="1">
        <v>0.31245585102043094</v>
      </c>
      <c r="H3271" s="1" t="s">
        <v>143</v>
      </c>
    </row>
    <row r="3272" spans="1:8" x14ac:dyDescent="0.25">
      <c r="A3272" s="1">
        <v>2016</v>
      </c>
      <c r="B3272" s="1">
        <v>263</v>
      </c>
      <c r="C3272" s="15">
        <v>42632</v>
      </c>
      <c r="D3272" s="16">
        <v>0.3611111111111111</v>
      </c>
      <c r="E3272" s="1">
        <v>90</v>
      </c>
      <c r="F3272" s="1">
        <v>11</v>
      </c>
      <c r="G3272" s="1">
        <v>0.28761119287314557</v>
      </c>
      <c r="H3272" s="1" t="s">
        <v>144</v>
      </c>
    </row>
    <row r="3273" spans="1:8" x14ac:dyDescent="0.25">
      <c r="A3273" s="1">
        <v>2016</v>
      </c>
      <c r="B3273" s="1">
        <v>263</v>
      </c>
      <c r="C3273" s="15">
        <v>42632</v>
      </c>
      <c r="D3273" s="16">
        <v>0.36874999999999997</v>
      </c>
      <c r="E3273" s="1">
        <v>90</v>
      </c>
      <c r="F3273" s="1">
        <v>12</v>
      </c>
      <c r="G3273" s="1">
        <v>0.2781541939654692</v>
      </c>
      <c r="H3273" s="1" t="s">
        <v>144</v>
      </c>
    </row>
    <row r="3274" spans="1:8" x14ac:dyDescent="0.25">
      <c r="A3274" s="1">
        <v>2016</v>
      </c>
      <c r="B3274" s="1">
        <v>263</v>
      </c>
      <c r="C3274" s="15">
        <v>42632</v>
      </c>
      <c r="D3274" s="16">
        <v>0.37708333333333338</v>
      </c>
      <c r="E3274" s="1">
        <v>90</v>
      </c>
      <c r="F3274" s="1">
        <v>13</v>
      </c>
      <c r="G3274" s="1">
        <v>0.28083329535093687</v>
      </c>
      <c r="H3274" s="1" t="s">
        <v>144</v>
      </c>
    </row>
    <row r="3275" spans="1:8" x14ac:dyDescent="0.25">
      <c r="A3275" s="1">
        <v>2016</v>
      </c>
      <c r="B3275" s="1">
        <v>263</v>
      </c>
      <c r="C3275" s="15">
        <v>42632</v>
      </c>
      <c r="D3275" s="16">
        <v>0.34861111111111115</v>
      </c>
      <c r="E3275" s="1">
        <v>90</v>
      </c>
      <c r="F3275" s="1">
        <v>14</v>
      </c>
      <c r="G3275" s="1">
        <v>0.28122256649241506</v>
      </c>
      <c r="H3275" s="1" t="s">
        <v>144</v>
      </c>
    </row>
    <row r="3276" spans="1:8" x14ac:dyDescent="0.25">
      <c r="A3276" s="1">
        <v>2016</v>
      </c>
      <c r="B3276" s="1">
        <v>263</v>
      </c>
      <c r="C3276" s="15">
        <v>42632</v>
      </c>
      <c r="D3276" s="16">
        <v>0.34166666666666662</v>
      </c>
      <c r="E3276" s="1">
        <v>90</v>
      </c>
      <c r="F3276" s="1">
        <v>15</v>
      </c>
      <c r="G3276" s="1">
        <v>0.31618827431813368</v>
      </c>
      <c r="H3276" s="1" t="s">
        <v>1</v>
      </c>
    </row>
    <row r="3277" spans="1:8" x14ac:dyDescent="0.25">
      <c r="A3277" s="1">
        <v>2016</v>
      </c>
      <c r="B3277" s="1">
        <v>263</v>
      </c>
      <c r="C3277" s="15">
        <v>42632</v>
      </c>
      <c r="D3277" s="16">
        <v>0.33680555555555558</v>
      </c>
      <c r="E3277" s="1">
        <v>90</v>
      </c>
      <c r="F3277" s="1">
        <v>16</v>
      </c>
      <c r="G3277" s="1">
        <v>0.30934168188860534</v>
      </c>
      <c r="H3277" s="1" t="s">
        <v>1</v>
      </c>
    </row>
    <row r="3278" spans="1:8" x14ac:dyDescent="0.25">
      <c r="A3278" s="1">
        <v>2016</v>
      </c>
      <c r="B3278" s="1">
        <v>263</v>
      </c>
      <c r="C3278" s="15">
        <v>42632</v>
      </c>
      <c r="D3278" s="16">
        <v>0.32708333333333334</v>
      </c>
      <c r="E3278" s="1">
        <v>90</v>
      </c>
      <c r="F3278" s="1">
        <v>17</v>
      </c>
      <c r="G3278" s="1">
        <v>0.32285168032814293</v>
      </c>
      <c r="H3278" s="1" t="s">
        <v>144</v>
      </c>
    </row>
    <row r="3279" spans="1:8" x14ac:dyDescent="0.25">
      <c r="A3279" s="1">
        <v>2016</v>
      </c>
      <c r="B3279" s="1">
        <v>263</v>
      </c>
      <c r="C3279" s="15">
        <v>42632</v>
      </c>
      <c r="D3279" s="16">
        <v>0.30624999999999997</v>
      </c>
      <c r="E3279" s="1">
        <v>90</v>
      </c>
      <c r="F3279" s="1">
        <v>18</v>
      </c>
      <c r="G3279" s="1">
        <v>0.29773224255157887</v>
      </c>
      <c r="H3279" s="1" t="s">
        <v>144</v>
      </c>
    </row>
    <row r="3280" spans="1:8" x14ac:dyDescent="0.25">
      <c r="A3280" s="1">
        <v>2016</v>
      </c>
      <c r="B3280" s="1">
        <v>263</v>
      </c>
      <c r="C3280" s="15">
        <v>42632</v>
      </c>
      <c r="D3280" s="16">
        <v>0.30208333333333331</v>
      </c>
      <c r="E3280" s="1">
        <v>90</v>
      </c>
      <c r="F3280" s="1">
        <v>19</v>
      </c>
      <c r="G3280" s="1">
        <v>0.28937436216101747</v>
      </c>
      <c r="H3280" s="1" t="s">
        <v>144</v>
      </c>
    </row>
    <row r="3281" spans="1:8" x14ac:dyDescent="0.25">
      <c r="A3281" s="1">
        <v>2016</v>
      </c>
      <c r="B3281" s="1">
        <v>263</v>
      </c>
      <c r="C3281" s="15">
        <v>42632</v>
      </c>
      <c r="D3281" s="16">
        <v>0.29444444444444445</v>
      </c>
      <c r="E3281" s="1">
        <v>90</v>
      </c>
      <c r="F3281" s="1">
        <v>20</v>
      </c>
      <c r="G3281" s="1">
        <v>0.29997627619068851</v>
      </c>
      <c r="H3281" s="1" t="s">
        <v>144</v>
      </c>
    </row>
    <row r="3282" spans="1:8" x14ac:dyDescent="0.25">
      <c r="A3282" s="1">
        <v>2016</v>
      </c>
      <c r="B3282" s="1">
        <v>263</v>
      </c>
      <c r="C3282" s="15">
        <v>42632</v>
      </c>
      <c r="D3282" s="16">
        <v>0.52847222222222223</v>
      </c>
      <c r="E3282" s="1">
        <v>70</v>
      </c>
      <c r="F3282" s="1">
        <v>1</v>
      </c>
      <c r="G3282" s="1">
        <v>0.32875944235763571</v>
      </c>
      <c r="H3282" s="1" t="s">
        <v>143</v>
      </c>
    </row>
    <row r="3283" spans="1:8" x14ac:dyDescent="0.25">
      <c r="A3283" s="1">
        <v>2016</v>
      </c>
      <c r="B3283" s="1">
        <v>263</v>
      </c>
      <c r="C3283" s="15">
        <v>42632</v>
      </c>
      <c r="D3283" s="16">
        <v>0.53541666666666665</v>
      </c>
      <c r="E3283" s="1">
        <v>70</v>
      </c>
      <c r="F3283" s="1">
        <v>2</v>
      </c>
      <c r="G3283" s="1">
        <v>0.3291945101039937</v>
      </c>
      <c r="H3283" s="1" t="s">
        <v>143</v>
      </c>
    </row>
    <row r="3284" spans="1:8" x14ac:dyDescent="0.25">
      <c r="A3284" s="1">
        <v>2016</v>
      </c>
      <c r="B3284" s="1">
        <v>263</v>
      </c>
      <c r="C3284" s="15">
        <v>42632</v>
      </c>
      <c r="D3284" s="16">
        <v>0.5493055555555556</v>
      </c>
      <c r="E3284" s="1">
        <v>70</v>
      </c>
      <c r="F3284" s="1">
        <v>3</v>
      </c>
      <c r="G3284" s="1">
        <v>0.34133061039713769</v>
      </c>
      <c r="H3284" s="1" t="s">
        <v>143</v>
      </c>
    </row>
    <row r="3285" spans="1:8" x14ac:dyDescent="0.25">
      <c r="A3285" s="1">
        <v>2016</v>
      </c>
      <c r="B3285" s="1">
        <v>263</v>
      </c>
      <c r="C3285" s="15">
        <v>42632</v>
      </c>
      <c r="D3285" s="16">
        <v>0.52152777777777781</v>
      </c>
      <c r="E3285" s="1">
        <v>70</v>
      </c>
      <c r="F3285" s="1">
        <v>4</v>
      </c>
      <c r="G3285" s="1">
        <v>0.32628642569412708</v>
      </c>
      <c r="H3285" s="1" t="s">
        <v>143</v>
      </c>
    </row>
    <row r="3286" spans="1:8" x14ac:dyDescent="0.25">
      <c r="A3286" s="1">
        <v>2016</v>
      </c>
      <c r="B3286" s="1">
        <v>263</v>
      </c>
      <c r="C3286" s="15">
        <v>42632</v>
      </c>
      <c r="D3286" s="16">
        <v>0.51597222222222217</v>
      </c>
      <c r="E3286" s="1">
        <v>70</v>
      </c>
      <c r="F3286" s="1">
        <v>5</v>
      </c>
      <c r="G3286" s="1">
        <v>0.3275229340258814</v>
      </c>
      <c r="H3286" s="1" t="s">
        <v>0</v>
      </c>
    </row>
    <row r="3287" spans="1:8" x14ac:dyDescent="0.25">
      <c r="A3287" s="1">
        <v>2016</v>
      </c>
      <c r="B3287" s="1">
        <v>263</v>
      </c>
      <c r="C3287" s="15">
        <v>42632</v>
      </c>
      <c r="D3287" s="16">
        <v>0.52083333333333337</v>
      </c>
      <c r="E3287" s="1">
        <v>70</v>
      </c>
      <c r="F3287" s="1">
        <v>6</v>
      </c>
      <c r="G3287" s="1">
        <v>0.32978986596743093</v>
      </c>
      <c r="H3287" s="1" t="s">
        <v>0</v>
      </c>
    </row>
    <row r="3288" spans="1:8" x14ac:dyDescent="0.25">
      <c r="A3288" s="1">
        <v>2016</v>
      </c>
      <c r="B3288" s="1">
        <v>263</v>
      </c>
      <c r="C3288" s="15">
        <v>42632</v>
      </c>
      <c r="D3288" s="16">
        <v>0.54027777777777775</v>
      </c>
      <c r="E3288" s="1">
        <v>70</v>
      </c>
      <c r="F3288" s="1">
        <v>7</v>
      </c>
      <c r="G3288" s="1">
        <v>0.34840618585106503</v>
      </c>
      <c r="H3288" s="1" t="s">
        <v>143</v>
      </c>
    </row>
    <row r="3289" spans="1:8" x14ac:dyDescent="0.25">
      <c r="A3289" s="1">
        <v>2016</v>
      </c>
      <c r="B3289" s="1">
        <v>263</v>
      </c>
      <c r="C3289" s="15">
        <v>42632</v>
      </c>
      <c r="D3289" s="16">
        <v>0.5083333333333333</v>
      </c>
      <c r="E3289" s="1">
        <v>70</v>
      </c>
      <c r="F3289" s="1">
        <v>8</v>
      </c>
      <c r="G3289" s="1">
        <v>0.32269139221106369</v>
      </c>
      <c r="H3289" s="1" t="s">
        <v>143</v>
      </c>
    </row>
    <row r="3290" spans="1:8" x14ac:dyDescent="0.25">
      <c r="A3290" s="1">
        <v>2016</v>
      </c>
      <c r="B3290" s="1">
        <v>263</v>
      </c>
      <c r="C3290" s="15">
        <v>42632</v>
      </c>
      <c r="D3290" s="16">
        <v>0.50138888888888888</v>
      </c>
      <c r="E3290" s="1">
        <v>70</v>
      </c>
      <c r="F3290" s="1">
        <v>9</v>
      </c>
      <c r="G3290" s="1">
        <v>0.33047681504062776</v>
      </c>
      <c r="H3290" s="1" t="s">
        <v>143</v>
      </c>
    </row>
    <row r="3291" spans="1:8" x14ac:dyDescent="0.25">
      <c r="A3291" s="1">
        <v>2016</v>
      </c>
      <c r="B3291" s="1">
        <v>263</v>
      </c>
      <c r="C3291" s="15">
        <v>42632</v>
      </c>
      <c r="D3291" s="16">
        <v>0.49444444444444446</v>
      </c>
      <c r="E3291" s="1">
        <v>70</v>
      </c>
      <c r="F3291" s="1">
        <v>10</v>
      </c>
      <c r="G3291" s="1">
        <v>0.32841596782103727</v>
      </c>
      <c r="H3291" s="1" t="s">
        <v>143</v>
      </c>
    </row>
    <row r="3292" spans="1:8" x14ac:dyDescent="0.25">
      <c r="A3292" s="1">
        <v>2016</v>
      </c>
      <c r="B3292" s="1">
        <v>263</v>
      </c>
      <c r="C3292" s="15">
        <v>42632</v>
      </c>
      <c r="D3292" s="16">
        <v>0.3611111111111111</v>
      </c>
      <c r="E3292" s="1">
        <v>70</v>
      </c>
      <c r="F3292" s="1">
        <v>11</v>
      </c>
      <c r="G3292" s="1">
        <v>0.31788274869868588</v>
      </c>
      <c r="H3292" s="1" t="s">
        <v>144</v>
      </c>
    </row>
    <row r="3293" spans="1:8" x14ac:dyDescent="0.25">
      <c r="A3293" s="1">
        <v>2016</v>
      </c>
      <c r="B3293" s="1">
        <v>263</v>
      </c>
      <c r="C3293" s="15">
        <v>42632</v>
      </c>
      <c r="D3293" s="16">
        <v>0.36874999999999997</v>
      </c>
      <c r="E3293" s="1">
        <v>70</v>
      </c>
      <c r="F3293" s="1">
        <v>12</v>
      </c>
      <c r="G3293" s="1">
        <v>0.29164129410256701</v>
      </c>
      <c r="H3293" s="1" t="s">
        <v>144</v>
      </c>
    </row>
    <row r="3294" spans="1:8" x14ac:dyDescent="0.25">
      <c r="A3294" s="1">
        <v>2016</v>
      </c>
      <c r="B3294" s="1">
        <v>263</v>
      </c>
      <c r="C3294" s="15">
        <v>42632</v>
      </c>
      <c r="D3294" s="16">
        <v>0.37708333333333338</v>
      </c>
      <c r="E3294" s="1">
        <v>70</v>
      </c>
      <c r="F3294" s="1">
        <v>13</v>
      </c>
      <c r="G3294" s="1">
        <v>0.29216795505868454</v>
      </c>
      <c r="H3294" s="1" t="s">
        <v>144</v>
      </c>
    </row>
    <row r="3295" spans="1:8" x14ac:dyDescent="0.25">
      <c r="A3295" s="1">
        <v>2016</v>
      </c>
      <c r="B3295" s="1">
        <v>263</v>
      </c>
      <c r="C3295" s="15">
        <v>42632</v>
      </c>
      <c r="D3295" s="16">
        <v>0.34861111111111115</v>
      </c>
      <c r="E3295" s="1">
        <v>70</v>
      </c>
      <c r="F3295" s="1">
        <v>14</v>
      </c>
      <c r="G3295" s="1">
        <v>0.3190963587280003</v>
      </c>
      <c r="H3295" s="1" t="s">
        <v>144</v>
      </c>
    </row>
    <row r="3296" spans="1:8" x14ac:dyDescent="0.25">
      <c r="A3296" s="1">
        <v>2016</v>
      </c>
      <c r="B3296" s="1">
        <v>263</v>
      </c>
      <c r="C3296" s="15">
        <v>42632</v>
      </c>
      <c r="D3296" s="16">
        <v>0.34166666666666662</v>
      </c>
      <c r="E3296" s="1">
        <v>70</v>
      </c>
      <c r="F3296" s="1">
        <v>15</v>
      </c>
      <c r="G3296" s="1">
        <v>0.32493542585017332</v>
      </c>
      <c r="H3296" s="1" t="s">
        <v>1</v>
      </c>
    </row>
    <row r="3297" spans="1:8" x14ac:dyDescent="0.25">
      <c r="A3297" s="1">
        <v>2016</v>
      </c>
      <c r="B3297" s="1">
        <v>263</v>
      </c>
      <c r="C3297" s="15">
        <v>42632</v>
      </c>
      <c r="D3297" s="16">
        <v>0.33680555555555558</v>
      </c>
      <c r="E3297" s="1">
        <v>70</v>
      </c>
      <c r="F3297" s="1">
        <v>16</v>
      </c>
      <c r="G3297" s="1">
        <v>0.31799724021088538</v>
      </c>
      <c r="H3297" s="1" t="s">
        <v>1</v>
      </c>
    </row>
    <row r="3298" spans="1:8" x14ac:dyDescent="0.25">
      <c r="A3298" s="1">
        <v>2016</v>
      </c>
      <c r="B3298" s="1">
        <v>263</v>
      </c>
      <c r="C3298" s="15">
        <v>42632</v>
      </c>
      <c r="D3298" s="16">
        <v>0.32708333333333334</v>
      </c>
      <c r="E3298" s="1">
        <v>70</v>
      </c>
      <c r="F3298" s="1">
        <v>17</v>
      </c>
      <c r="G3298" s="1">
        <v>0.33164462846506237</v>
      </c>
      <c r="H3298" s="1" t="s">
        <v>144</v>
      </c>
    </row>
    <row r="3299" spans="1:8" x14ac:dyDescent="0.25">
      <c r="A3299" s="1">
        <v>2016</v>
      </c>
      <c r="B3299" s="1">
        <v>263</v>
      </c>
      <c r="C3299" s="15">
        <v>42632</v>
      </c>
      <c r="D3299" s="16">
        <v>0.30624999999999997</v>
      </c>
      <c r="E3299" s="1">
        <v>70</v>
      </c>
      <c r="F3299" s="1">
        <v>18</v>
      </c>
      <c r="G3299" s="1">
        <v>0.3206076466890333</v>
      </c>
      <c r="H3299" s="1" t="s">
        <v>144</v>
      </c>
    </row>
    <row r="3300" spans="1:8" x14ac:dyDescent="0.25">
      <c r="A3300" s="1">
        <v>2016</v>
      </c>
      <c r="B3300" s="1">
        <v>263</v>
      </c>
      <c r="C3300" s="15">
        <v>42632</v>
      </c>
      <c r="D3300" s="16">
        <v>0.30208333333333331</v>
      </c>
      <c r="E3300" s="1">
        <v>70</v>
      </c>
      <c r="F3300" s="1">
        <v>19</v>
      </c>
      <c r="G3300" s="1">
        <v>0.31293671537166867</v>
      </c>
      <c r="H3300" s="1" t="s">
        <v>144</v>
      </c>
    </row>
    <row r="3301" spans="1:8" x14ac:dyDescent="0.25">
      <c r="A3301" s="1">
        <v>2016</v>
      </c>
      <c r="B3301" s="1">
        <v>263</v>
      </c>
      <c r="C3301" s="15">
        <v>42632</v>
      </c>
      <c r="D3301" s="16">
        <v>0.29444444444444445</v>
      </c>
      <c r="E3301" s="1">
        <v>70</v>
      </c>
      <c r="F3301" s="1">
        <v>20</v>
      </c>
      <c r="G3301" s="1">
        <v>0.32248530748910464</v>
      </c>
      <c r="H3301" s="1" t="s">
        <v>144</v>
      </c>
    </row>
    <row r="3302" spans="1:8" x14ac:dyDescent="0.25">
      <c r="A3302" s="1">
        <v>2016</v>
      </c>
      <c r="B3302" s="1">
        <v>263</v>
      </c>
      <c r="C3302" s="15">
        <v>42632</v>
      </c>
      <c r="D3302" s="16">
        <v>0.52847222222222223</v>
      </c>
      <c r="E3302" s="1">
        <v>50</v>
      </c>
      <c r="F3302" s="1">
        <v>1</v>
      </c>
      <c r="G3302" s="1">
        <v>0.33024783201622882</v>
      </c>
      <c r="H3302" s="1" t="s">
        <v>143</v>
      </c>
    </row>
    <row r="3303" spans="1:8" x14ac:dyDescent="0.25">
      <c r="A3303" s="1">
        <v>2016</v>
      </c>
      <c r="B3303" s="1">
        <v>263</v>
      </c>
      <c r="C3303" s="15">
        <v>42632</v>
      </c>
      <c r="D3303" s="16">
        <v>0.53541666666666665</v>
      </c>
      <c r="E3303" s="1">
        <v>50</v>
      </c>
      <c r="F3303" s="1">
        <v>2</v>
      </c>
      <c r="G3303" s="1">
        <v>0.34735286393882986</v>
      </c>
      <c r="H3303" s="1" t="s">
        <v>143</v>
      </c>
    </row>
    <row r="3304" spans="1:8" x14ac:dyDescent="0.25">
      <c r="A3304" s="1">
        <v>2016</v>
      </c>
      <c r="B3304" s="1">
        <v>263</v>
      </c>
      <c r="C3304" s="15">
        <v>42632</v>
      </c>
      <c r="D3304" s="16">
        <v>0.5493055555555556</v>
      </c>
      <c r="E3304" s="1">
        <v>50</v>
      </c>
      <c r="F3304" s="1">
        <v>3</v>
      </c>
      <c r="G3304" s="1">
        <v>0.35010066023161718</v>
      </c>
      <c r="H3304" s="1" t="s">
        <v>143</v>
      </c>
    </row>
    <row r="3305" spans="1:8" x14ac:dyDescent="0.25">
      <c r="A3305" s="1">
        <v>2016</v>
      </c>
      <c r="B3305" s="1">
        <v>263</v>
      </c>
      <c r="C3305" s="15">
        <v>42632</v>
      </c>
      <c r="D3305" s="16">
        <v>0.52152777777777781</v>
      </c>
      <c r="E3305" s="1">
        <v>50</v>
      </c>
      <c r="F3305" s="1">
        <v>4</v>
      </c>
      <c r="G3305" s="1">
        <v>0.3361097974408418</v>
      </c>
      <c r="H3305" s="1" t="s">
        <v>143</v>
      </c>
    </row>
    <row r="3306" spans="1:8" x14ac:dyDescent="0.25">
      <c r="A3306" s="1">
        <v>2016</v>
      </c>
      <c r="B3306" s="1">
        <v>263</v>
      </c>
      <c r="C3306" s="15">
        <v>42632</v>
      </c>
      <c r="D3306" s="16">
        <v>0.51597222222222217</v>
      </c>
      <c r="E3306" s="1">
        <v>50</v>
      </c>
      <c r="F3306" s="1">
        <v>5</v>
      </c>
      <c r="G3306" s="1">
        <v>0.33837672938239127</v>
      </c>
      <c r="H3306" s="1" t="s">
        <v>0</v>
      </c>
    </row>
    <row r="3307" spans="1:8" x14ac:dyDescent="0.25">
      <c r="A3307" s="1">
        <v>2016</v>
      </c>
      <c r="B3307" s="1">
        <v>263</v>
      </c>
      <c r="C3307" s="15">
        <v>42632</v>
      </c>
      <c r="D3307" s="16">
        <v>0.52083333333333337</v>
      </c>
      <c r="E3307" s="1">
        <v>50</v>
      </c>
      <c r="F3307" s="1">
        <v>6</v>
      </c>
      <c r="G3307" s="1">
        <v>0.34485694897288144</v>
      </c>
      <c r="H3307" s="1" t="s">
        <v>0</v>
      </c>
    </row>
    <row r="3308" spans="1:8" x14ac:dyDescent="0.25">
      <c r="A3308" s="1">
        <v>2016</v>
      </c>
      <c r="B3308" s="1">
        <v>263</v>
      </c>
      <c r="C3308" s="15">
        <v>42632</v>
      </c>
      <c r="D3308" s="16">
        <v>0.54027777777777775</v>
      </c>
      <c r="E3308" s="1">
        <v>50</v>
      </c>
      <c r="F3308" s="1">
        <v>7</v>
      </c>
      <c r="G3308" s="1">
        <v>0.3528255582219646</v>
      </c>
      <c r="H3308" s="1" t="s">
        <v>143</v>
      </c>
    </row>
    <row r="3309" spans="1:8" x14ac:dyDescent="0.25">
      <c r="A3309" s="1">
        <v>2016</v>
      </c>
      <c r="B3309" s="1">
        <v>263</v>
      </c>
      <c r="C3309" s="15">
        <v>42632</v>
      </c>
      <c r="D3309" s="16">
        <v>0.5083333333333333</v>
      </c>
      <c r="E3309" s="1">
        <v>50</v>
      </c>
      <c r="F3309" s="1">
        <v>8</v>
      </c>
      <c r="G3309" s="1">
        <v>0.33780427182139394</v>
      </c>
      <c r="H3309" s="1" t="s">
        <v>143</v>
      </c>
    </row>
    <row r="3310" spans="1:8" x14ac:dyDescent="0.25">
      <c r="A3310" s="1">
        <v>2016</v>
      </c>
      <c r="B3310" s="1">
        <v>263</v>
      </c>
      <c r="C3310" s="15">
        <v>42632</v>
      </c>
      <c r="D3310" s="16">
        <v>0.50138888888888888</v>
      </c>
      <c r="E3310" s="1">
        <v>50</v>
      </c>
      <c r="F3310" s="1">
        <v>9</v>
      </c>
      <c r="G3310" s="1">
        <v>0.34275030514841109</v>
      </c>
      <c r="H3310" s="1" t="s">
        <v>143</v>
      </c>
    </row>
    <row r="3311" spans="1:8" x14ac:dyDescent="0.25">
      <c r="A3311" s="1">
        <v>2016</v>
      </c>
      <c r="B3311" s="1">
        <v>263</v>
      </c>
      <c r="C3311" s="15">
        <v>42632</v>
      </c>
      <c r="D3311" s="16">
        <v>0.49444444444444446</v>
      </c>
      <c r="E3311" s="1">
        <v>50</v>
      </c>
      <c r="F3311" s="1">
        <v>10</v>
      </c>
      <c r="G3311" s="1">
        <v>0.34387232196796591</v>
      </c>
      <c r="H3311" s="1" t="s">
        <v>143</v>
      </c>
    </row>
    <row r="3312" spans="1:8" x14ac:dyDescent="0.25">
      <c r="A3312" s="1">
        <v>2016</v>
      </c>
      <c r="B3312" s="1">
        <v>263</v>
      </c>
      <c r="C3312" s="15">
        <v>42632</v>
      </c>
      <c r="D3312" s="16">
        <v>0.3611111111111111</v>
      </c>
      <c r="E3312" s="1">
        <v>50</v>
      </c>
      <c r="F3312" s="1">
        <v>11</v>
      </c>
      <c r="G3312" s="1">
        <v>0.32864495084543621</v>
      </c>
      <c r="H3312" s="1" t="s">
        <v>144</v>
      </c>
    </row>
    <row r="3313" spans="1:8" x14ac:dyDescent="0.25">
      <c r="A3313" s="1">
        <v>2016</v>
      </c>
      <c r="B3313" s="1">
        <v>263</v>
      </c>
      <c r="C3313" s="15">
        <v>42632</v>
      </c>
      <c r="D3313" s="16">
        <v>0.36874999999999997</v>
      </c>
      <c r="E3313" s="1">
        <v>50</v>
      </c>
      <c r="F3313" s="1">
        <v>12</v>
      </c>
      <c r="G3313" s="1">
        <v>0.32846176442591707</v>
      </c>
      <c r="H3313" s="1" t="s">
        <v>144</v>
      </c>
    </row>
    <row r="3314" spans="1:8" x14ac:dyDescent="0.25">
      <c r="A3314" s="1">
        <v>2016</v>
      </c>
      <c r="B3314" s="1">
        <v>263</v>
      </c>
      <c r="C3314" s="15">
        <v>42632</v>
      </c>
      <c r="D3314" s="16">
        <v>0.37708333333333338</v>
      </c>
      <c r="E3314" s="1">
        <v>50</v>
      </c>
      <c r="F3314" s="1">
        <v>13</v>
      </c>
      <c r="G3314" s="1">
        <v>0.30304464871763437</v>
      </c>
      <c r="H3314" s="1" t="s">
        <v>144</v>
      </c>
    </row>
    <row r="3315" spans="1:8" x14ac:dyDescent="0.25">
      <c r="A3315" s="1">
        <v>2016</v>
      </c>
      <c r="B3315" s="1">
        <v>263</v>
      </c>
      <c r="C3315" s="15">
        <v>42632</v>
      </c>
      <c r="D3315" s="16">
        <v>0.34861111111111115</v>
      </c>
      <c r="E3315" s="1">
        <v>50</v>
      </c>
      <c r="F3315" s="1">
        <v>14</v>
      </c>
      <c r="G3315" s="1">
        <v>0.29480125983927241</v>
      </c>
      <c r="H3315" s="1" t="s">
        <v>144</v>
      </c>
    </row>
    <row r="3316" spans="1:8" x14ac:dyDescent="0.25">
      <c r="A3316" s="1">
        <v>2016</v>
      </c>
      <c r="B3316" s="1">
        <v>263</v>
      </c>
      <c r="C3316" s="15">
        <v>42632</v>
      </c>
      <c r="D3316" s="16">
        <v>0.34166666666666662</v>
      </c>
      <c r="E3316" s="1">
        <v>50</v>
      </c>
      <c r="F3316" s="1">
        <v>15</v>
      </c>
      <c r="G3316" s="1">
        <v>0.33620139065060134</v>
      </c>
      <c r="H3316" s="1" t="s">
        <v>1</v>
      </c>
    </row>
    <row r="3317" spans="1:8" x14ac:dyDescent="0.25">
      <c r="A3317" s="1">
        <v>2016</v>
      </c>
      <c r="B3317" s="1">
        <v>263</v>
      </c>
      <c r="C3317" s="15">
        <v>42632</v>
      </c>
      <c r="D3317" s="16">
        <v>0.33680555555555558</v>
      </c>
      <c r="E3317" s="1">
        <v>50</v>
      </c>
      <c r="F3317" s="1">
        <v>16</v>
      </c>
      <c r="G3317" s="1">
        <v>0.33681964481647853</v>
      </c>
      <c r="H3317" s="1" t="s">
        <v>1</v>
      </c>
    </row>
    <row r="3318" spans="1:8" x14ac:dyDescent="0.25">
      <c r="A3318" s="1">
        <v>2016</v>
      </c>
      <c r="B3318" s="1">
        <v>263</v>
      </c>
      <c r="C3318" s="15">
        <v>42632</v>
      </c>
      <c r="D3318" s="16">
        <v>0.32708333333333334</v>
      </c>
      <c r="E3318" s="1">
        <v>50</v>
      </c>
      <c r="F3318" s="1">
        <v>17</v>
      </c>
      <c r="G3318" s="1">
        <v>0.35108528723653271</v>
      </c>
      <c r="H3318" s="1" t="s">
        <v>144</v>
      </c>
    </row>
    <row r="3319" spans="1:8" x14ac:dyDescent="0.25">
      <c r="A3319" s="1">
        <v>2016</v>
      </c>
      <c r="B3319" s="1">
        <v>263</v>
      </c>
      <c r="C3319" s="15">
        <v>42632</v>
      </c>
      <c r="D3319" s="16">
        <v>0.30624999999999997</v>
      </c>
      <c r="E3319" s="1">
        <v>50</v>
      </c>
      <c r="F3319" s="1">
        <v>18</v>
      </c>
      <c r="G3319" s="1">
        <v>0.33617849234816144</v>
      </c>
      <c r="H3319" s="1" t="s">
        <v>144</v>
      </c>
    </row>
    <row r="3320" spans="1:8" x14ac:dyDescent="0.25">
      <c r="A3320" s="1">
        <v>2016</v>
      </c>
      <c r="B3320" s="1">
        <v>263</v>
      </c>
      <c r="C3320" s="15">
        <v>42632</v>
      </c>
      <c r="D3320" s="16">
        <v>0.30208333333333331</v>
      </c>
      <c r="E3320" s="1">
        <v>50</v>
      </c>
      <c r="F3320" s="1">
        <v>19</v>
      </c>
      <c r="G3320" s="1">
        <v>0.34068945792882066</v>
      </c>
      <c r="H3320" s="1" t="s">
        <v>144</v>
      </c>
    </row>
    <row r="3321" spans="1:8" x14ac:dyDescent="0.25">
      <c r="A3321" s="1">
        <v>2016</v>
      </c>
      <c r="B3321" s="1">
        <v>263</v>
      </c>
      <c r="C3321" s="15">
        <v>42632</v>
      </c>
      <c r="D3321" s="16">
        <v>0.29444444444444445</v>
      </c>
      <c r="E3321" s="1">
        <v>50</v>
      </c>
      <c r="F3321" s="1">
        <v>20</v>
      </c>
      <c r="G3321" s="1">
        <v>0.34217784758741376</v>
      </c>
      <c r="H3321" s="1" t="s">
        <v>144</v>
      </c>
    </row>
    <row r="3322" spans="1:8" x14ac:dyDescent="0.25">
      <c r="A3322" s="1">
        <v>2016</v>
      </c>
      <c r="B3322" s="1">
        <v>263</v>
      </c>
      <c r="C3322" s="15">
        <v>42632</v>
      </c>
      <c r="D3322" s="16">
        <v>0.52847222222222223</v>
      </c>
      <c r="E3322" s="1">
        <v>30</v>
      </c>
      <c r="F3322" s="1">
        <v>1</v>
      </c>
      <c r="G3322" s="1">
        <v>0.30892951244468719</v>
      </c>
      <c r="H3322" s="1" t="s">
        <v>143</v>
      </c>
    </row>
    <row r="3323" spans="1:8" x14ac:dyDescent="0.25">
      <c r="A3323" s="1">
        <v>2016</v>
      </c>
      <c r="B3323" s="1">
        <v>263</v>
      </c>
      <c r="C3323" s="15">
        <v>42632</v>
      </c>
      <c r="D3323" s="16">
        <v>0.53541666666666665</v>
      </c>
      <c r="E3323" s="1">
        <v>30</v>
      </c>
      <c r="F3323" s="1">
        <v>2</v>
      </c>
      <c r="G3323" s="1">
        <v>0.32088242631831204</v>
      </c>
      <c r="H3323" s="1" t="s">
        <v>143</v>
      </c>
    </row>
    <row r="3324" spans="1:8" x14ac:dyDescent="0.25">
      <c r="A3324" s="1">
        <v>2016</v>
      </c>
      <c r="B3324" s="1">
        <v>263</v>
      </c>
      <c r="C3324" s="15">
        <v>42632</v>
      </c>
      <c r="D3324" s="16">
        <v>0.5493055555555556</v>
      </c>
      <c r="E3324" s="1">
        <v>30</v>
      </c>
      <c r="F3324" s="1">
        <v>3</v>
      </c>
      <c r="G3324" s="1">
        <v>0.30075481847364494</v>
      </c>
      <c r="H3324" s="1" t="s">
        <v>143</v>
      </c>
    </row>
    <row r="3325" spans="1:8" x14ac:dyDescent="0.25">
      <c r="A3325" s="1">
        <v>2016</v>
      </c>
      <c r="B3325" s="1">
        <v>263</v>
      </c>
      <c r="C3325" s="15">
        <v>42632</v>
      </c>
      <c r="D3325" s="16">
        <v>0.52152777777777781</v>
      </c>
      <c r="E3325" s="1">
        <v>30</v>
      </c>
      <c r="F3325" s="1">
        <v>4</v>
      </c>
      <c r="G3325" s="1">
        <v>0.29436619209291442</v>
      </c>
      <c r="H3325" s="1" t="s">
        <v>143</v>
      </c>
    </row>
    <row r="3326" spans="1:8" x14ac:dyDescent="0.25">
      <c r="A3326" s="1">
        <v>2016</v>
      </c>
      <c r="B3326" s="1">
        <v>263</v>
      </c>
      <c r="C3326" s="15">
        <v>42632</v>
      </c>
      <c r="D3326" s="16">
        <v>0.51597222222222217</v>
      </c>
      <c r="E3326" s="1">
        <v>30</v>
      </c>
      <c r="F3326" s="1">
        <v>5</v>
      </c>
      <c r="G3326" s="1">
        <v>0.32273718881594349</v>
      </c>
      <c r="H3326" s="1" t="s">
        <v>0</v>
      </c>
    </row>
    <row r="3327" spans="1:8" x14ac:dyDescent="0.25">
      <c r="A3327" s="1">
        <v>2016</v>
      </c>
      <c r="B3327" s="1">
        <v>263</v>
      </c>
      <c r="C3327" s="15">
        <v>42632</v>
      </c>
      <c r="D3327" s="16">
        <v>0.52083333333333337</v>
      </c>
      <c r="E3327" s="1">
        <v>30</v>
      </c>
      <c r="F3327" s="1">
        <v>6</v>
      </c>
      <c r="G3327" s="1">
        <v>0.32995015408451017</v>
      </c>
      <c r="H3327" s="1" t="s">
        <v>0</v>
      </c>
    </row>
    <row r="3328" spans="1:8" x14ac:dyDescent="0.25">
      <c r="A3328" s="1">
        <v>2016</v>
      </c>
      <c r="B3328" s="1">
        <v>263</v>
      </c>
      <c r="C3328" s="15">
        <v>42632</v>
      </c>
      <c r="D3328" s="16">
        <v>0.54027777777777775</v>
      </c>
      <c r="E3328" s="1">
        <v>30</v>
      </c>
      <c r="F3328" s="1">
        <v>7</v>
      </c>
      <c r="G3328" s="1">
        <v>0.33294983170413639</v>
      </c>
      <c r="H3328" s="1" t="s">
        <v>143</v>
      </c>
    </row>
    <row r="3329" spans="1:8" x14ac:dyDescent="0.25">
      <c r="A3329" s="1">
        <v>2016</v>
      </c>
      <c r="B3329" s="1">
        <v>263</v>
      </c>
      <c r="C3329" s="15">
        <v>42632</v>
      </c>
      <c r="D3329" s="16">
        <v>0.5083333333333333</v>
      </c>
      <c r="E3329" s="1">
        <v>30</v>
      </c>
      <c r="F3329" s="1">
        <v>8</v>
      </c>
      <c r="G3329" s="1">
        <v>0.31854679946944281</v>
      </c>
      <c r="H3329" s="1" t="s">
        <v>143</v>
      </c>
    </row>
    <row r="3330" spans="1:8" x14ac:dyDescent="0.25">
      <c r="A3330" s="1">
        <v>2016</v>
      </c>
      <c r="B3330" s="1">
        <v>263</v>
      </c>
      <c r="C3330" s="15">
        <v>42632</v>
      </c>
      <c r="D3330" s="16">
        <v>0.50138888888888888</v>
      </c>
      <c r="E3330" s="1">
        <v>30</v>
      </c>
      <c r="F3330" s="1">
        <v>9</v>
      </c>
      <c r="G3330" s="1">
        <v>0.30627330936165947</v>
      </c>
      <c r="H3330" s="1" t="s">
        <v>143</v>
      </c>
    </row>
    <row r="3331" spans="1:8" x14ac:dyDescent="0.25">
      <c r="A3331" s="1">
        <v>2016</v>
      </c>
      <c r="B3331" s="1">
        <v>263</v>
      </c>
      <c r="C3331" s="15">
        <v>42632</v>
      </c>
      <c r="D3331" s="16">
        <v>0.49444444444444446</v>
      </c>
      <c r="E3331" s="1">
        <v>30</v>
      </c>
      <c r="F3331" s="1">
        <v>10</v>
      </c>
      <c r="G3331" s="1">
        <v>0.32319515486474137</v>
      </c>
      <c r="H3331" s="1" t="s">
        <v>143</v>
      </c>
    </row>
    <row r="3332" spans="1:8" x14ac:dyDescent="0.25">
      <c r="A3332" s="1">
        <v>2016</v>
      </c>
      <c r="B3332" s="1">
        <v>263</v>
      </c>
      <c r="C3332" s="15">
        <v>42632</v>
      </c>
      <c r="D3332" s="16">
        <v>0.3611111111111111</v>
      </c>
      <c r="E3332" s="1">
        <v>30</v>
      </c>
      <c r="F3332" s="1">
        <v>11</v>
      </c>
      <c r="G3332" s="1">
        <v>0.29331287018067925</v>
      </c>
      <c r="H3332" s="1" t="s">
        <v>144</v>
      </c>
    </row>
    <row r="3333" spans="1:8" x14ac:dyDescent="0.25">
      <c r="A3333" s="1">
        <v>2016</v>
      </c>
      <c r="B3333" s="1">
        <v>263</v>
      </c>
      <c r="C3333" s="15">
        <v>42632</v>
      </c>
      <c r="D3333" s="16">
        <v>0.36874999999999997</v>
      </c>
      <c r="E3333" s="1">
        <v>30</v>
      </c>
      <c r="F3333" s="1">
        <v>12</v>
      </c>
      <c r="G3333" s="1">
        <v>0.26024772145747183</v>
      </c>
      <c r="H3333" s="1" t="s">
        <v>144</v>
      </c>
    </row>
    <row r="3334" spans="1:8" x14ac:dyDescent="0.25">
      <c r="A3334" s="1">
        <v>2016</v>
      </c>
      <c r="B3334" s="1">
        <v>263</v>
      </c>
      <c r="C3334" s="15">
        <v>42632</v>
      </c>
      <c r="D3334" s="16">
        <v>0.37708333333333338</v>
      </c>
      <c r="E3334" s="1">
        <v>30</v>
      </c>
      <c r="F3334" s="1">
        <v>13</v>
      </c>
      <c r="G3334" s="1">
        <v>0.20996304929946386</v>
      </c>
      <c r="H3334" s="1" t="s">
        <v>144</v>
      </c>
    </row>
    <row r="3335" spans="1:8" x14ac:dyDescent="0.25">
      <c r="A3335" s="1">
        <v>2016</v>
      </c>
      <c r="B3335" s="1">
        <v>263</v>
      </c>
      <c r="C3335" s="15">
        <v>42632</v>
      </c>
      <c r="D3335" s="16">
        <v>0.34861111111111115</v>
      </c>
      <c r="E3335" s="1">
        <v>30</v>
      </c>
      <c r="F3335" s="1">
        <v>14</v>
      </c>
      <c r="G3335" s="1">
        <v>0.21399315052888523</v>
      </c>
      <c r="H3335" s="1" t="s">
        <v>144</v>
      </c>
    </row>
    <row r="3336" spans="1:8" x14ac:dyDescent="0.25">
      <c r="A3336" s="1">
        <v>2016</v>
      </c>
      <c r="B3336" s="1">
        <v>263</v>
      </c>
      <c r="C3336" s="15">
        <v>42632</v>
      </c>
      <c r="D3336" s="16">
        <v>0.34166666666666662</v>
      </c>
      <c r="E3336" s="1">
        <v>30</v>
      </c>
      <c r="F3336" s="1">
        <v>15</v>
      </c>
      <c r="G3336" s="1">
        <v>0.33153013695286293</v>
      </c>
      <c r="H3336" s="1" t="s">
        <v>1</v>
      </c>
    </row>
    <row r="3337" spans="1:8" x14ac:dyDescent="0.25">
      <c r="A3337" s="1">
        <v>2016</v>
      </c>
      <c r="B3337" s="1">
        <v>263</v>
      </c>
      <c r="C3337" s="15">
        <v>42632</v>
      </c>
      <c r="D3337" s="16">
        <v>0.33680555555555558</v>
      </c>
      <c r="E3337" s="1">
        <v>30</v>
      </c>
      <c r="F3337" s="1">
        <v>16</v>
      </c>
      <c r="G3337" s="1">
        <v>0.32873654405519581</v>
      </c>
      <c r="H3337" s="1" t="s">
        <v>1</v>
      </c>
    </row>
    <row r="3338" spans="1:8" x14ac:dyDescent="0.25">
      <c r="A3338" s="1">
        <v>2016</v>
      </c>
      <c r="B3338" s="1">
        <v>263</v>
      </c>
      <c r="C3338" s="15">
        <v>42632</v>
      </c>
      <c r="D3338" s="16">
        <v>0.32708333333333334</v>
      </c>
      <c r="E3338" s="1">
        <v>30</v>
      </c>
      <c r="F3338" s="1">
        <v>17</v>
      </c>
      <c r="G3338" s="1">
        <v>0.32411108696233715</v>
      </c>
      <c r="H3338" s="1" t="s">
        <v>144</v>
      </c>
    </row>
    <row r="3339" spans="1:8" x14ac:dyDescent="0.25">
      <c r="A3339" s="1">
        <v>2016</v>
      </c>
      <c r="B3339" s="1">
        <v>263</v>
      </c>
      <c r="C3339" s="15">
        <v>42632</v>
      </c>
      <c r="D3339" s="16">
        <v>0.30624999999999997</v>
      </c>
      <c r="E3339" s="1">
        <v>30</v>
      </c>
      <c r="F3339" s="1">
        <v>18</v>
      </c>
      <c r="G3339" s="1">
        <v>0.28880190460002003</v>
      </c>
      <c r="H3339" s="1" t="s">
        <v>144</v>
      </c>
    </row>
    <row r="3340" spans="1:8" x14ac:dyDescent="0.25">
      <c r="A3340" s="1">
        <v>2016</v>
      </c>
      <c r="B3340" s="1">
        <v>263</v>
      </c>
      <c r="C3340" s="15">
        <v>42632</v>
      </c>
      <c r="D3340" s="16">
        <v>0.30208333333333331</v>
      </c>
      <c r="E3340" s="1">
        <v>30</v>
      </c>
      <c r="F3340" s="1">
        <v>19</v>
      </c>
      <c r="G3340" s="1">
        <v>0.30831125827881006</v>
      </c>
      <c r="H3340" s="1" t="s">
        <v>144</v>
      </c>
    </row>
    <row r="3341" spans="1:8" x14ac:dyDescent="0.25">
      <c r="A3341" s="1">
        <v>2016</v>
      </c>
      <c r="B3341" s="1">
        <v>263</v>
      </c>
      <c r="C3341" s="15">
        <v>42632</v>
      </c>
      <c r="D3341" s="16">
        <v>0.29444444444444445</v>
      </c>
      <c r="E3341" s="1">
        <v>30</v>
      </c>
      <c r="F3341" s="1">
        <v>20</v>
      </c>
      <c r="G3341" s="1">
        <v>0.29132071786840846</v>
      </c>
      <c r="H3341" s="1" t="s">
        <v>144</v>
      </c>
    </row>
    <row r="3342" spans="1:8" x14ac:dyDescent="0.25">
      <c r="A3342" s="1">
        <v>2016</v>
      </c>
      <c r="B3342" s="1">
        <v>263</v>
      </c>
      <c r="C3342" s="15">
        <v>42632</v>
      </c>
      <c r="D3342" s="16">
        <v>0.52847222222222223</v>
      </c>
      <c r="E3342" s="1">
        <v>10</v>
      </c>
      <c r="F3342" s="1">
        <v>1</v>
      </c>
      <c r="G3342" s="1">
        <v>0.24024679847743458</v>
      </c>
      <c r="H3342" s="1" t="s">
        <v>143</v>
      </c>
    </row>
    <row r="3343" spans="1:8" x14ac:dyDescent="0.25">
      <c r="A3343" s="1">
        <v>2016</v>
      </c>
      <c r="B3343" s="1">
        <v>263</v>
      </c>
      <c r="C3343" s="15">
        <v>42632</v>
      </c>
      <c r="D3343" s="16">
        <v>0.53541666666666665</v>
      </c>
      <c r="E3343" s="1">
        <v>10</v>
      </c>
      <c r="F3343" s="1">
        <v>2</v>
      </c>
      <c r="G3343" s="1">
        <v>0.26138471769006988</v>
      </c>
      <c r="H3343" s="1" t="s">
        <v>143</v>
      </c>
    </row>
    <row r="3344" spans="1:8" x14ac:dyDescent="0.25">
      <c r="A3344" s="1">
        <v>2016</v>
      </c>
      <c r="B3344" s="1">
        <v>263</v>
      </c>
      <c r="C3344" s="15">
        <v>42632</v>
      </c>
      <c r="D3344" s="16">
        <v>0.5493055555555556</v>
      </c>
      <c r="E3344" s="1">
        <v>10</v>
      </c>
      <c r="F3344" s="1">
        <v>3</v>
      </c>
      <c r="G3344" s="1">
        <v>0.22854613539240054</v>
      </c>
      <c r="H3344" s="1" t="s">
        <v>143</v>
      </c>
    </row>
    <row r="3345" spans="1:8" x14ac:dyDescent="0.25">
      <c r="A3345" s="1">
        <v>2016</v>
      </c>
      <c r="B3345" s="1">
        <v>263</v>
      </c>
      <c r="C3345" s="15">
        <v>42632</v>
      </c>
      <c r="D3345" s="16">
        <v>0.52152777777777781</v>
      </c>
      <c r="E3345" s="1">
        <v>10</v>
      </c>
      <c r="F3345" s="1">
        <v>4</v>
      </c>
      <c r="G3345" s="1">
        <v>0.23754221897745131</v>
      </c>
      <c r="H3345" s="1" t="s">
        <v>143</v>
      </c>
    </row>
    <row r="3346" spans="1:8" x14ac:dyDescent="0.25">
      <c r="A3346" s="1">
        <v>2016</v>
      </c>
      <c r="B3346" s="1">
        <v>263</v>
      </c>
      <c r="C3346" s="15">
        <v>42632</v>
      </c>
      <c r="D3346" s="16">
        <v>0.51597222222222217</v>
      </c>
      <c r="E3346" s="1">
        <v>10</v>
      </c>
      <c r="F3346" s="1">
        <v>5</v>
      </c>
      <c r="G3346" s="1">
        <v>0.22302188790307298</v>
      </c>
      <c r="H3346" s="1" t="s">
        <v>0</v>
      </c>
    </row>
    <row r="3347" spans="1:8" x14ac:dyDescent="0.25">
      <c r="A3347" s="1">
        <v>2016</v>
      </c>
      <c r="B3347" s="1">
        <v>263</v>
      </c>
      <c r="C3347" s="15">
        <v>42632</v>
      </c>
      <c r="D3347" s="16">
        <v>0.52083333333333337</v>
      </c>
      <c r="E3347" s="1">
        <v>10</v>
      </c>
      <c r="F3347" s="1">
        <v>6</v>
      </c>
      <c r="G3347" s="1">
        <v>0.23988235159445814</v>
      </c>
      <c r="H3347" s="1" t="s">
        <v>0</v>
      </c>
    </row>
    <row r="3348" spans="1:8" x14ac:dyDescent="0.25">
      <c r="A3348" s="1">
        <v>2016</v>
      </c>
      <c r="B3348" s="1">
        <v>263</v>
      </c>
      <c r="C3348" s="15">
        <v>42632</v>
      </c>
      <c r="D3348" s="16">
        <v>0.54027777777777775</v>
      </c>
      <c r="E3348" s="1">
        <v>10</v>
      </c>
      <c r="F3348" s="1">
        <v>7</v>
      </c>
      <c r="G3348" s="1">
        <v>0.28701108798778385</v>
      </c>
      <c r="H3348" s="1" t="s">
        <v>143</v>
      </c>
    </row>
    <row r="3349" spans="1:8" x14ac:dyDescent="0.25">
      <c r="A3349" s="1">
        <v>2016</v>
      </c>
      <c r="B3349" s="1">
        <v>263</v>
      </c>
      <c r="C3349" s="15">
        <v>42632</v>
      </c>
      <c r="D3349" s="16">
        <v>0.5083333333333333</v>
      </c>
      <c r="E3349" s="1">
        <v>10</v>
      </c>
      <c r="F3349" s="1">
        <v>8</v>
      </c>
      <c r="G3349" s="1">
        <v>0.23911509499871819</v>
      </c>
      <c r="H3349" s="1" t="s">
        <v>143</v>
      </c>
    </row>
    <row r="3350" spans="1:8" x14ac:dyDescent="0.25">
      <c r="A3350" s="1">
        <v>2016</v>
      </c>
      <c r="B3350" s="1">
        <v>263</v>
      </c>
      <c r="C3350" s="15">
        <v>42632</v>
      </c>
      <c r="D3350" s="16">
        <v>0.50138888888888888</v>
      </c>
      <c r="E3350" s="1">
        <v>10</v>
      </c>
      <c r="F3350" s="1">
        <v>9</v>
      </c>
      <c r="G3350" s="1">
        <v>0.25302162079650459</v>
      </c>
      <c r="H3350" s="1" t="s">
        <v>143</v>
      </c>
    </row>
    <row r="3351" spans="1:8" x14ac:dyDescent="0.25">
      <c r="A3351" s="1">
        <v>2016</v>
      </c>
      <c r="B3351" s="1">
        <v>263</v>
      </c>
      <c r="C3351" s="15">
        <v>42632</v>
      </c>
      <c r="D3351" s="16">
        <v>0.49444444444444446</v>
      </c>
      <c r="E3351" s="1">
        <v>10</v>
      </c>
      <c r="F3351" s="1">
        <v>10</v>
      </c>
      <c r="G3351" s="1">
        <v>0.26251642116878632</v>
      </c>
      <c r="H3351" s="1" t="s">
        <v>143</v>
      </c>
    </row>
    <row r="3352" spans="1:8" x14ac:dyDescent="0.25">
      <c r="A3352" s="1">
        <v>2016</v>
      </c>
      <c r="B3352" s="1">
        <v>263</v>
      </c>
      <c r="C3352" s="15">
        <v>42632</v>
      </c>
      <c r="D3352" s="16">
        <v>0.3611111111111111</v>
      </c>
      <c r="E3352" s="1">
        <v>10</v>
      </c>
      <c r="F3352" s="1">
        <v>11</v>
      </c>
      <c r="G3352" s="1">
        <v>0.20462691102020797</v>
      </c>
      <c r="H3352" s="1" t="s">
        <v>144</v>
      </c>
    </row>
    <row r="3353" spans="1:8" x14ac:dyDescent="0.25">
      <c r="A3353" s="1">
        <v>2016</v>
      </c>
      <c r="B3353" s="1">
        <v>263</v>
      </c>
      <c r="C3353" s="15">
        <v>42632</v>
      </c>
      <c r="D3353" s="16">
        <v>0.36874999999999997</v>
      </c>
      <c r="E3353" s="1">
        <v>10</v>
      </c>
      <c r="F3353" s="1">
        <v>12</v>
      </c>
      <c r="G3353" s="1">
        <v>0.19033675692455165</v>
      </c>
      <c r="H3353" s="1" t="s">
        <v>144</v>
      </c>
    </row>
    <row r="3354" spans="1:8" x14ac:dyDescent="0.25">
      <c r="A3354" s="1">
        <v>2016</v>
      </c>
      <c r="B3354" s="1">
        <v>263</v>
      </c>
      <c r="C3354" s="15">
        <v>42632</v>
      </c>
      <c r="D3354" s="16">
        <v>0.37708333333333338</v>
      </c>
      <c r="E3354" s="1">
        <v>10</v>
      </c>
      <c r="F3354" s="1">
        <v>13</v>
      </c>
      <c r="G3354" s="1">
        <v>0.22424949845625691</v>
      </c>
      <c r="H3354" s="1" t="s">
        <v>144</v>
      </c>
    </row>
    <row r="3355" spans="1:8" x14ac:dyDescent="0.25">
      <c r="A3355" s="1">
        <v>2016</v>
      </c>
      <c r="B3355" s="1">
        <v>263</v>
      </c>
      <c r="C3355" s="15">
        <v>42632</v>
      </c>
      <c r="D3355" s="16">
        <v>0.34861111111111115</v>
      </c>
      <c r="E3355" s="1">
        <v>10</v>
      </c>
      <c r="F3355" s="1">
        <v>14</v>
      </c>
      <c r="G3355" s="1">
        <v>0.2255538346690148</v>
      </c>
      <c r="H3355" s="1" t="s">
        <v>144</v>
      </c>
    </row>
    <row r="3356" spans="1:8" x14ac:dyDescent="0.25">
      <c r="A3356" s="1">
        <v>2016</v>
      </c>
      <c r="B3356" s="1">
        <v>263</v>
      </c>
      <c r="C3356" s="15">
        <v>42632</v>
      </c>
      <c r="D3356" s="16">
        <v>0.34166666666666662</v>
      </c>
      <c r="E3356" s="1">
        <v>10</v>
      </c>
      <c r="F3356" s="1">
        <v>15</v>
      </c>
      <c r="G3356" s="1">
        <v>0.26006120006241851</v>
      </c>
      <c r="H3356" s="1" t="s">
        <v>1</v>
      </c>
    </row>
    <row r="3357" spans="1:8" x14ac:dyDescent="0.25">
      <c r="A3357" s="1">
        <v>2016</v>
      </c>
      <c r="B3357" s="1">
        <v>263</v>
      </c>
      <c r="C3357" s="15">
        <v>42632</v>
      </c>
      <c r="D3357" s="16">
        <v>0.33680555555555558</v>
      </c>
      <c r="E3357" s="1">
        <v>10</v>
      </c>
      <c r="F3357" s="1">
        <v>16</v>
      </c>
      <c r="G3357" s="1">
        <v>0.24870580244546742</v>
      </c>
      <c r="H3357" s="1" t="s">
        <v>1</v>
      </c>
    </row>
    <row r="3358" spans="1:8" x14ac:dyDescent="0.25">
      <c r="A3358" s="1">
        <v>2016</v>
      </c>
      <c r="B3358" s="1">
        <v>263</v>
      </c>
      <c r="C3358" s="15">
        <v>42632</v>
      </c>
      <c r="D3358" s="16">
        <v>0.32708333333333334</v>
      </c>
      <c r="E3358" s="1">
        <v>10</v>
      </c>
      <c r="F3358" s="1">
        <v>17</v>
      </c>
      <c r="G3358" s="1">
        <v>0.23744631190298382</v>
      </c>
      <c r="H3358" s="1" t="s">
        <v>144</v>
      </c>
    </row>
    <row r="3359" spans="1:8" x14ac:dyDescent="0.25">
      <c r="A3359" s="1">
        <v>2016</v>
      </c>
      <c r="B3359" s="1">
        <v>263</v>
      </c>
      <c r="C3359" s="15">
        <v>42632</v>
      </c>
      <c r="D3359" s="16">
        <v>0.30624999999999997</v>
      </c>
      <c r="E3359" s="1">
        <v>10</v>
      </c>
      <c r="F3359" s="1">
        <v>18</v>
      </c>
      <c r="G3359" s="1">
        <v>0.22083520660521416</v>
      </c>
      <c r="H3359" s="1" t="s">
        <v>144</v>
      </c>
    </row>
    <row r="3360" spans="1:8" x14ac:dyDescent="0.25">
      <c r="A3360" s="1">
        <v>2016</v>
      </c>
      <c r="B3360" s="1">
        <v>263</v>
      </c>
      <c r="C3360" s="15">
        <v>42632</v>
      </c>
      <c r="D3360" s="16">
        <v>0.30208333333333331</v>
      </c>
      <c r="E3360" s="1">
        <v>10</v>
      </c>
      <c r="F3360" s="1">
        <v>19</v>
      </c>
      <c r="G3360" s="1">
        <v>0.24076469667955908</v>
      </c>
      <c r="H3360" s="1" t="s">
        <v>144</v>
      </c>
    </row>
    <row r="3361" spans="1:8" x14ac:dyDescent="0.25">
      <c r="A3361" s="1">
        <v>2016</v>
      </c>
      <c r="B3361" s="1">
        <v>263</v>
      </c>
      <c r="C3361" s="15">
        <v>42632</v>
      </c>
      <c r="D3361" s="16">
        <v>0.29444444444444445</v>
      </c>
      <c r="E3361" s="1">
        <v>10</v>
      </c>
      <c r="F3361" s="1">
        <v>20</v>
      </c>
      <c r="G3361" s="1">
        <v>0.23598852437107798</v>
      </c>
      <c r="H3361" s="1" t="s">
        <v>144</v>
      </c>
    </row>
    <row r="3362" spans="1:8" x14ac:dyDescent="0.25">
      <c r="A3362" s="1">
        <v>2016</v>
      </c>
      <c r="B3362" s="1">
        <v>270</v>
      </c>
      <c r="C3362" s="15">
        <v>42639</v>
      </c>
      <c r="D3362" s="16">
        <v>0.3979166666666667</v>
      </c>
      <c r="E3362" s="1">
        <v>230</v>
      </c>
      <c r="F3362" s="1">
        <v>1</v>
      </c>
      <c r="G3362" s="1">
        <v>0.28929237567016292</v>
      </c>
      <c r="H3362" s="1" t="s">
        <v>143</v>
      </c>
    </row>
    <row r="3363" spans="1:8" x14ac:dyDescent="0.25">
      <c r="A3363" s="1">
        <v>2016</v>
      </c>
      <c r="B3363" s="1">
        <v>270</v>
      </c>
      <c r="C3363" s="15">
        <v>42639</v>
      </c>
      <c r="D3363" s="16">
        <v>0.38958333333333334</v>
      </c>
      <c r="E3363" s="1">
        <v>230</v>
      </c>
      <c r="F3363" s="1">
        <v>2</v>
      </c>
      <c r="G3363" s="1">
        <v>0.29361349579232482</v>
      </c>
      <c r="H3363" s="1" t="s">
        <v>143</v>
      </c>
    </row>
    <row r="3364" spans="1:8" x14ac:dyDescent="0.25">
      <c r="A3364" s="1">
        <v>2016</v>
      </c>
      <c r="B3364" s="1">
        <v>270</v>
      </c>
      <c r="C3364" s="15">
        <v>42639</v>
      </c>
      <c r="D3364" s="16">
        <v>0.41388888888888892</v>
      </c>
      <c r="E3364" s="1">
        <v>230</v>
      </c>
      <c r="F3364" s="1">
        <v>3</v>
      </c>
      <c r="G3364" s="1">
        <v>0.25838274164316688</v>
      </c>
      <c r="H3364" s="1" t="s">
        <v>143</v>
      </c>
    </row>
    <row r="3365" spans="1:8" x14ac:dyDescent="0.25">
      <c r="A3365" s="1">
        <v>2016</v>
      </c>
      <c r="B3365" s="1">
        <v>270</v>
      </c>
      <c r="C3365" s="15">
        <v>42639</v>
      </c>
      <c r="D3365" s="16">
        <v>0.4069444444444445</v>
      </c>
      <c r="E3365" s="1">
        <v>230</v>
      </c>
      <c r="F3365" s="1">
        <v>4</v>
      </c>
      <c r="G3365" s="1">
        <v>0.26620747267518979</v>
      </c>
      <c r="H3365" s="1" t="s">
        <v>143</v>
      </c>
    </row>
    <row r="3366" spans="1:8" x14ac:dyDescent="0.25">
      <c r="A3366" s="1">
        <v>2016</v>
      </c>
      <c r="B3366" s="1">
        <v>270</v>
      </c>
      <c r="C3366" s="15">
        <v>42639</v>
      </c>
      <c r="D3366" s="16">
        <v>0.41666666666666669</v>
      </c>
      <c r="E3366" s="1">
        <v>230</v>
      </c>
      <c r="F3366" s="1">
        <v>5</v>
      </c>
      <c r="G3366" s="1" t="e">
        <v>#N/A</v>
      </c>
      <c r="H3366" s="1" t="s">
        <v>0</v>
      </c>
    </row>
    <row r="3367" spans="1:8" x14ac:dyDescent="0.25">
      <c r="A3367" s="1">
        <v>2016</v>
      </c>
      <c r="B3367" s="1">
        <v>270</v>
      </c>
      <c r="C3367" s="15">
        <v>42639</v>
      </c>
      <c r="D3367" s="16">
        <v>0.43055555555555558</v>
      </c>
      <c r="E3367" s="1">
        <v>230</v>
      </c>
      <c r="F3367" s="1">
        <v>6</v>
      </c>
      <c r="G3367" s="1" t="e">
        <v>#N/A</v>
      </c>
      <c r="H3367" s="1" t="s">
        <v>0</v>
      </c>
    </row>
    <row r="3368" spans="1:8" x14ac:dyDescent="0.25">
      <c r="A3368" s="1">
        <v>2016</v>
      </c>
      <c r="B3368" s="1">
        <v>270</v>
      </c>
      <c r="C3368" s="15">
        <v>42639</v>
      </c>
      <c r="D3368" s="16">
        <v>0.4375</v>
      </c>
      <c r="E3368" s="1">
        <v>230</v>
      </c>
      <c r="F3368" s="1">
        <v>7</v>
      </c>
      <c r="G3368" s="1">
        <v>0.2566309361882364</v>
      </c>
      <c r="H3368" s="1" t="s">
        <v>143</v>
      </c>
    </row>
    <row r="3369" spans="1:8" x14ac:dyDescent="0.25">
      <c r="A3369" s="1">
        <v>2016</v>
      </c>
      <c r="B3369" s="1">
        <v>270</v>
      </c>
      <c r="C3369" s="15">
        <v>42639</v>
      </c>
      <c r="D3369" s="16">
        <v>0.4458333333333333</v>
      </c>
      <c r="E3369" s="1">
        <v>230</v>
      </c>
      <c r="F3369" s="1">
        <v>8</v>
      </c>
      <c r="G3369" s="1">
        <v>0.30655739165375573</v>
      </c>
      <c r="H3369" s="1" t="s">
        <v>143</v>
      </c>
    </row>
    <row r="3370" spans="1:8" x14ac:dyDescent="0.25">
      <c r="A3370" s="1">
        <v>2016</v>
      </c>
      <c r="B3370" s="1">
        <v>270</v>
      </c>
      <c r="C3370" s="15">
        <v>42639</v>
      </c>
      <c r="D3370" s="16">
        <v>0.45277777777777778</v>
      </c>
      <c r="E3370" s="1">
        <v>230</v>
      </c>
      <c r="F3370" s="1">
        <v>9</v>
      </c>
      <c r="G3370" s="1">
        <v>0.29935552478348593</v>
      </c>
      <c r="H3370" s="1" t="s">
        <v>143</v>
      </c>
    </row>
    <row r="3371" spans="1:8" x14ac:dyDescent="0.25">
      <c r="A3371" s="1">
        <v>2016</v>
      </c>
      <c r="B3371" s="1">
        <v>270</v>
      </c>
      <c r="C3371" s="15">
        <v>42639</v>
      </c>
      <c r="D3371" s="16">
        <v>0.4597222222222222</v>
      </c>
      <c r="E3371" s="1">
        <v>230</v>
      </c>
      <c r="F3371" s="1">
        <v>10</v>
      </c>
      <c r="G3371" s="1">
        <v>0.25230981606607444</v>
      </c>
      <c r="H3371" s="1" t="s">
        <v>143</v>
      </c>
    </row>
    <row r="3372" spans="1:8" x14ac:dyDescent="0.25">
      <c r="A3372" s="1">
        <v>2016</v>
      </c>
      <c r="B3372" s="1">
        <v>270</v>
      </c>
      <c r="C3372" s="15">
        <v>42639</v>
      </c>
      <c r="D3372" s="16">
        <v>0.57708333333333328</v>
      </c>
      <c r="E3372" s="1">
        <v>230</v>
      </c>
      <c r="F3372" s="1">
        <v>11</v>
      </c>
      <c r="G3372" s="1">
        <v>0.28841647294269762</v>
      </c>
      <c r="H3372" s="1" t="s">
        <v>144</v>
      </c>
    </row>
    <row r="3373" spans="1:8" x14ac:dyDescent="0.25">
      <c r="A3373" s="1">
        <v>2016</v>
      </c>
      <c r="B3373" s="1">
        <v>270</v>
      </c>
      <c r="C3373" s="15">
        <v>42639</v>
      </c>
      <c r="D3373" s="16">
        <v>0.58402777777777781</v>
      </c>
      <c r="E3373" s="1">
        <v>230</v>
      </c>
      <c r="F3373" s="1">
        <v>12</v>
      </c>
      <c r="G3373" s="1">
        <v>0.28411481732559052</v>
      </c>
      <c r="H3373" s="1" t="s">
        <v>144</v>
      </c>
    </row>
    <row r="3374" spans="1:8" x14ac:dyDescent="0.25">
      <c r="A3374" s="1">
        <v>2016</v>
      </c>
      <c r="B3374" s="1">
        <v>270</v>
      </c>
      <c r="C3374" s="15">
        <v>42639</v>
      </c>
      <c r="D3374" s="16">
        <v>0.59097222222222223</v>
      </c>
      <c r="E3374" s="1">
        <v>230</v>
      </c>
      <c r="F3374" s="1">
        <v>13</v>
      </c>
      <c r="G3374" s="1">
        <v>0.27866475591025114</v>
      </c>
      <c r="H3374" s="1" t="s">
        <v>144</v>
      </c>
    </row>
    <row r="3375" spans="1:8" x14ac:dyDescent="0.25">
      <c r="A3375" s="1">
        <v>2016</v>
      </c>
      <c r="B3375" s="1">
        <v>270</v>
      </c>
      <c r="C3375" s="15">
        <v>42639</v>
      </c>
      <c r="D3375" s="16">
        <v>0.57013888888888886</v>
      </c>
      <c r="E3375" s="1">
        <v>230</v>
      </c>
      <c r="F3375" s="1">
        <v>14</v>
      </c>
      <c r="G3375" s="1">
        <v>0.27120985047426915</v>
      </c>
      <c r="H3375" s="1" t="s">
        <v>144</v>
      </c>
    </row>
    <row r="3376" spans="1:8" x14ac:dyDescent="0.25">
      <c r="A3376" s="1">
        <v>2016</v>
      </c>
      <c r="B3376" s="1">
        <v>270</v>
      </c>
      <c r="C3376" s="15">
        <v>42639</v>
      </c>
      <c r="D3376" s="16">
        <v>0.5625</v>
      </c>
      <c r="E3376" s="1">
        <v>230</v>
      </c>
      <c r="F3376" s="1">
        <v>15</v>
      </c>
      <c r="G3376" s="1" t="e">
        <v>#N/A</v>
      </c>
      <c r="H3376" s="1" t="s">
        <v>1</v>
      </c>
    </row>
    <row r="3377" spans="1:8" x14ac:dyDescent="0.25">
      <c r="A3377" s="1">
        <v>2016</v>
      </c>
      <c r="B3377" s="1">
        <v>270</v>
      </c>
      <c r="C3377" s="15">
        <v>42639</v>
      </c>
      <c r="D3377" s="16">
        <v>0.56319444444444444</v>
      </c>
      <c r="E3377" s="1">
        <v>230</v>
      </c>
      <c r="F3377" s="1">
        <v>16</v>
      </c>
      <c r="G3377" s="1" t="e">
        <v>#N/A</v>
      </c>
      <c r="H3377" s="1" t="s">
        <v>1</v>
      </c>
    </row>
    <row r="3378" spans="1:8" x14ac:dyDescent="0.25">
      <c r="A3378" s="1">
        <v>2016</v>
      </c>
      <c r="B3378" s="1">
        <v>270</v>
      </c>
      <c r="C3378" s="15">
        <v>42639</v>
      </c>
      <c r="D3378" s="16">
        <v>0.5493055555555556</v>
      </c>
      <c r="E3378" s="1">
        <v>230</v>
      </c>
      <c r="F3378" s="1">
        <v>17</v>
      </c>
      <c r="G3378" s="1">
        <v>0.29067435552905252</v>
      </c>
      <c r="H3378" s="1" t="s">
        <v>144</v>
      </c>
    </row>
    <row r="3379" spans="1:8" x14ac:dyDescent="0.25">
      <c r="A3379" s="1">
        <v>2016</v>
      </c>
      <c r="B3379" s="1">
        <v>270</v>
      </c>
      <c r="C3379" s="15">
        <v>42639</v>
      </c>
      <c r="D3379" s="16">
        <v>0.54166666666666663</v>
      </c>
      <c r="E3379" s="1">
        <v>230</v>
      </c>
      <c r="F3379" s="1">
        <v>18</v>
      </c>
      <c r="G3379" s="1">
        <v>0.28944809171060115</v>
      </c>
      <c r="H3379" s="1" t="s">
        <v>144</v>
      </c>
    </row>
    <row r="3380" spans="1:8" x14ac:dyDescent="0.25">
      <c r="A3380" s="1">
        <v>2016</v>
      </c>
      <c r="B3380" s="1">
        <v>270</v>
      </c>
      <c r="C3380" s="15">
        <v>42639</v>
      </c>
      <c r="D3380" s="16">
        <v>0.5395833333333333</v>
      </c>
      <c r="E3380" s="1">
        <v>230</v>
      </c>
      <c r="F3380" s="1">
        <v>19</v>
      </c>
      <c r="G3380" s="1">
        <v>0.27665991188960848</v>
      </c>
      <c r="H3380" s="1" t="s">
        <v>144</v>
      </c>
    </row>
    <row r="3381" spans="1:8" x14ac:dyDescent="0.25">
      <c r="A3381" s="1">
        <v>2016</v>
      </c>
      <c r="B3381" s="1">
        <v>270</v>
      </c>
      <c r="C3381" s="15">
        <v>42639</v>
      </c>
      <c r="D3381" s="16">
        <v>0.53125</v>
      </c>
      <c r="E3381" s="1">
        <v>230</v>
      </c>
      <c r="F3381" s="1">
        <v>20</v>
      </c>
      <c r="G3381" s="1">
        <v>0.29197847736772298</v>
      </c>
      <c r="H3381" s="1" t="s">
        <v>144</v>
      </c>
    </row>
    <row r="3382" spans="1:8" x14ac:dyDescent="0.25">
      <c r="A3382" s="1">
        <v>2016</v>
      </c>
      <c r="B3382" s="1">
        <v>270</v>
      </c>
      <c r="C3382" s="15">
        <v>42639</v>
      </c>
      <c r="D3382" s="16">
        <v>0.3979166666666667</v>
      </c>
      <c r="E3382" s="1">
        <v>210</v>
      </c>
      <c r="F3382" s="1">
        <v>1</v>
      </c>
      <c r="G3382" s="1">
        <v>0.28977898829653248</v>
      </c>
      <c r="H3382" s="1" t="s">
        <v>143</v>
      </c>
    </row>
    <row r="3383" spans="1:8" x14ac:dyDescent="0.25">
      <c r="A3383" s="1">
        <v>2016</v>
      </c>
      <c r="B3383" s="1">
        <v>270</v>
      </c>
      <c r="C3383" s="15">
        <v>42639</v>
      </c>
      <c r="D3383" s="16">
        <v>0.38958333333333334</v>
      </c>
      <c r="E3383" s="1">
        <v>210</v>
      </c>
      <c r="F3383" s="1">
        <v>2</v>
      </c>
      <c r="G3383" s="1">
        <v>0.28989577532686117</v>
      </c>
      <c r="H3383" s="1" t="s">
        <v>143</v>
      </c>
    </row>
    <row r="3384" spans="1:8" x14ac:dyDescent="0.25">
      <c r="A3384" s="1">
        <v>2016</v>
      </c>
      <c r="B3384" s="1">
        <v>270</v>
      </c>
      <c r="C3384" s="15">
        <v>42639</v>
      </c>
      <c r="D3384" s="16">
        <v>0.41388888888888892</v>
      </c>
      <c r="E3384" s="1">
        <v>210</v>
      </c>
      <c r="F3384" s="1">
        <v>3</v>
      </c>
      <c r="G3384" s="1">
        <v>0.25972579249194694</v>
      </c>
      <c r="H3384" s="1" t="s">
        <v>143</v>
      </c>
    </row>
    <row r="3385" spans="1:8" x14ac:dyDescent="0.25">
      <c r="A3385" s="1">
        <v>2016</v>
      </c>
      <c r="B3385" s="1">
        <v>270</v>
      </c>
      <c r="C3385" s="15">
        <v>42639</v>
      </c>
      <c r="D3385" s="16">
        <v>0.4069444444444445</v>
      </c>
      <c r="E3385" s="1">
        <v>210</v>
      </c>
      <c r="F3385" s="1">
        <v>4</v>
      </c>
      <c r="G3385" s="1">
        <v>0.27455774534369187</v>
      </c>
      <c r="H3385" s="1" t="s">
        <v>143</v>
      </c>
    </row>
    <row r="3386" spans="1:8" x14ac:dyDescent="0.25">
      <c r="A3386" s="1">
        <v>2016</v>
      </c>
      <c r="B3386" s="1">
        <v>270</v>
      </c>
      <c r="C3386" s="15">
        <v>42639</v>
      </c>
      <c r="D3386" s="16">
        <v>0.41666666666666669</v>
      </c>
      <c r="E3386" s="1">
        <v>210</v>
      </c>
      <c r="F3386" s="1">
        <v>5</v>
      </c>
      <c r="G3386" s="1" t="e">
        <v>#N/A</v>
      </c>
      <c r="H3386" s="1" t="s">
        <v>0</v>
      </c>
    </row>
    <row r="3387" spans="1:8" x14ac:dyDescent="0.25">
      <c r="A3387" s="1">
        <v>2016</v>
      </c>
      <c r="B3387" s="1">
        <v>270</v>
      </c>
      <c r="C3387" s="15">
        <v>42639</v>
      </c>
      <c r="D3387" s="16">
        <v>0.43055555555555558</v>
      </c>
      <c r="E3387" s="1">
        <v>210</v>
      </c>
      <c r="F3387" s="1">
        <v>6</v>
      </c>
      <c r="G3387" s="1" t="e">
        <v>#N/A</v>
      </c>
      <c r="H3387" s="1" t="s">
        <v>0</v>
      </c>
    </row>
    <row r="3388" spans="1:8" x14ac:dyDescent="0.25">
      <c r="A3388" s="1">
        <v>2016</v>
      </c>
      <c r="B3388" s="1">
        <v>270</v>
      </c>
      <c r="C3388" s="15">
        <v>42639</v>
      </c>
      <c r="D3388" s="16">
        <v>0.4375</v>
      </c>
      <c r="E3388" s="1">
        <v>210</v>
      </c>
      <c r="F3388" s="1">
        <v>7</v>
      </c>
      <c r="G3388" s="1">
        <v>0.25207624200541706</v>
      </c>
      <c r="H3388" s="1" t="s">
        <v>143</v>
      </c>
    </row>
    <row r="3389" spans="1:8" x14ac:dyDescent="0.25">
      <c r="A3389" s="1">
        <v>2016</v>
      </c>
      <c r="B3389" s="1">
        <v>270</v>
      </c>
      <c r="C3389" s="15">
        <v>42639</v>
      </c>
      <c r="D3389" s="16">
        <v>0.4458333333333333</v>
      </c>
      <c r="E3389" s="1">
        <v>210</v>
      </c>
      <c r="F3389" s="1">
        <v>8</v>
      </c>
      <c r="G3389" s="1">
        <v>0.29094685859981945</v>
      </c>
      <c r="H3389" s="1" t="s">
        <v>143</v>
      </c>
    </row>
    <row r="3390" spans="1:8" x14ac:dyDescent="0.25">
      <c r="A3390" s="1">
        <v>2016</v>
      </c>
      <c r="B3390" s="1">
        <v>270</v>
      </c>
      <c r="C3390" s="15">
        <v>42639</v>
      </c>
      <c r="D3390" s="16">
        <v>0.45277777777777778</v>
      </c>
      <c r="E3390" s="1">
        <v>210</v>
      </c>
      <c r="F3390" s="1">
        <v>9</v>
      </c>
      <c r="G3390" s="1">
        <v>0.27963798116299032</v>
      </c>
      <c r="H3390" s="1" t="s">
        <v>143</v>
      </c>
    </row>
    <row r="3391" spans="1:8" x14ac:dyDescent="0.25">
      <c r="A3391" s="1">
        <v>2016</v>
      </c>
      <c r="B3391" s="1">
        <v>270</v>
      </c>
      <c r="C3391" s="15">
        <v>42639</v>
      </c>
      <c r="D3391" s="16">
        <v>0.4597222222222222</v>
      </c>
      <c r="E3391" s="1">
        <v>210</v>
      </c>
      <c r="F3391" s="1">
        <v>10</v>
      </c>
      <c r="G3391" s="1">
        <v>0.25197891948014317</v>
      </c>
      <c r="H3391" s="1" t="s">
        <v>143</v>
      </c>
    </row>
    <row r="3392" spans="1:8" x14ac:dyDescent="0.25">
      <c r="A3392" s="1">
        <v>2016</v>
      </c>
      <c r="B3392" s="1">
        <v>270</v>
      </c>
      <c r="C3392" s="15">
        <v>42639</v>
      </c>
      <c r="D3392" s="16">
        <v>0.57708333333333328</v>
      </c>
      <c r="E3392" s="1">
        <v>210</v>
      </c>
      <c r="F3392" s="1">
        <v>11</v>
      </c>
      <c r="G3392" s="1">
        <v>0.29429475346924222</v>
      </c>
      <c r="H3392" s="1" t="s">
        <v>144</v>
      </c>
    </row>
    <row r="3393" spans="1:8" x14ac:dyDescent="0.25">
      <c r="A3393" s="1">
        <v>2016</v>
      </c>
      <c r="B3393" s="1">
        <v>270</v>
      </c>
      <c r="C3393" s="15">
        <v>42639</v>
      </c>
      <c r="D3393" s="16">
        <v>0.58402777777777781</v>
      </c>
      <c r="E3393" s="1">
        <v>210</v>
      </c>
      <c r="F3393" s="1">
        <v>12</v>
      </c>
      <c r="G3393" s="1">
        <v>0.30087375617775897</v>
      </c>
      <c r="H3393" s="1" t="s">
        <v>144</v>
      </c>
    </row>
    <row r="3394" spans="1:8" x14ac:dyDescent="0.25">
      <c r="A3394" s="1">
        <v>2016</v>
      </c>
      <c r="B3394" s="1">
        <v>270</v>
      </c>
      <c r="C3394" s="15">
        <v>42639</v>
      </c>
      <c r="D3394" s="16">
        <v>0.59097222222222223</v>
      </c>
      <c r="E3394" s="1">
        <v>210</v>
      </c>
      <c r="F3394" s="1">
        <v>13</v>
      </c>
      <c r="G3394" s="1">
        <v>0.28409535282053572</v>
      </c>
      <c r="H3394" s="1" t="s">
        <v>144</v>
      </c>
    </row>
    <row r="3395" spans="1:8" x14ac:dyDescent="0.25">
      <c r="A3395" s="1">
        <v>2016</v>
      </c>
      <c r="B3395" s="1">
        <v>270</v>
      </c>
      <c r="C3395" s="15">
        <v>42639</v>
      </c>
      <c r="D3395" s="16">
        <v>0.57013888888888886</v>
      </c>
      <c r="E3395" s="1">
        <v>210</v>
      </c>
      <c r="F3395" s="1">
        <v>14</v>
      </c>
      <c r="G3395" s="1">
        <v>0.25980365051216608</v>
      </c>
      <c r="H3395" s="1" t="s">
        <v>144</v>
      </c>
    </row>
    <row r="3396" spans="1:8" x14ac:dyDescent="0.25">
      <c r="A3396" s="1">
        <v>2016</v>
      </c>
      <c r="B3396" s="1">
        <v>270</v>
      </c>
      <c r="C3396" s="15">
        <v>42639</v>
      </c>
      <c r="D3396" s="16">
        <v>0.5625</v>
      </c>
      <c r="E3396" s="1">
        <v>210</v>
      </c>
      <c r="F3396" s="1">
        <v>15</v>
      </c>
      <c r="G3396" s="1" t="e">
        <v>#N/A</v>
      </c>
      <c r="H3396" s="1" t="s">
        <v>1</v>
      </c>
    </row>
    <row r="3397" spans="1:8" x14ac:dyDescent="0.25">
      <c r="A3397" s="1">
        <v>2016</v>
      </c>
      <c r="B3397" s="1">
        <v>270</v>
      </c>
      <c r="C3397" s="15">
        <v>42639</v>
      </c>
      <c r="D3397" s="16">
        <v>0.56319444444444444</v>
      </c>
      <c r="E3397" s="1">
        <v>210</v>
      </c>
      <c r="F3397" s="1">
        <v>16</v>
      </c>
      <c r="G3397" s="1" t="e">
        <v>#N/A</v>
      </c>
      <c r="H3397" s="1" t="s">
        <v>1</v>
      </c>
    </row>
    <row r="3398" spans="1:8" x14ac:dyDescent="0.25">
      <c r="A3398" s="1">
        <v>2016</v>
      </c>
      <c r="B3398" s="1">
        <v>270</v>
      </c>
      <c r="C3398" s="15">
        <v>42639</v>
      </c>
      <c r="D3398" s="16">
        <v>0.5493055555555556</v>
      </c>
      <c r="E3398" s="1">
        <v>210</v>
      </c>
      <c r="F3398" s="1">
        <v>17</v>
      </c>
      <c r="G3398" s="1">
        <v>0.29380814084287266</v>
      </c>
      <c r="H3398" s="1" t="s">
        <v>144</v>
      </c>
    </row>
    <row r="3399" spans="1:8" x14ac:dyDescent="0.25">
      <c r="A3399" s="1">
        <v>2016</v>
      </c>
      <c r="B3399" s="1">
        <v>270</v>
      </c>
      <c r="C3399" s="15">
        <v>42639</v>
      </c>
      <c r="D3399" s="16">
        <v>0.54166666666666663</v>
      </c>
      <c r="E3399" s="1">
        <v>210</v>
      </c>
      <c r="F3399" s="1">
        <v>18</v>
      </c>
      <c r="G3399" s="1">
        <v>0.29361349579232482</v>
      </c>
      <c r="H3399" s="1" t="s">
        <v>144</v>
      </c>
    </row>
    <row r="3400" spans="1:8" x14ac:dyDescent="0.25">
      <c r="A3400" s="1">
        <v>2016</v>
      </c>
      <c r="B3400" s="1">
        <v>270</v>
      </c>
      <c r="C3400" s="15">
        <v>42639</v>
      </c>
      <c r="D3400" s="16">
        <v>0.5395833333333333</v>
      </c>
      <c r="E3400" s="1">
        <v>210</v>
      </c>
      <c r="F3400" s="1">
        <v>19</v>
      </c>
      <c r="G3400" s="1">
        <v>0.28512697158843925</v>
      </c>
      <c r="H3400" s="1" t="s">
        <v>144</v>
      </c>
    </row>
    <row r="3401" spans="1:8" x14ac:dyDescent="0.25">
      <c r="A3401" s="1">
        <v>2016</v>
      </c>
      <c r="B3401" s="1">
        <v>270</v>
      </c>
      <c r="C3401" s="15">
        <v>42639</v>
      </c>
      <c r="D3401" s="16">
        <v>0.53125</v>
      </c>
      <c r="E3401" s="1">
        <v>210</v>
      </c>
      <c r="F3401" s="1">
        <v>20</v>
      </c>
      <c r="G3401" s="1">
        <v>0.28736538966973929</v>
      </c>
      <c r="H3401" s="1" t="s">
        <v>144</v>
      </c>
    </row>
    <row r="3402" spans="1:8" x14ac:dyDescent="0.25">
      <c r="A3402" s="1">
        <v>2016</v>
      </c>
      <c r="B3402" s="1">
        <v>270</v>
      </c>
      <c r="C3402" s="15">
        <v>42639</v>
      </c>
      <c r="D3402" s="16">
        <v>0.3979166666666667</v>
      </c>
      <c r="E3402" s="1">
        <v>190</v>
      </c>
      <c r="F3402" s="1">
        <v>1</v>
      </c>
      <c r="G3402" s="1">
        <v>0.26217832012884962</v>
      </c>
      <c r="H3402" s="1" t="s">
        <v>143</v>
      </c>
    </row>
    <row r="3403" spans="1:8" x14ac:dyDescent="0.25">
      <c r="A3403" s="1">
        <v>2016</v>
      </c>
      <c r="B3403" s="1">
        <v>270</v>
      </c>
      <c r="C3403" s="15">
        <v>42639</v>
      </c>
      <c r="D3403" s="16">
        <v>0.38958333333333334</v>
      </c>
      <c r="E3403" s="1">
        <v>190</v>
      </c>
      <c r="F3403" s="1">
        <v>2</v>
      </c>
      <c r="G3403" s="1">
        <v>0.27636794431378675</v>
      </c>
      <c r="H3403" s="1" t="s">
        <v>143</v>
      </c>
    </row>
    <row r="3404" spans="1:8" x14ac:dyDescent="0.25">
      <c r="A3404" s="1">
        <v>2016</v>
      </c>
      <c r="B3404" s="1">
        <v>270</v>
      </c>
      <c r="C3404" s="15">
        <v>42639</v>
      </c>
      <c r="D3404" s="16">
        <v>0.41388888888888892</v>
      </c>
      <c r="E3404" s="1">
        <v>190</v>
      </c>
      <c r="F3404" s="1">
        <v>3</v>
      </c>
      <c r="G3404" s="1">
        <v>0.27545311257621191</v>
      </c>
      <c r="H3404" s="1" t="s">
        <v>143</v>
      </c>
    </row>
    <row r="3405" spans="1:8" x14ac:dyDescent="0.25">
      <c r="A3405" s="1">
        <v>2016</v>
      </c>
      <c r="B3405" s="1">
        <v>270</v>
      </c>
      <c r="C3405" s="15">
        <v>42639</v>
      </c>
      <c r="D3405" s="16">
        <v>0.4069444444444445</v>
      </c>
      <c r="E3405" s="1">
        <v>190</v>
      </c>
      <c r="F3405" s="1">
        <v>4</v>
      </c>
      <c r="G3405" s="1">
        <v>0.28257712142626262</v>
      </c>
      <c r="H3405" s="1" t="s">
        <v>143</v>
      </c>
    </row>
    <row r="3406" spans="1:8" x14ac:dyDescent="0.25">
      <c r="A3406" s="1">
        <v>2016</v>
      </c>
      <c r="B3406" s="1">
        <v>270</v>
      </c>
      <c r="C3406" s="15">
        <v>42639</v>
      </c>
      <c r="D3406" s="16">
        <v>0.41666666666666669</v>
      </c>
      <c r="E3406" s="1">
        <v>190</v>
      </c>
      <c r="F3406" s="1">
        <v>5</v>
      </c>
      <c r="G3406" s="1">
        <v>0.32574939363777211</v>
      </c>
      <c r="H3406" s="1" t="s">
        <v>0</v>
      </c>
    </row>
    <row r="3407" spans="1:8" x14ac:dyDescent="0.25">
      <c r="A3407" s="1">
        <v>2016</v>
      </c>
      <c r="B3407" s="1">
        <v>270</v>
      </c>
      <c r="C3407" s="15">
        <v>42639</v>
      </c>
      <c r="D3407" s="16">
        <v>0.43055555555555558</v>
      </c>
      <c r="E3407" s="1">
        <v>190</v>
      </c>
      <c r="F3407" s="1">
        <v>6</v>
      </c>
      <c r="G3407" s="1">
        <v>0.33635754889262909</v>
      </c>
      <c r="H3407" s="1" t="s">
        <v>0</v>
      </c>
    </row>
    <row r="3408" spans="1:8" x14ac:dyDescent="0.25">
      <c r="A3408" s="1">
        <v>2016</v>
      </c>
      <c r="B3408" s="1">
        <v>270</v>
      </c>
      <c r="C3408" s="15">
        <v>42639</v>
      </c>
      <c r="D3408" s="16">
        <v>0.4375</v>
      </c>
      <c r="E3408" s="1">
        <v>190</v>
      </c>
      <c r="F3408" s="1">
        <v>7</v>
      </c>
      <c r="G3408" s="1">
        <v>0.27062591532262564</v>
      </c>
      <c r="H3408" s="1" t="s">
        <v>143</v>
      </c>
    </row>
    <row r="3409" spans="1:8" x14ac:dyDescent="0.25">
      <c r="A3409" s="1">
        <v>2016</v>
      </c>
      <c r="B3409" s="1">
        <v>270</v>
      </c>
      <c r="C3409" s="15">
        <v>42639</v>
      </c>
      <c r="D3409" s="16">
        <v>0.4458333333333333</v>
      </c>
      <c r="E3409" s="1">
        <v>190</v>
      </c>
      <c r="F3409" s="1">
        <v>8</v>
      </c>
      <c r="G3409" s="1">
        <v>0.2814092511229756</v>
      </c>
      <c r="H3409" s="1" t="s">
        <v>143</v>
      </c>
    </row>
    <row r="3410" spans="1:8" x14ac:dyDescent="0.25">
      <c r="A3410" s="1">
        <v>2016</v>
      </c>
      <c r="B3410" s="1">
        <v>270</v>
      </c>
      <c r="C3410" s="15">
        <v>42639</v>
      </c>
      <c r="D3410" s="16">
        <v>0.45277777777777778</v>
      </c>
      <c r="E3410" s="1">
        <v>190</v>
      </c>
      <c r="F3410" s="1">
        <v>9</v>
      </c>
      <c r="G3410" s="1">
        <v>0.2705480573024065</v>
      </c>
      <c r="H3410" s="1" t="s">
        <v>143</v>
      </c>
    </row>
    <row r="3411" spans="1:8" x14ac:dyDescent="0.25">
      <c r="A3411" s="1">
        <v>2016</v>
      </c>
      <c r="B3411" s="1">
        <v>270</v>
      </c>
      <c r="C3411" s="15">
        <v>42639</v>
      </c>
      <c r="D3411" s="16">
        <v>0.4597222222222222</v>
      </c>
      <c r="E3411" s="1">
        <v>190</v>
      </c>
      <c r="F3411" s="1">
        <v>10</v>
      </c>
      <c r="G3411" s="1">
        <v>0.28148710914319475</v>
      </c>
      <c r="H3411" s="1" t="s">
        <v>143</v>
      </c>
    </row>
    <row r="3412" spans="1:8" x14ac:dyDescent="0.25">
      <c r="A3412" s="1">
        <v>2016</v>
      </c>
      <c r="B3412" s="1">
        <v>270</v>
      </c>
      <c r="C3412" s="15">
        <v>42639</v>
      </c>
      <c r="D3412" s="16">
        <v>0.57708333333333328</v>
      </c>
      <c r="E3412" s="1">
        <v>190</v>
      </c>
      <c r="F3412" s="1">
        <v>11</v>
      </c>
      <c r="G3412" s="1">
        <v>0.29612441694439184</v>
      </c>
      <c r="H3412" s="1" t="s">
        <v>144</v>
      </c>
    </row>
    <row r="3413" spans="1:8" x14ac:dyDescent="0.25">
      <c r="A3413" s="1">
        <v>2016</v>
      </c>
      <c r="B3413" s="1">
        <v>270</v>
      </c>
      <c r="C3413" s="15">
        <v>42639</v>
      </c>
      <c r="D3413" s="16">
        <v>0.58402777777777781</v>
      </c>
      <c r="E3413" s="1">
        <v>190</v>
      </c>
      <c r="F3413" s="1">
        <v>12</v>
      </c>
      <c r="G3413" s="1">
        <v>0.30406593500674345</v>
      </c>
      <c r="H3413" s="1" t="s">
        <v>144</v>
      </c>
    </row>
    <row r="3414" spans="1:8" x14ac:dyDescent="0.25">
      <c r="A3414" s="1">
        <v>2016</v>
      </c>
      <c r="B3414" s="1">
        <v>270</v>
      </c>
      <c r="C3414" s="15">
        <v>42639</v>
      </c>
      <c r="D3414" s="16">
        <v>0.59097222222222223</v>
      </c>
      <c r="E3414" s="1">
        <v>190</v>
      </c>
      <c r="F3414" s="1">
        <v>13</v>
      </c>
      <c r="G3414" s="1">
        <v>0.27763313714234766</v>
      </c>
      <c r="H3414" s="1" t="s">
        <v>144</v>
      </c>
    </row>
    <row r="3415" spans="1:8" x14ac:dyDescent="0.25">
      <c r="A3415" s="1">
        <v>2016</v>
      </c>
      <c r="B3415" s="1">
        <v>270</v>
      </c>
      <c r="C3415" s="15">
        <v>42639</v>
      </c>
      <c r="D3415" s="16">
        <v>0.57013888888888886</v>
      </c>
      <c r="E3415" s="1">
        <v>190</v>
      </c>
      <c r="F3415" s="1">
        <v>14</v>
      </c>
      <c r="G3415" s="1">
        <v>0.29092739409476465</v>
      </c>
      <c r="H3415" s="1" t="s">
        <v>144</v>
      </c>
    </row>
    <row r="3416" spans="1:8" x14ac:dyDescent="0.25">
      <c r="A3416" s="1">
        <v>2016</v>
      </c>
      <c r="B3416" s="1">
        <v>270</v>
      </c>
      <c r="C3416" s="15">
        <v>42639</v>
      </c>
      <c r="D3416" s="16">
        <v>0.5625</v>
      </c>
      <c r="E3416" s="1">
        <v>190</v>
      </c>
      <c r="F3416" s="1">
        <v>15</v>
      </c>
      <c r="G3416" s="1">
        <v>0.34036723693391452</v>
      </c>
      <c r="H3416" s="1" t="s">
        <v>1</v>
      </c>
    </row>
    <row r="3417" spans="1:8" x14ac:dyDescent="0.25">
      <c r="A3417" s="1">
        <v>2016</v>
      </c>
      <c r="B3417" s="1">
        <v>270</v>
      </c>
      <c r="C3417" s="15">
        <v>42639</v>
      </c>
      <c r="D3417" s="16">
        <v>0.56319444444444444</v>
      </c>
      <c r="E3417" s="1">
        <v>190</v>
      </c>
      <c r="F3417" s="1">
        <v>16</v>
      </c>
      <c r="G3417" s="1">
        <v>0.32432848476877296</v>
      </c>
      <c r="H3417" s="1" t="s">
        <v>1</v>
      </c>
    </row>
    <row r="3418" spans="1:8" x14ac:dyDescent="0.25">
      <c r="A3418" s="1">
        <v>2016</v>
      </c>
      <c r="B3418" s="1">
        <v>270</v>
      </c>
      <c r="C3418" s="15">
        <v>42639</v>
      </c>
      <c r="D3418" s="16">
        <v>0.5493055555555556</v>
      </c>
      <c r="E3418" s="1">
        <v>190</v>
      </c>
      <c r="F3418" s="1">
        <v>17</v>
      </c>
      <c r="G3418" s="1">
        <v>0.30951599642208283</v>
      </c>
      <c r="H3418" s="1" t="s">
        <v>144</v>
      </c>
    </row>
    <row r="3419" spans="1:8" x14ac:dyDescent="0.25">
      <c r="A3419" s="1">
        <v>2016</v>
      </c>
      <c r="B3419" s="1">
        <v>270</v>
      </c>
      <c r="C3419" s="15">
        <v>42639</v>
      </c>
      <c r="D3419" s="16">
        <v>0.54166666666666663</v>
      </c>
      <c r="E3419" s="1">
        <v>190</v>
      </c>
      <c r="F3419" s="1">
        <v>18</v>
      </c>
      <c r="G3419" s="1">
        <v>0.30081536266259462</v>
      </c>
      <c r="H3419" s="1" t="s">
        <v>144</v>
      </c>
    </row>
    <row r="3420" spans="1:8" x14ac:dyDescent="0.25">
      <c r="A3420" s="1">
        <v>2016</v>
      </c>
      <c r="B3420" s="1">
        <v>270</v>
      </c>
      <c r="C3420" s="15">
        <v>42639</v>
      </c>
      <c r="D3420" s="16">
        <v>0.5395833333333333</v>
      </c>
      <c r="E3420" s="1">
        <v>190</v>
      </c>
      <c r="F3420" s="1">
        <v>19</v>
      </c>
      <c r="G3420" s="1">
        <v>0.29190061934750389</v>
      </c>
      <c r="H3420" s="1" t="s">
        <v>144</v>
      </c>
    </row>
    <row r="3421" spans="1:8" x14ac:dyDescent="0.25">
      <c r="A3421" s="1">
        <v>2016</v>
      </c>
      <c r="B3421" s="1">
        <v>270</v>
      </c>
      <c r="C3421" s="15">
        <v>42639</v>
      </c>
      <c r="D3421" s="16">
        <v>0.53125</v>
      </c>
      <c r="E3421" s="1">
        <v>190</v>
      </c>
      <c r="F3421" s="1">
        <v>20</v>
      </c>
      <c r="G3421" s="1">
        <v>0.29402225039847524</v>
      </c>
      <c r="H3421" s="1" t="s">
        <v>144</v>
      </c>
    </row>
    <row r="3422" spans="1:8" x14ac:dyDescent="0.25">
      <c r="A3422" s="1">
        <v>2016</v>
      </c>
      <c r="B3422" s="1">
        <v>270</v>
      </c>
      <c r="C3422" s="15">
        <v>42639</v>
      </c>
      <c r="D3422" s="16">
        <v>0.3979166666666667</v>
      </c>
      <c r="E3422" s="1">
        <v>170</v>
      </c>
      <c r="F3422" s="1">
        <v>1</v>
      </c>
      <c r="G3422" s="1">
        <v>0.26410530612927319</v>
      </c>
      <c r="H3422" s="1" t="s">
        <v>143</v>
      </c>
    </row>
    <row r="3423" spans="1:8" x14ac:dyDescent="0.25">
      <c r="A3423" s="1">
        <v>2016</v>
      </c>
      <c r="B3423" s="1">
        <v>270</v>
      </c>
      <c r="C3423" s="15">
        <v>42639</v>
      </c>
      <c r="D3423" s="16">
        <v>0.38958333333333334</v>
      </c>
      <c r="E3423" s="1">
        <v>170</v>
      </c>
      <c r="F3423" s="1">
        <v>2</v>
      </c>
      <c r="G3423" s="1">
        <v>0.25507377578385371</v>
      </c>
      <c r="H3423" s="1" t="s">
        <v>143</v>
      </c>
    </row>
    <row r="3424" spans="1:8" x14ac:dyDescent="0.25">
      <c r="A3424" s="1">
        <v>2016</v>
      </c>
      <c r="B3424" s="1">
        <v>270</v>
      </c>
      <c r="C3424" s="15">
        <v>42639</v>
      </c>
      <c r="D3424" s="16">
        <v>0.41388888888888892</v>
      </c>
      <c r="E3424" s="1">
        <v>170</v>
      </c>
      <c r="F3424" s="1">
        <v>3</v>
      </c>
      <c r="G3424" s="1">
        <v>0.26842642625143509</v>
      </c>
      <c r="H3424" s="1" t="s">
        <v>143</v>
      </c>
    </row>
    <row r="3425" spans="1:8" x14ac:dyDescent="0.25">
      <c r="A3425" s="1">
        <v>2016</v>
      </c>
      <c r="B3425" s="1">
        <v>270</v>
      </c>
      <c r="C3425" s="15">
        <v>42639</v>
      </c>
      <c r="D3425" s="16">
        <v>0.4069444444444445</v>
      </c>
      <c r="E3425" s="1">
        <v>170</v>
      </c>
      <c r="F3425" s="1">
        <v>4</v>
      </c>
      <c r="G3425" s="1">
        <v>0.27350666207073354</v>
      </c>
      <c r="H3425" s="1" t="s">
        <v>143</v>
      </c>
    </row>
    <row r="3426" spans="1:8" x14ac:dyDescent="0.25">
      <c r="A3426" s="1">
        <v>2016</v>
      </c>
      <c r="B3426" s="1">
        <v>270</v>
      </c>
      <c r="C3426" s="15">
        <v>42639</v>
      </c>
      <c r="D3426" s="16">
        <v>0.41666666666666669</v>
      </c>
      <c r="E3426" s="1">
        <v>170</v>
      </c>
      <c r="F3426" s="1">
        <v>5</v>
      </c>
      <c r="G3426" s="1">
        <v>0.32417276872833467</v>
      </c>
      <c r="H3426" s="1" t="s">
        <v>0</v>
      </c>
    </row>
    <row r="3427" spans="1:8" x14ac:dyDescent="0.25">
      <c r="A3427" s="1">
        <v>2016</v>
      </c>
      <c r="B3427" s="1">
        <v>270</v>
      </c>
      <c r="C3427" s="15">
        <v>42639</v>
      </c>
      <c r="D3427" s="16">
        <v>0.43055555555555558</v>
      </c>
      <c r="E3427" s="1">
        <v>170</v>
      </c>
      <c r="F3427" s="1">
        <v>6</v>
      </c>
      <c r="G3427" s="1">
        <v>0.32621654175908693</v>
      </c>
      <c r="H3427" s="1" t="s">
        <v>0</v>
      </c>
    </row>
    <row r="3428" spans="1:8" x14ac:dyDescent="0.25">
      <c r="A3428" s="1">
        <v>2016</v>
      </c>
      <c r="B3428" s="1">
        <v>270</v>
      </c>
      <c r="C3428" s="15">
        <v>42639</v>
      </c>
      <c r="D3428" s="16">
        <v>0.4375</v>
      </c>
      <c r="E3428" s="1">
        <v>170</v>
      </c>
      <c r="F3428" s="1">
        <v>7</v>
      </c>
      <c r="G3428" s="1">
        <v>0.28682038352820538</v>
      </c>
      <c r="H3428" s="1" t="s">
        <v>143</v>
      </c>
    </row>
    <row r="3429" spans="1:8" x14ac:dyDescent="0.25">
      <c r="A3429" s="1">
        <v>2016</v>
      </c>
      <c r="B3429" s="1">
        <v>270</v>
      </c>
      <c r="C3429" s="15">
        <v>42639</v>
      </c>
      <c r="D3429" s="16">
        <v>0.4458333333333333</v>
      </c>
      <c r="E3429" s="1">
        <v>170</v>
      </c>
      <c r="F3429" s="1">
        <v>8</v>
      </c>
      <c r="G3429" s="1">
        <v>0.29737014526789801</v>
      </c>
      <c r="H3429" s="1" t="s">
        <v>143</v>
      </c>
    </row>
    <row r="3430" spans="1:8" x14ac:dyDescent="0.25">
      <c r="A3430" s="1">
        <v>2016</v>
      </c>
      <c r="B3430" s="1">
        <v>270</v>
      </c>
      <c r="C3430" s="15">
        <v>42639</v>
      </c>
      <c r="D3430" s="16">
        <v>0.45277777777777778</v>
      </c>
      <c r="E3430" s="1">
        <v>170</v>
      </c>
      <c r="F3430" s="1">
        <v>9</v>
      </c>
      <c r="G3430" s="1">
        <v>0.28454303643679574</v>
      </c>
      <c r="H3430" s="1" t="s">
        <v>143</v>
      </c>
    </row>
    <row r="3431" spans="1:8" x14ac:dyDescent="0.25">
      <c r="A3431" s="1">
        <v>2016</v>
      </c>
      <c r="B3431" s="1">
        <v>270</v>
      </c>
      <c r="C3431" s="15">
        <v>42639</v>
      </c>
      <c r="D3431" s="16">
        <v>0.4597222222222222</v>
      </c>
      <c r="E3431" s="1">
        <v>170</v>
      </c>
      <c r="F3431" s="1">
        <v>10</v>
      </c>
      <c r="G3431" s="1">
        <v>0.2960854879342823</v>
      </c>
      <c r="H3431" s="1" t="s">
        <v>143</v>
      </c>
    </row>
    <row r="3432" spans="1:8" x14ac:dyDescent="0.25">
      <c r="A3432" s="1">
        <v>2016</v>
      </c>
      <c r="B3432" s="1">
        <v>270</v>
      </c>
      <c r="C3432" s="15">
        <v>42639</v>
      </c>
      <c r="D3432" s="16">
        <v>0.57708333333333328</v>
      </c>
      <c r="E3432" s="1">
        <v>170</v>
      </c>
      <c r="F3432" s="1">
        <v>11</v>
      </c>
      <c r="G3432" s="1">
        <v>0.31512177387786044</v>
      </c>
      <c r="H3432" s="1" t="s">
        <v>144</v>
      </c>
    </row>
    <row r="3433" spans="1:8" x14ac:dyDescent="0.25">
      <c r="A3433" s="1">
        <v>2016</v>
      </c>
      <c r="B3433" s="1">
        <v>270</v>
      </c>
      <c r="C3433" s="15">
        <v>42639</v>
      </c>
      <c r="D3433" s="16">
        <v>0.58402777777777781</v>
      </c>
      <c r="E3433" s="1">
        <v>170</v>
      </c>
      <c r="F3433" s="1">
        <v>12</v>
      </c>
      <c r="G3433" s="1">
        <v>0.32699512196127828</v>
      </c>
      <c r="H3433" s="1" t="s">
        <v>144</v>
      </c>
    </row>
    <row r="3434" spans="1:8" x14ac:dyDescent="0.25">
      <c r="A3434" s="1">
        <v>2016</v>
      </c>
      <c r="B3434" s="1">
        <v>270</v>
      </c>
      <c r="C3434" s="15">
        <v>42639</v>
      </c>
      <c r="D3434" s="16">
        <v>0.59097222222222223</v>
      </c>
      <c r="E3434" s="1">
        <v>170</v>
      </c>
      <c r="F3434" s="1">
        <v>13</v>
      </c>
      <c r="G3434" s="1">
        <v>0.28409535282053572</v>
      </c>
      <c r="H3434" s="1" t="s">
        <v>144</v>
      </c>
    </row>
    <row r="3435" spans="1:8" x14ac:dyDescent="0.25">
      <c r="A3435" s="1">
        <v>2016</v>
      </c>
      <c r="B3435" s="1">
        <v>270</v>
      </c>
      <c r="C3435" s="15">
        <v>42639</v>
      </c>
      <c r="D3435" s="16">
        <v>0.57013888888888886</v>
      </c>
      <c r="E3435" s="1">
        <v>170</v>
      </c>
      <c r="F3435" s="1">
        <v>14</v>
      </c>
      <c r="G3435" s="1">
        <v>0.30891259676538452</v>
      </c>
      <c r="H3435" s="1" t="s">
        <v>144</v>
      </c>
    </row>
    <row r="3436" spans="1:8" x14ac:dyDescent="0.25">
      <c r="A3436" s="1">
        <v>2016</v>
      </c>
      <c r="B3436" s="1">
        <v>270</v>
      </c>
      <c r="C3436" s="15">
        <v>42639</v>
      </c>
      <c r="D3436" s="16">
        <v>0.5625</v>
      </c>
      <c r="E3436" s="1">
        <v>170</v>
      </c>
      <c r="F3436" s="1">
        <v>15</v>
      </c>
      <c r="G3436" s="1">
        <v>0.32923354004257838</v>
      </c>
      <c r="H3436" s="1" t="s">
        <v>1</v>
      </c>
    </row>
    <row r="3437" spans="1:8" x14ac:dyDescent="0.25">
      <c r="A3437" s="1">
        <v>2016</v>
      </c>
      <c r="B3437" s="1">
        <v>270</v>
      </c>
      <c r="C3437" s="15">
        <v>42639</v>
      </c>
      <c r="D3437" s="16">
        <v>0.56319444444444444</v>
      </c>
      <c r="E3437" s="1">
        <v>170</v>
      </c>
      <c r="F3437" s="1">
        <v>16</v>
      </c>
      <c r="G3437" s="1">
        <v>0.32489295541536167</v>
      </c>
      <c r="H3437" s="1" t="s">
        <v>1</v>
      </c>
    </row>
    <row r="3438" spans="1:8" x14ac:dyDescent="0.25">
      <c r="A3438" s="1">
        <v>2016</v>
      </c>
      <c r="B3438" s="1">
        <v>270</v>
      </c>
      <c r="C3438" s="15">
        <v>42639</v>
      </c>
      <c r="D3438" s="16">
        <v>0.5493055555555556</v>
      </c>
      <c r="E3438" s="1">
        <v>170</v>
      </c>
      <c r="F3438" s="1">
        <v>17</v>
      </c>
      <c r="G3438" s="1">
        <v>0.3077447264620975</v>
      </c>
      <c r="H3438" s="1" t="s">
        <v>144</v>
      </c>
    </row>
    <row r="3439" spans="1:8" x14ac:dyDescent="0.25">
      <c r="A3439" s="1">
        <v>2016</v>
      </c>
      <c r="B3439" s="1">
        <v>270</v>
      </c>
      <c r="C3439" s="15">
        <v>42639</v>
      </c>
      <c r="D3439" s="16">
        <v>0.54166666666666663</v>
      </c>
      <c r="E3439" s="1">
        <v>170</v>
      </c>
      <c r="F3439" s="1">
        <v>18</v>
      </c>
      <c r="G3439" s="1">
        <v>0.31817770117146144</v>
      </c>
      <c r="H3439" s="1" t="s">
        <v>144</v>
      </c>
    </row>
    <row r="3440" spans="1:8" x14ac:dyDescent="0.25">
      <c r="A3440" s="1">
        <v>2016</v>
      </c>
      <c r="B3440" s="1">
        <v>270</v>
      </c>
      <c r="C3440" s="15">
        <v>42639</v>
      </c>
      <c r="D3440" s="16">
        <v>0.5395833333333333</v>
      </c>
      <c r="E3440" s="1">
        <v>170</v>
      </c>
      <c r="F3440" s="1">
        <v>19</v>
      </c>
      <c r="G3440" s="1">
        <v>0.3012241172687451</v>
      </c>
      <c r="H3440" s="1" t="s">
        <v>144</v>
      </c>
    </row>
    <row r="3441" spans="1:8" x14ac:dyDescent="0.25">
      <c r="A3441" s="1">
        <v>2016</v>
      </c>
      <c r="B3441" s="1">
        <v>270</v>
      </c>
      <c r="C3441" s="15">
        <v>42639</v>
      </c>
      <c r="D3441" s="16">
        <v>0.53125</v>
      </c>
      <c r="E3441" s="1">
        <v>170</v>
      </c>
      <c r="F3441" s="1">
        <v>20</v>
      </c>
      <c r="G3441" s="1">
        <v>0.30873741621989148</v>
      </c>
      <c r="H3441" s="1" t="s">
        <v>144</v>
      </c>
    </row>
    <row r="3442" spans="1:8" x14ac:dyDescent="0.25">
      <c r="A3442" s="1">
        <v>2016</v>
      </c>
      <c r="B3442" s="1">
        <v>270</v>
      </c>
      <c r="C3442" s="15">
        <v>42639</v>
      </c>
      <c r="D3442" s="16">
        <v>0.3979166666666667</v>
      </c>
      <c r="E3442" s="1">
        <v>150</v>
      </c>
      <c r="F3442" s="1">
        <v>1</v>
      </c>
      <c r="G3442" s="1">
        <v>0.31899521038376233</v>
      </c>
      <c r="H3442" s="1" t="s">
        <v>143</v>
      </c>
    </row>
    <row r="3443" spans="1:8" x14ac:dyDescent="0.25">
      <c r="A3443" s="1">
        <v>2016</v>
      </c>
      <c r="B3443" s="1">
        <v>270</v>
      </c>
      <c r="C3443" s="15">
        <v>42639</v>
      </c>
      <c r="D3443" s="16">
        <v>0.38958333333333334</v>
      </c>
      <c r="E3443" s="1">
        <v>150</v>
      </c>
      <c r="F3443" s="1">
        <v>2</v>
      </c>
      <c r="G3443" s="1">
        <v>0.31556945749412046</v>
      </c>
      <c r="H3443" s="1" t="s">
        <v>143</v>
      </c>
    </row>
    <row r="3444" spans="1:8" x14ac:dyDescent="0.25">
      <c r="A3444" s="1">
        <v>2016</v>
      </c>
      <c r="B3444" s="1">
        <v>270</v>
      </c>
      <c r="C3444" s="15">
        <v>42639</v>
      </c>
      <c r="D3444" s="16">
        <v>0.41388888888888892</v>
      </c>
      <c r="E3444" s="1">
        <v>150</v>
      </c>
      <c r="F3444" s="1">
        <v>3</v>
      </c>
      <c r="G3444" s="1">
        <v>0.29542369476241964</v>
      </c>
      <c r="H3444" s="1" t="s">
        <v>143</v>
      </c>
    </row>
    <row r="3445" spans="1:8" x14ac:dyDescent="0.25">
      <c r="A3445" s="1">
        <v>2016</v>
      </c>
      <c r="B3445" s="1">
        <v>270</v>
      </c>
      <c r="C3445" s="15">
        <v>42639</v>
      </c>
      <c r="D3445" s="16">
        <v>0.4069444444444445</v>
      </c>
      <c r="E3445" s="1">
        <v>150</v>
      </c>
      <c r="F3445" s="1">
        <v>4</v>
      </c>
      <c r="G3445" s="1">
        <v>0.27442149380830838</v>
      </c>
      <c r="H3445" s="1" t="s">
        <v>143</v>
      </c>
    </row>
    <row r="3446" spans="1:8" x14ac:dyDescent="0.25">
      <c r="A3446" s="1">
        <v>2016</v>
      </c>
      <c r="B3446" s="1">
        <v>270</v>
      </c>
      <c r="C3446" s="15">
        <v>42639</v>
      </c>
      <c r="D3446" s="16">
        <v>0.41666666666666669</v>
      </c>
      <c r="E3446" s="1">
        <v>150</v>
      </c>
      <c r="F3446" s="1">
        <v>5</v>
      </c>
      <c r="G3446" s="1">
        <v>0.35831351059442473</v>
      </c>
      <c r="H3446" s="1" t="s">
        <v>0</v>
      </c>
    </row>
    <row r="3447" spans="1:8" x14ac:dyDescent="0.25">
      <c r="A3447" s="1">
        <v>2016</v>
      </c>
      <c r="B3447" s="1">
        <v>270</v>
      </c>
      <c r="C3447" s="15">
        <v>42639</v>
      </c>
      <c r="D3447" s="16">
        <v>0.43055555555555558</v>
      </c>
      <c r="E3447" s="1">
        <v>150</v>
      </c>
      <c r="F3447" s="1">
        <v>6</v>
      </c>
      <c r="G3447" s="1">
        <v>0.33565682671065689</v>
      </c>
      <c r="H3447" s="1" t="s">
        <v>0</v>
      </c>
    </row>
    <row r="3448" spans="1:8" x14ac:dyDescent="0.25">
      <c r="A3448" s="1">
        <v>2016</v>
      </c>
      <c r="B3448" s="1">
        <v>270</v>
      </c>
      <c r="C3448" s="15">
        <v>42639</v>
      </c>
      <c r="D3448" s="16">
        <v>0.4375</v>
      </c>
      <c r="E3448" s="1">
        <v>150</v>
      </c>
      <c r="F3448" s="1">
        <v>7</v>
      </c>
      <c r="G3448" s="1">
        <v>0.31825555919168053</v>
      </c>
      <c r="H3448" s="1" t="s">
        <v>143</v>
      </c>
    </row>
    <row r="3449" spans="1:8" x14ac:dyDescent="0.25">
      <c r="A3449" s="1">
        <v>2016</v>
      </c>
      <c r="B3449" s="1">
        <v>270</v>
      </c>
      <c r="C3449" s="15">
        <v>42639</v>
      </c>
      <c r="D3449" s="16">
        <v>0.4458333333333333</v>
      </c>
      <c r="E3449" s="1">
        <v>150</v>
      </c>
      <c r="F3449" s="1">
        <v>8</v>
      </c>
      <c r="G3449" s="1">
        <v>0.32888317895159225</v>
      </c>
      <c r="H3449" s="1" t="s">
        <v>143</v>
      </c>
    </row>
    <row r="3450" spans="1:8" x14ac:dyDescent="0.25">
      <c r="A3450" s="1">
        <v>2016</v>
      </c>
      <c r="B3450" s="1">
        <v>270</v>
      </c>
      <c r="C3450" s="15">
        <v>42639</v>
      </c>
      <c r="D3450" s="16">
        <v>0.45277777777777778</v>
      </c>
      <c r="E3450" s="1">
        <v>150</v>
      </c>
      <c r="F3450" s="1">
        <v>9</v>
      </c>
      <c r="G3450" s="1">
        <v>0.32051344177803542</v>
      </c>
      <c r="H3450" s="1" t="s">
        <v>143</v>
      </c>
    </row>
    <row r="3451" spans="1:8" x14ac:dyDescent="0.25">
      <c r="A3451" s="1">
        <v>2016</v>
      </c>
      <c r="B3451" s="1">
        <v>270</v>
      </c>
      <c r="C3451" s="15">
        <v>42639</v>
      </c>
      <c r="D3451" s="16">
        <v>0.4597222222222222</v>
      </c>
      <c r="E3451" s="1">
        <v>150</v>
      </c>
      <c r="F3451" s="1">
        <v>10</v>
      </c>
      <c r="G3451" s="1">
        <v>0.31989057761628237</v>
      </c>
      <c r="H3451" s="1" t="s">
        <v>143</v>
      </c>
    </row>
    <row r="3452" spans="1:8" x14ac:dyDescent="0.25">
      <c r="A3452" s="1">
        <v>2016</v>
      </c>
      <c r="B3452" s="1">
        <v>270</v>
      </c>
      <c r="C3452" s="15">
        <v>42639</v>
      </c>
      <c r="D3452" s="16">
        <v>0.57708333333333328</v>
      </c>
      <c r="E3452" s="1">
        <v>150</v>
      </c>
      <c r="F3452" s="1">
        <v>11</v>
      </c>
      <c r="G3452" s="1">
        <v>0.32051344177803542</v>
      </c>
      <c r="H3452" s="1" t="s">
        <v>144</v>
      </c>
    </row>
    <row r="3453" spans="1:8" x14ac:dyDescent="0.25">
      <c r="A3453" s="1">
        <v>2016</v>
      </c>
      <c r="B3453" s="1">
        <v>270</v>
      </c>
      <c r="C3453" s="15">
        <v>42639</v>
      </c>
      <c r="D3453" s="16">
        <v>0.58402777777777781</v>
      </c>
      <c r="E3453" s="1">
        <v>150</v>
      </c>
      <c r="F3453" s="1">
        <v>12</v>
      </c>
      <c r="G3453" s="1">
        <v>0.31327264589765602</v>
      </c>
      <c r="H3453" s="1" t="s">
        <v>144</v>
      </c>
    </row>
    <row r="3454" spans="1:8" x14ac:dyDescent="0.25">
      <c r="A3454" s="1">
        <v>2016</v>
      </c>
      <c r="B3454" s="1">
        <v>270</v>
      </c>
      <c r="C3454" s="15">
        <v>42639</v>
      </c>
      <c r="D3454" s="16">
        <v>0.59097222222222223</v>
      </c>
      <c r="E3454" s="1">
        <v>150</v>
      </c>
      <c r="F3454" s="1">
        <v>13</v>
      </c>
      <c r="G3454" s="1">
        <v>0.29406117940858478</v>
      </c>
      <c r="H3454" s="1" t="s">
        <v>144</v>
      </c>
    </row>
    <row r="3455" spans="1:8" x14ac:dyDescent="0.25">
      <c r="A3455" s="1">
        <v>2016</v>
      </c>
      <c r="B3455" s="1">
        <v>270</v>
      </c>
      <c r="C3455" s="15">
        <v>42639</v>
      </c>
      <c r="D3455" s="16">
        <v>0.57013888888888886</v>
      </c>
      <c r="E3455" s="1">
        <v>150</v>
      </c>
      <c r="F3455" s="1">
        <v>14</v>
      </c>
      <c r="G3455" s="1">
        <v>0.2917449033070656</v>
      </c>
      <c r="H3455" s="1" t="s">
        <v>144</v>
      </c>
    </row>
    <row r="3456" spans="1:8" x14ac:dyDescent="0.25">
      <c r="A3456" s="1">
        <v>2016</v>
      </c>
      <c r="B3456" s="1">
        <v>270</v>
      </c>
      <c r="C3456" s="15">
        <v>42639</v>
      </c>
      <c r="D3456" s="16">
        <v>0.5625</v>
      </c>
      <c r="E3456" s="1">
        <v>150</v>
      </c>
      <c r="F3456" s="1">
        <v>15</v>
      </c>
      <c r="G3456" s="1">
        <v>0.34093170758050312</v>
      </c>
      <c r="H3456" s="1" t="s">
        <v>1</v>
      </c>
    </row>
    <row r="3457" spans="1:8" x14ac:dyDescent="0.25">
      <c r="A3457" s="1">
        <v>2016</v>
      </c>
      <c r="B3457" s="1">
        <v>270</v>
      </c>
      <c r="C3457" s="15">
        <v>42639</v>
      </c>
      <c r="D3457" s="16">
        <v>0.56319444444444444</v>
      </c>
      <c r="E3457" s="1">
        <v>150</v>
      </c>
      <c r="F3457" s="1">
        <v>16</v>
      </c>
      <c r="G3457" s="1">
        <v>0.32172024109143199</v>
      </c>
      <c r="H3457" s="1" t="s">
        <v>1</v>
      </c>
    </row>
    <row r="3458" spans="1:8" x14ac:dyDescent="0.25">
      <c r="A3458" s="1">
        <v>2016</v>
      </c>
      <c r="B3458" s="1">
        <v>270</v>
      </c>
      <c r="C3458" s="15">
        <v>42639</v>
      </c>
      <c r="D3458" s="16">
        <v>0.5493055555555556</v>
      </c>
      <c r="E3458" s="1">
        <v>150</v>
      </c>
      <c r="F3458" s="1">
        <v>17</v>
      </c>
      <c r="G3458" s="1">
        <v>0.30383236094608607</v>
      </c>
      <c r="H3458" s="1" t="s">
        <v>144</v>
      </c>
    </row>
    <row r="3459" spans="1:8" x14ac:dyDescent="0.25">
      <c r="A3459" s="1">
        <v>2016</v>
      </c>
      <c r="B3459" s="1">
        <v>270</v>
      </c>
      <c r="C3459" s="15">
        <v>42639</v>
      </c>
      <c r="D3459" s="16">
        <v>0.54166666666666663</v>
      </c>
      <c r="E3459" s="1">
        <v>150</v>
      </c>
      <c r="F3459" s="1">
        <v>18</v>
      </c>
      <c r="G3459" s="1">
        <v>0.3143237291706143</v>
      </c>
      <c r="H3459" s="1" t="s">
        <v>144</v>
      </c>
    </row>
    <row r="3460" spans="1:8" x14ac:dyDescent="0.25">
      <c r="A3460" s="1">
        <v>2016</v>
      </c>
      <c r="B3460" s="1">
        <v>270</v>
      </c>
      <c r="C3460" s="15">
        <v>42639</v>
      </c>
      <c r="D3460" s="16">
        <v>0.5395833333333333</v>
      </c>
      <c r="E3460" s="1">
        <v>150</v>
      </c>
      <c r="F3460" s="1">
        <v>19</v>
      </c>
      <c r="G3460" s="1">
        <v>0.31664000527213354</v>
      </c>
      <c r="H3460" s="1" t="s">
        <v>144</v>
      </c>
    </row>
    <row r="3461" spans="1:8" x14ac:dyDescent="0.25">
      <c r="A3461" s="1">
        <v>2016</v>
      </c>
      <c r="B3461" s="1">
        <v>270</v>
      </c>
      <c r="C3461" s="15">
        <v>42639</v>
      </c>
      <c r="D3461" s="16">
        <v>0.53125</v>
      </c>
      <c r="E3461" s="1">
        <v>150</v>
      </c>
      <c r="F3461" s="1">
        <v>20</v>
      </c>
      <c r="G3461" s="1">
        <v>0.32705351547644262</v>
      </c>
      <c r="H3461" s="1" t="s">
        <v>144</v>
      </c>
    </row>
    <row r="3462" spans="1:8" x14ac:dyDescent="0.25">
      <c r="A3462" s="1">
        <v>2016</v>
      </c>
      <c r="B3462" s="1">
        <v>270</v>
      </c>
      <c r="C3462" s="15">
        <v>42639</v>
      </c>
      <c r="D3462" s="16">
        <v>0.3979166666666667</v>
      </c>
      <c r="E3462" s="1">
        <v>130</v>
      </c>
      <c r="F3462" s="1">
        <v>1</v>
      </c>
      <c r="G3462" s="1">
        <v>0.30295645821862083</v>
      </c>
      <c r="H3462" s="1" t="s">
        <v>143</v>
      </c>
    </row>
    <row r="3463" spans="1:8" x14ac:dyDescent="0.25">
      <c r="A3463" s="1">
        <v>2016</v>
      </c>
      <c r="B3463" s="1">
        <v>270</v>
      </c>
      <c r="C3463" s="15">
        <v>42639</v>
      </c>
      <c r="D3463" s="16">
        <v>0.38958333333333334</v>
      </c>
      <c r="E3463" s="1">
        <v>130</v>
      </c>
      <c r="F3463" s="1">
        <v>2</v>
      </c>
      <c r="G3463" s="1">
        <v>0.2931268831659552</v>
      </c>
      <c r="H3463" s="1" t="s">
        <v>143</v>
      </c>
    </row>
    <row r="3464" spans="1:8" x14ac:dyDescent="0.25">
      <c r="A3464" s="1">
        <v>2016</v>
      </c>
      <c r="B3464" s="1">
        <v>270</v>
      </c>
      <c r="C3464" s="15">
        <v>42639</v>
      </c>
      <c r="D3464" s="16">
        <v>0.41388888888888892</v>
      </c>
      <c r="E3464" s="1">
        <v>130</v>
      </c>
      <c r="F3464" s="1">
        <v>3</v>
      </c>
      <c r="G3464" s="1">
        <v>0.29633852649999448</v>
      </c>
      <c r="H3464" s="1" t="s">
        <v>143</v>
      </c>
    </row>
    <row r="3465" spans="1:8" x14ac:dyDescent="0.25">
      <c r="A3465" s="1">
        <v>2016</v>
      </c>
      <c r="B3465" s="1">
        <v>270</v>
      </c>
      <c r="C3465" s="15">
        <v>42639</v>
      </c>
      <c r="D3465" s="16">
        <v>0.4069444444444445</v>
      </c>
      <c r="E3465" s="1">
        <v>130</v>
      </c>
      <c r="F3465" s="1">
        <v>4</v>
      </c>
      <c r="G3465" s="1">
        <v>0.29256241251936649</v>
      </c>
      <c r="H3465" s="1" t="s">
        <v>143</v>
      </c>
    </row>
    <row r="3466" spans="1:8" x14ac:dyDescent="0.25">
      <c r="A3466" s="1">
        <v>2016</v>
      </c>
      <c r="B3466" s="1">
        <v>270</v>
      </c>
      <c r="C3466" s="15">
        <v>42639</v>
      </c>
      <c r="D3466" s="16">
        <v>0.41666666666666669</v>
      </c>
      <c r="E3466" s="1">
        <v>130</v>
      </c>
      <c r="F3466" s="1">
        <v>5</v>
      </c>
      <c r="G3466" s="1">
        <v>0.30700507527001575</v>
      </c>
      <c r="H3466" s="1" t="s">
        <v>0</v>
      </c>
    </row>
    <row r="3467" spans="1:8" x14ac:dyDescent="0.25">
      <c r="A3467" s="1">
        <v>2016</v>
      </c>
      <c r="B3467" s="1">
        <v>270</v>
      </c>
      <c r="C3467" s="15">
        <v>42639</v>
      </c>
      <c r="D3467" s="16">
        <v>0.43055555555555558</v>
      </c>
      <c r="E3467" s="1">
        <v>130</v>
      </c>
      <c r="F3467" s="1">
        <v>6</v>
      </c>
      <c r="G3467" s="1">
        <v>0.30285913569334688</v>
      </c>
      <c r="H3467" s="1" t="s">
        <v>0</v>
      </c>
    </row>
    <row r="3468" spans="1:8" x14ac:dyDescent="0.25">
      <c r="A3468" s="1">
        <v>2016</v>
      </c>
      <c r="B3468" s="1">
        <v>270</v>
      </c>
      <c r="C3468" s="15">
        <v>42639</v>
      </c>
      <c r="D3468" s="16">
        <v>0.4375</v>
      </c>
      <c r="E3468" s="1">
        <v>130</v>
      </c>
      <c r="F3468" s="1">
        <v>7</v>
      </c>
      <c r="G3468" s="1">
        <v>0.29764264833866499</v>
      </c>
      <c r="H3468" s="1" t="s">
        <v>143</v>
      </c>
    </row>
    <row r="3469" spans="1:8" x14ac:dyDescent="0.25">
      <c r="A3469" s="1">
        <v>2016</v>
      </c>
      <c r="B3469" s="1">
        <v>270</v>
      </c>
      <c r="C3469" s="15">
        <v>42639</v>
      </c>
      <c r="D3469" s="16">
        <v>0.4458333333333333</v>
      </c>
      <c r="E3469" s="1">
        <v>130</v>
      </c>
      <c r="F3469" s="1">
        <v>8</v>
      </c>
      <c r="G3469" s="1">
        <v>0.32386133664745814</v>
      </c>
      <c r="H3469" s="1" t="s">
        <v>143</v>
      </c>
    </row>
    <row r="3470" spans="1:8" x14ac:dyDescent="0.25">
      <c r="A3470" s="1">
        <v>2016</v>
      </c>
      <c r="B3470" s="1">
        <v>270</v>
      </c>
      <c r="C3470" s="15">
        <v>42639</v>
      </c>
      <c r="D3470" s="16">
        <v>0.45277777777777778</v>
      </c>
      <c r="E3470" s="1">
        <v>130</v>
      </c>
      <c r="F3470" s="1">
        <v>9</v>
      </c>
      <c r="G3470" s="1">
        <v>0.28779360878094457</v>
      </c>
      <c r="H3470" s="1" t="s">
        <v>143</v>
      </c>
    </row>
    <row r="3471" spans="1:8" x14ac:dyDescent="0.25">
      <c r="A3471" s="1">
        <v>2016</v>
      </c>
      <c r="B3471" s="1">
        <v>270</v>
      </c>
      <c r="C3471" s="15">
        <v>42639</v>
      </c>
      <c r="D3471" s="16">
        <v>0.4597222222222222</v>
      </c>
      <c r="E3471" s="1">
        <v>130</v>
      </c>
      <c r="F3471" s="1">
        <v>10</v>
      </c>
      <c r="G3471" s="1">
        <v>0.29918034423799283</v>
      </c>
      <c r="H3471" s="1" t="s">
        <v>143</v>
      </c>
    </row>
    <row r="3472" spans="1:8" x14ac:dyDescent="0.25">
      <c r="A3472" s="1">
        <v>2016</v>
      </c>
      <c r="B3472" s="1">
        <v>270</v>
      </c>
      <c r="C3472" s="15">
        <v>42639</v>
      </c>
      <c r="D3472" s="16">
        <v>0.57708333333333328</v>
      </c>
      <c r="E3472" s="1">
        <v>130</v>
      </c>
      <c r="F3472" s="1">
        <v>11</v>
      </c>
      <c r="G3472" s="1">
        <v>0.29209526439805167</v>
      </c>
      <c r="H3472" s="1" t="s">
        <v>144</v>
      </c>
    </row>
    <row r="3473" spans="1:8" x14ac:dyDescent="0.25">
      <c r="A3473" s="1">
        <v>2016</v>
      </c>
      <c r="B3473" s="1">
        <v>270</v>
      </c>
      <c r="C3473" s="15">
        <v>42639</v>
      </c>
      <c r="D3473" s="16">
        <v>0.58402777777777781</v>
      </c>
      <c r="E3473" s="1">
        <v>130</v>
      </c>
      <c r="F3473" s="1">
        <v>12</v>
      </c>
      <c r="G3473" s="1">
        <v>0.27547257708126671</v>
      </c>
      <c r="H3473" s="1" t="s">
        <v>144</v>
      </c>
    </row>
    <row r="3474" spans="1:8" x14ac:dyDescent="0.25">
      <c r="A3474" s="1">
        <v>2016</v>
      </c>
      <c r="B3474" s="1">
        <v>270</v>
      </c>
      <c r="C3474" s="15">
        <v>42639</v>
      </c>
      <c r="D3474" s="16">
        <v>0.59097222222222223</v>
      </c>
      <c r="E3474" s="1">
        <v>130</v>
      </c>
      <c r="F3474" s="1">
        <v>13</v>
      </c>
      <c r="G3474" s="1">
        <v>0.3091656353310967</v>
      </c>
      <c r="H3474" s="1" t="s">
        <v>144</v>
      </c>
    </row>
    <row r="3475" spans="1:8" x14ac:dyDescent="0.25">
      <c r="A3475" s="1">
        <v>2016</v>
      </c>
      <c r="B3475" s="1">
        <v>270</v>
      </c>
      <c r="C3475" s="15">
        <v>42639</v>
      </c>
      <c r="D3475" s="16">
        <v>0.57013888888888886</v>
      </c>
      <c r="E3475" s="1">
        <v>130</v>
      </c>
      <c r="F3475" s="1">
        <v>14</v>
      </c>
      <c r="G3475" s="1">
        <v>0.30538952135046871</v>
      </c>
      <c r="H3475" s="1" t="s">
        <v>144</v>
      </c>
    </row>
    <row r="3476" spans="1:8" x14ac:dyDescent="0.25">
      <c r="A3476" s="1">
        <v>2016</v>
      </c>
      <c r="B3476" s="1">
        <v>270</v>
      </c>
      <c r="C3476" s="15">
        <v>42639</v>
      </c>
      <c r="D3476" s="16">
        <v>0.5625</v>
      </c>
      <c r="E3476" s="1">
        <v>130</v>
      </c>
      <c r="F3476" s="1">
        <v>15</v>
      </c>
      <c r="G3476" s="1">
        <v>0.3012241172687451</v>
      </c>
      <c r="H3476" s="1" t="s">
        <v>1</v>
      </c>
    </row>
    <row r="3477" spans="1:8" x14ac:dyDescent="0.25">
      <c r="A3477" s="1">
        <v>2016</v>
      </c>
      <c r="B3477" s="1">
        <v>270</v>
      </c>
      <c r="C3477" s="15">
        <v>42639</v>
      </c>
      <c r="D3477" s="16">
        <v>0.56319444444444444</v>
      </c>
      <c r="E3477" s="1">
        <v>130</v>
      </c>
      <c r="F3477" s="1">
        <v>16</v>
      </c>
      <c r="G3477" s="1">
        <v>0.29524851421692661</v>
      </c>
      <c r="H3477" s="1" t="s">
        <v>1</v>
      </c>
    </row>
    <row r="3478" spans="1:8" x14ac:dyDescent="0.25">
      <c r="A3478" s="1">
        <v>2016</v>
      </c>
      <c r="B3478" s="1">
        <v>270</v>
      </c>
      <c r="C3478" s="15">
        <v>42639</v>
      </c>
      <c r="D3478" s="16">
        <v>0.5493055555555556</v>
      </c>
      <c r="E3478" s="1">
        <v>130</v>
      </c>
      <c r="F3478" s="1">
        <v>17</v>
      </c>
      <c r="G3478" s="1">
        <v>0.29783729338921278</v>
      </c>
      <c r="H3478" s="1" t="s">
        <v>144</v>
      </c>
    </row>
    <row r="3479" spans="1:8" x14ac:dyDescent="0.25">
      <c r="A3479" s="1">
        <v>2016</v>
      </c>
      <c r="B3479" s="1">
        <v>270</v>
      </c>
      <c r="C3479" s="15">
        <v>42639</v>
      </c>
      <c r="D3479" s="16">
        <v>0.54166666666666663</v>
      </c>
      <c r="E3479" s="1">
        <v>130</v>
      </c>
      <c r="F3479" s="1">
        <v>18</v>
      </c>
      <c r="G3479" s="1">
        <v>0.29542369476241964</v>
      </c>
      <c r="H3479" s="1" t="s">
        <v>144</v>
      </c>
    </row>
    <row r="3480" spans="1:8" x14ac:dyDescent="0.25">
      <c r="A3480" s="1">
        <v>2016</v>
      </c>
      <c r="B3480" s="1">
        <v>270</v>
      </c>
      <c r="C3480" s="15">
        <v>42639</v>
      </c>
      <c r="D3480" s="16">
        <v>0.5395833333333333</v>
      </c>
      <c r="E3480" s="1">
        <v>130</v>
      </c>
      <c r="F3480" s="1">
        <v>19</v>
      </c>
      <c r="G3480" s="1">
        <v>0.29153079375146296</v>
      </c>
      <c r="H3480" s="1" t="s">
        <v>144</v>
      </c>
    </row>
    <row r="3481" spans="1:8" x14ac:dyDescent="0.25">
      <c r="A3481" s="1">
        <v>2016</v>
      </c>
      <c r="B3481" s="1">
        <v>270</v>
      </c>
      <c r="C3481" s="15">
        <v>42639</v>
      </c>
      <c r="D3481" s="16">
        <v>0.53125</v>
      </c>
      <c r="E3481" s="1">
        <v>130</v>
      </c>
      <c r="F3481" s="1">
        <v>20</v>
      </c>
      <c r="G3481" s="1">
        <v>0.26540942796794365</v>
      </c>
      <c r="H3481" s="1" t="s">
        <v>144</v>
      </c>
    </row>
    <row r="3482" spans="1:8" x14ac:dyDescent="0.25">
      <c r="A3482" s="1">
        <v>2016</v>
      </c>
      <c r="B3482" s="1">
        <v>270</v>
      </c>
      <c r="C3482" s="15">
        <v>42639</v>
      </c>
      <c r="D3482" s="16">
        <v>0.3979166666666667</v>
      </c>
      <c r="E3482" s="1">
        <v>110</v>
      </c>
      <c r="F3482" s="1">
        <v>1</v>
      </c>
      <c r="G3482" s="1">
        <v>0.31788274869868588</v>
      </c>
      <c r="H3482" s="1" t="s">
        <v>143</v>
      </c>
    </row>
    <row r="3483" spans="1:8" x14ac:dyDescent="0.25">
      <c r="A3483" s="1">
        <v>2016</v>
      </c>
      <c r="B3483" s="1">
        <v>270</v>
      </c>
      <c r="C3483" s="15">
        <v>42639</v>
      </c>
      <c r="D3483" s="16">
        <v>0.38958333333333334</v>
      </c>
      <c r="E3483" s="1">
        <v>110</v>
      </c>
      <c r="F3483" s="1">
        <v>2</v>
      </c>
      <c r="G3483" s="1">
        <v>0.31518074901077836</v>
      </c>
      <c r="H3483" s="1" t="s">
        <v>143</v>
      </c>
    </row>
    <row r="3484" spans="1:8" x14ac:dyDescent="0.25">
      <c r="A3484" s="1">
        <v>2016</v>
      </c>
      <c r="B3484" s="1">
        <v>270</v>
      </c>
      <c r="C3484" s="15">
        <v>42639</v>
      </c>
      <c r="D3484" s="16">
        <v>0.41388888888888892</v>
      </c>
      <c r="E3484" s="1">
        <v>110</v>
      </c>
      <c r="F3484" s="1">
        <v>3</v>
      </c>
      <c r="G3484" s="1">
        <v>0.30870052942028825</v>
      </c>
      <c r="H3484" s="1" t="s">
        <v>143</v>
      </c>
    </row>
    <row r="3485" spans="1:8" x14ac:dyDescent="0.25">
      <c r="A3485" s="1">
        <v>2016</v>
      </c>
      <c r="B3485" s="1">
        <v>270</v>
      </c>
      <c r="C3485" s="15">
        <v>42639</v>
      </c>
      <c r="D3485" s="16">
        <v>0.4069444444444445</v>
      </c>
      <c r="E3485" s="1">
        <v>110</v>
      </c>
      <c r="F3485" s="1">
        <v>4</v>
      </c>
      <c r="G3485" s="1">
        <v>0.31472278296198047</v>
      </c>
      <c r="H3485" s="1" t="s">
        <v>143</v>
      </c>
    </row>
    <row r="3486" spans="1:8" x14ac:dyDescent="0.25">
      <c r="A3486" s="1">
        <v>2016</v>
      </c>
      <c r="B3486" s="1">
        <v>270</v>
      </c>
      <c r="C3486" s="15">
        <v>42639</v>
      </c>
      <c r="D3486" s="16">
        <v>0.41666666666666669</v>
      </c>
      <c r="E3486" s="1">
        <v>110</v>
      </c>
      <c r="F3486" s="1">
        <v>5</v>
      </c>
      <c r="G3486" s="1">
        <v>0.32259979900130409</v>
      </c>
      <c r="H3486" s="1" t="s">
        <v>0</v>
      </c>
    </row>
    <row r="3487" spans="1:8" x14ac:dyDescent="0.25">
      <c r="A3487" s="1">
        <v>2016</v>
      </c>
      <c r="B3487" s="1">
        <v>270</v>
      </c>
      <c r="C3487" s="15">
        <v>42639</v>
      </c>
      <c r="D3487" s="16">
        <v>0.43055555555555558</v>
      </c>
      <c r="E3487" s="1">
        <v>110</v>
      </c>
      <c r="F3487" s="1">
        <v>6</v>
      </c>
      <c r="G3487" s="1">
        <v>0.30961646151788402</v>
      </c>
      <c r="H3487" s="1" t="s">
        <v>0</v>
      </c>
    </row>
    <row r="3488" spans="1:8" x14ac:dyDescent="0.25">
      <c r="A3488" s="1">
        <v>2016</v>
      </c>
      <c r="B3488" s="1">
        <v>270</v>
      </c>
      <c r="C3488" s="15">
        <v>42639</v>
      </c>
      <c r="D3488" s="16">
        <v>0.4375</v>
      </c>
      <c r="E3488" s="1">
        <v>110</v>
      </c>
      <c r="F3488" s="1">
        <v>7</v>
      </c>
      <c r="G3488" s="1">
        <v>0.31973751119631733</v>
      </c>
      <c r="H3488" s="1" t="s">
        <v>143</v>
      </c>
    </row>
    <row r="3489" spans="1:8" x14ac:dyDescent="0.25">
      <c r="A3489" s="1">
        <v>2016</v>
      </c>
      <c r="B3489" s="1">
        <v>270</v>
      </c>
      <c r="C3489" s="15">
        <v>42639</v>
      </c>
      <c r="D3489" s="16">
        <v>0.4458333333333333</v>
      </c>
      <c r="E3489" s="1">
        <v>110</v>
      </c>
      <c r="F3489" s="1">
        <v>8</v>
      </c>
      <c r="G3489" s="1">
        <v>0.32649251041608612</v>
      </c>
      <c r="H3489" s="1" t="s">
        <v>143</v>
      </c>
    </row>
    <row r="3490" spans="1:8" x14ac:dyDescent="0.25">
      <c r="A3490" s="1">
        <v>2016</v>
      </c>
      <c r="B3490" s="1">
        <v>270</v>
      </c>
      <c r="C3490" s="15">
        <v>42639</v>
      </c>
      <c r="D3490" s="16">
        <v>0.45277777777777778</v>
      </c>
      <c r="E3490" s="1">
        <v>110</v>
      </c>
      <c r="F3490" s="1">
        <v>9</v>
      </c>
      <c r="G3490" s="1">
        <v>0.32106561273783119</v>
      </c>
      <c r="H3490" s="1" t="s">
        <v>143</v>
      </c>
    </row>
    <row r="3491" spans="1:8" x14ac:dyDescent="0.25">
      <c r="A3491" s="1">
        <v>2016</v>
      </c>
      <c r="B3491" s="1">
        <v>270</v>
      </c>
      <c r="C3491" s="15">
        <v>42639</v>
      </c>
      <c r="D3491" s="16">
        <v>0.4597222222222222</v>
      </c>
      <c r="E3491" s="1">
        <v>110</v>
      </c>
      <c r="F3491" s="1">
        <v>10</v>
      </c>
      <c r="G3491" s="1">
        <v>0.31859259607432261</v>
      </c>
      <c r="H3491" s="1" t="s">
        <v>143</v>
      </c>
    </row>
    <row r="3492" spans="1:8" x14ac:dyDescent="0.25">
      <c r="A3492" s="1">
        <v>2016</v>
      </c>
      <c r="B3492" s="1">
        <v>270</v>
      </c>
      <c r="C3492" s="15">
        <v>42639</v>
      </c>
      <c r="D3492" s="16">
        <v>0.57708333333333328</v>
      </c>
      <c r="E3492" s="1">
        <v>110</v>
      </c>
      <c r="F3492" s="1">
        <v>11</v>
      </c>
      <c r="G3492" s="1">
        <v>0.28174922744853265</v>
      </c>
      <c r="H3492" s="1" t="s">
        <v>144</v>
      </c>
    </row>
    <row r="3493" spans="1:8" x14ac:dyDescent="0.25">
      <c r="A3493" s="1">
        <v>2016</v>
      </c>
      <c r="B3493" s="1">
        <v>270</v>
      </c>
      <c r="C3493" s="15">
        <v>42639</v>
      </c>
      <c r="D3493" s="16">
        <v>0.58402777777777781</v>
      </c>
      <c r="E3493" s="1">
        <v>110</v>
      </c>
      <c r="F3493" s="1">
        <v>12</v>
      </c>
      <c r="G3493" s="1">
        <v>0.3069373601324164</v>
      </c>
      <c r="H3493" s="1" t="s">
        <v>144</v>
      </c>
    </row>
    <row r="3494" spans="1:8" x14ac:dyDescent="0.25">
      <c r="A3494" s="1">
        <v>2016</v>
      </c>
      <c r="B3494" s="1">
        <v>270</v>
      </c>
      <c r="C3494" s="15">
        <v>42639</v>
      </c>
      <c r="D3494" s="16">
        <v>0.59097222222222223</v>
      </c>
      <c r="E3494" s="1">
        <v>110</v>
      </c>
      <c r="F3494" s="1">
        <v>13</v>
      </c>
      <c r="G3494" s="1">
        <v>0.30020525921508745</v>
      </c>
      <c r="H3494" s="1" t="s">
        <v>144</v>
      </c>
    </row>
    <row r="3495" spans="1:8" x14ac:dyDescent="0.25">
      <c r="A3495" s="1">
        <v>2016</v>
      </c>
      <c r="B3495" s="1">
        <v>270</v>
      </c>
      <c r="C3495" s="15">
        <v>42639</v>
      </c>
      <c r="D3495" s="16">
        <v>0.57013888888888886</v>
      </c>
      <c r="E3495" s="1">
        <v>110</v>
      </c>
      <c r="F3495" s="1">
        <v>14</v>
      </c>
      <c r="G3495" s="1">
        <v>0.2900155146293345</v>
      </c>
      <c r="H3495" s="1" t="s">
        <v>144</v>
      </c>
    </row>
    <row r="3496" spans="1:8" x14ac:dyDescent="0.25">
      <c r="A3496" s="1">
        <v>2016</v>
      </c>
      <c r="B3496" s="1">
        <v>270</v>
      </c>
      <c r="C3496" s="15">
        <v>42639</v>
      </c>
      <c r="D3496" s="16">
        <v>0.5625</v>
      </c>
      <c r="E3496" s="1">
        <v>110</v>
      </c>
      <c r="F3496" s="1">
        <v>15</v>
      </c>
      <c r="G3496" s="1">
        <v>0.32081373141099234</v>
      </c>
      <c r="H3496" s="1" t="s">
        <v>1</v>
      </c>
    </row>
    <row r="3497" spans="1:8" x14ac:dyDescent="0.25">
      <c r="A3497" s="1">
        <v>2016</v>
      </c>
      <c r="B3497" s="1">
        <v>270</v>
      </c>
      <c r="C3497" s="15">
        <v>42639</v>
      </c>
      <c r="D3497" s="16">
        <v>0.56319444444444444</v>
      </c>
      <c r="E3497" s="1">
        <v>110</v>
      </c>
      <c r="F3497" s="1">
        <v>16</v>
      </c>
      <c r="G3497" s="1">
        <v>0.31103615626915748</v>
      </c>
      <c r="H3497" s="1" t="s">
        <v>1</v>
      </c>
    </row>
    <row r="3498" spans="1:8" x14ac:dyDescent="0.25">
      <c r="A3498" s="1">
        <v>2016</v>
      </c>
      <c r="B3498" s="1">
        <v>270</v>
      </c>
      <c r="C3498" s="15">
        <v>42639</v>
      </c>
      <c r="D3498" s="16">
        <v>0.5493055555555556</v>
      </c>
      <c r="E3498" s="1">
        <v>110</v>
      </c>
      <c r="F3498" s="1">
        <v>17</v>
      </c>
      <c r="G3498" s="1">
        <v>0.31616537601569383</v>
      </c>
      <c r="H3498" s="1" t="s">
        <v>144</v>
      </c>
    </row>
    <row r="3499" spans="1:8" x14ac:dyDescent="0.25">
      <c r="A3499" s="1">
        <v>2016</v>
      </c>
      <c r="B3499" s="1">
        <v>270</v>
      </c>
      <c r="C3499" s="15">
        <v>42639</v>
      </c>
      <c r="D3499" s="16">
        <v>0.54166666666666663</v>
      </c>
      <c r="E3499" s="1">
        <v>110</v>
      </c>
      <c r="F3499" s="1">
        <v>18</v>
      </c>
      <c r="G3499" s="1">
        <v>0.31513495240589856</v>
      </c>
      <c r="H3499" s="1" t="s">
        <v>144</v>
      </c>
    </row>
    <row r="3500" spans="1:8" x14ac:dyDescent="0.25">
      <c r="A3500" s="1">
        <v>2016</v>
      </c>
      <c r="B3500" s="1">
        <v>270</v>
      </c>
      <c r="C3500" s="15">
        <v>42639</v>
      </c>
      <c r="D3500" s="16">
        <v>0.5395833333333333</v>
      </c>
      <c r="E3500" s="1">
        <v>110</v>
      </c>
      <c r="F3500" s="1">
        <v>19</v>
      </c>
      <c r="G3500" s="1">
        <v>0.31566161336201615</v>
      </c>
      <c r="H3500" s="1" t="s">
        <v>144</v>
      </c>
    </row>
    <row r="3501" spans="1:8" x14ac:dyDescent="0.25">
      <c r="A3501" s="1">
        <v>2016</v>
      </c>
      <c r="B3501" s="1">
        <v>270</v>
      </c>
      <c r="C3501" s="15">
        <v>42639</v>
      </c>
      <c r="D3501" s="16">
        <v>0.53125</v>
      </c>
      <c r="E3501" s="1">
        <v>110</v>
      </c>
      <c r="F3501" s="1">
        <v>20</v>
      </c>
      <c r="G3501" s="1">
        <v>0.28761119287314557</v>
      </c>
      <c r="H3501" s="1" t="s">
        <v>144</v>
      </c>
    </row>
    <row r="3502" spans="1:8" x14ac:dyDescent="0.25">
      <c r="A3502" s="1">
        <v>2016</v>
      </c>
      <c r="B3502" s="1">
        <v>270</v>
      </c>
      <c r="C3502" s="15">
        <v>42639</v>
      </c>
      <c r="D3502" s="16">
        <v>0.3979166666666667</v>
      </c>
      <c r="E3502" s="1">
        <v>90</v>
      </c>
      <c r="F3502" s="1">
        <v>1</v>
      </c>
      <c r="G3502" s="1">
        <v>0.29777803915645862</v>
      </c>
      <c r="H3502" s="1" t="s">
        <v>143</v>
      </c>
    </row>
    <row r="3503" spans="1:8" x14ac:dyDescent="0.25">
      <c r="A3503" s="1">
        <v>2016</v>
      </c>
      <c r="B3503" s="1">
        <v>270</v>
      </c>
      <c r="C3503" s="15">
        <v>42639</v>
      </c>
      <c r="D3503" s="16">
        <v>0.38958333333333334</v>
      </c>
      <c r="E3503" s="1">
        <v>90</v>
      </c>
      <c r="F3503" s="1">
        <v>2</v>
      </c>
      <c r="G3503" s="1">
        <v>0.31458539314734107</v>
      </c>
      <c r="H3503" s="1" t="s">
        <v>143</v>
      </c>
    </row>
    <row r="3504" spans="1:8" x14ac:dyDescent="0.25">
      <c r="A3504" s="1">
        <v>2016</v>
      </c>
      <c r="B3504" s="1">
        <v>270</v>
      </c>
      <c r="C3504" s="15">
        <v>42639</v>
      </c>
      <c r="D3504" s="16">
        <v>0.41388888888888892</v>
      </c>
      <c r="E3504" s="1">
        <v>90</v>
      </c>
      <c r="F3504" s="1">
        <v>3</v>
      </c>
      <c r="G3504" s="1">
        <v>0.30872342772272815</v>
      </c>
      <c r="H3504" s="1" t="s">
        <v>143</v>
      </c>
    </row>
    <row r="3505" spans="1:8" x14ac:dyDescent="0.25">
      <c r="A3505" s="1">
        <v>2016</v>
      </c>
      <c r="B3505" s="1">
        <v>270</v>
      </c>
      <c r="C3505" s="15">
        <v>42639</v>
      </c>
      <c r="D3505" s="16">
        <v>0.4069444444444445</v>
      </c>
      <c r="E3505" s="1">
        <v>90</v>
      </c>
      <c r="F3505" s="1">
        <v>4</v>
      </c>
      <c r="G3505" s="1">
        <v>0.30080061507852474</v>
      </c>
      <c r="H3505" s="1" t="s">
        <v>143</v>
      </c>
    </row>
    <row r="3506" spans="1:8" x14ac:dyDescent="0.25">
      <c r="A3506" s="1">
        <v>2016</v>
      </c>
      <c r="B3506" s="1">
        <v>270</v>
      </c>
      <c r="C3506" s="15">
        <v>42639</v>
      </c>
      <c r="D3506" s="16">
        <v>0.41666666666666669</v>
      </c>
      <c r="E3506" s="1">
        <v>90</v>
      </c>
      <c r="F3506" s="1">
        <v>5</v>
      </c>
      <c r="G3506" s="1">
        <v>0.3206992398987929</v>
      </c>
      <c r="H3506" s="1" t="s">
        <v>0</v>
      </c>
    </row>
    <row r="3507" spans="1:8" x14ac:dyDescent="0.25">
      <c r="A3507" s="1">
        <v>2016</v>
      </c>
      <c r="B3507" s="1">
        <v>270</v>
      </c>
      <c r="C3507" s="15">
        <v>42639</v>
      </c>
      <c r="D3507" s="16">
        <v>0.43055555555555558</v>
      </c>
      <c r="E3507" s="1">
        <v>90</v>
      </c>
      <c r="F3507" s="1">
        <v>6</v>
      </c>
      <c r="G3507" s="1">
        <v>0.30448724177134767</v>
      </c>
      <c r="H3507" s="1" t="s">
        <v>0</v>
      </c>
    </row>
    <row r="3508" spans="1:8" x14ac:dyDescent="0.25">
      <c r="A3508" s="1">
        <v>2016</v>
      </c>
      <c r="B3508" s="1">
        <v>270</v>
      </c>
      <c r="C3508" s="15">
        <v>42639</v>
      </c>
      <c r="D3508" s="16">
        <v>0.4375</v>
      </c>
      <c r="E3508" s="1">
        <v>90</v>
      </c>
      <c r="F3508" s="1">
        <v>7</v>
      </c>
      <c r="G3508" s="1">
        <v>0.31405873219122349</v>
      </c>
      <c r="H3508" s="1" t="s">
        <v>143</v>
      </c>
    </row>
    <row r="3509" spans="1:8" x14ac:dyDescent="0.25">
      <c r="A3509" s="1">
        <v>2016</v>
      </c>
      <c r="B3509" s="1">
        <v>270</v>
      </c>
      <c r="C3509" s="15">
        <v>42639</v>
      </c>
      <c r="D3509" s="16">
        <v>0.4458333333333333</v>
      </c>
      <c r="E3509" s="1">
        <v>90</v>
      </c>
      <c r="F3509" s="1">
        <v>8</v>
      </c>
      <c r="G3509" s="1">
        <v>0.30808227525441112</v>
      </c>
      <c r="H3509" s="1" t="s">
        <v>143</v>
      </c>
    </row>
    <row r="3510" spans="1:8" x14ac:dyDescent="0.25">
      <c r="A3510" s="1">
        <v>2016</v>
      </c>
      <c r="B3510" s="1">
        <v>270</v>
      </c>
      <c r="C3510" s="15">
        <v>42639</v>
      </c>
      <c r="D3510" s="16">
        <v>0.45277777777777778</v>
      </c>
      <c r="E3510" s="1">
        <v>90</v>
      </c>
      <c r="F3510" s="1">
        <v>9</v>
      </c>
      <c r="G3510" s="1">
        <v>0.31344047802534636</v>
      </c>
      <c r="H3510" s="1" t="s">
        <v>143</v>
      </c>
    </row>
    <row r="3511" spans="1:8" x14ac:dyDescent="0.25">
      <c r="A3511" s="1">
        <v>2016</v>
      </c>
      <c r="B3511" s="1">
        <v>270</v>
      </c>
      <c r="C3511" s="15">
        <v>42639</v>
      </c>
      <c r="D3511" s="16">
        <v>0.4597222222222222</v>
      </c>
      <c r="E3511" s="1">
        <v>90</v>
      </c>
      <c r="F3511" s="1">
        <v>10</v>
      </c>
      <c r="G3511" s="1">
        <v>0.30634200426897912</v>
      </c>
      <c r="H3511" s="1" t="s">
        <v>143</v>
      </c>
    </row>
    <row r="3512" spans="1:8" x14ac:dyDescent="0.25">
      <c r="A3512" s="1">
        <v>2016</v>
      </c>
      <c r="B3512" s="1">
        <v>270</v>
      </c>
      <c r="C3512" s="15">
        <v>42639</v>
      </c>
      <c r="D3512" s="16">
        <v>0.57708333333333328</v>
      </c>
      <c r="E3512" s="1">
        <v>90</v>
      </c>
      <c r="F3512" s="1">
        <v>11</v>
      </c>
      <c r="G3512" s="1">
        <v>0.2814057529119342</v>
      </c>
      <c r="H3512" s="1" t="s">
        <v>144</v>
      </c>
    </row>
    <row r="3513" spans="1:8" x14ac:dyDescent="0.25">
      <c r="A3513" s="1">
        <v>2016</v>
      </c>
      <c r="B3513" s="1">
        <v>270</v>
      </c>
      <c r="C3513" s="15">
        <v>42639</v>
      </c>
      <c r="D3513" s="16">
        <v>0.58402777777777781</v>
      </c>
      <c r="E3513" s="1">
        <v>90</v>
      </c>
      <c r="F3513" s="1">
        <v>12</v>
      </c>
      <c r="G3513" s="1">
        <v>0.28181792235585229</v>
      </c>
      <c r="H3513" s="1" t="s">
        <v>144</v>
      </c>
    </row>
    <row r="3514" spans="1:8" x14ac:dyDescent="0.25">
      <c r="A3514" s="1">
        <v>2016</v>
      </c>
      <c r="B3514" s="1">
        <v>270</v>
      </c>
      <c r="C3514" s="15">
        <v>42639</v>
      </c>
      <c r="D3514" s="16">
        <v>0.59097222222222223</v>
      </c>
      <c r="E3514" s="1">
        <v>90</v>
      </c>
      <c r="F3514" s="1">
        <v>13</v>
      </c>
      <c r="G3514" s="1">
        <v>0.27600175353611911</v>
      </c>
      <c r="H3514" s="1" t="s">
        <v>144</v>
      </c>
    </row>
    <row r="3515" spans="1:8" x14ac:dyDescent="0.25">
      <c r="A3515" s="1">
        <v>2016</v>
      </c>
      <c r="B3515" s="1">
        <v>270</v>
      </c>
      <c r="C3515" s="15">
        <v>42639</v>
      </c>
      <c r="D3515" s="16">
        <v>0.57013888888888886</v>
      </c>
      <c r="E3515" s="1">
        <v>90</v>
      </c>
      <c r="F3515" s="1">
        <v>14</v>
      </c>
      <c r="G3515" s="1">
        <v>0.28028373609237939</v>
      </c>
      <c r="H3515" s="1" t="s">
        <v>144</v>
      </c>
    </row>
    <row r="3516" spans="1:8" x14ac:dyDescent="0.25">
      <c r="A3516" s="1">
        <v>2016</v>
      </c>
      <c r="B3516" s="1">
        <v>270</v>
      </c>
      <c r="C3516" s="15">
        <v>42639</v>
      </c>
      <c r="D3516" s="16">
        <v>0.5625</v>
      </c>
      <c r="E3516" s="1">
        <v>90</v>
      </c>
      <c r="F3516" s="1">
        <v>15</v>
      </c>
      <c r="G3516" s="1">
        <v>0.31776825718648644</v>
      </c>
      <c r="H3516" s="1" t="s">
        <v>1</v>
      </c>
    </row>
    <row r="3517" spans="1:8" x14ac:dyDescent="0.25">
      <c r="A3517" s="1">
        <v>2016</v>
      </c>
      <c r="B3517" s="1">
        <v>270</v>
      </c>
      <c r="C3517" s="15">
        <v>42639</v>
      </c>
      <c r="D3517" s="16">
        <v>0.56319444444444444</v>
      </c>
      <c r="E3517" s="1">
        <v>90</v>
      </c>
      <c r="F3517" s="1">
        <v>16</v>
      </c>
      <c r="G3517" s="1">
        <v>0.30863183451296861</v>
      </c>
      <c r="H3517" s="1" t="s">
        <v>1</v>
      </c>
    </row>
    <row r="3518" spans="1:8" x14ac:dyDescent="0.25">
      <c r="A3518" s="1">
        <v>2016</v>
      </c>
      <c r="B3518" s="1">
        <v>270</v>
      </c>
      <c r="C3518" s="15">
        <v>42639</v>
      </c>
      <c r="D3518" s="16">
        <v>0.5493055555555556</v>
      </c>
      <c r="E3518" s="1">
        <v>90</v>
      </c>
      <c r="F3518" s="1">
        <v>17</v>
      </c>
      <c r="G3518" s="1">
        <v>0.31582190147909539</v>
      </c>
      <c r="H3518" s="1" t="s">
        <v>144</v>
      </c>
    </row>
    <row r="3519" spans="1:8" x14ac:dyDescent="0.25">
      <c r="A3519" s="1">
        <v>2016</v>
      </c>
      <c r="B3519" s="1">
        <v>270</v>
      </c>
      <c r="C3519" s="15">
        <v>42639</v>
      </c>
      <c r="D3519" s="16">
        <v>0.54166666666666663</v>
      </c>
      <c r="E3519" s="1">
        <v>90</v>
      </c>
      <c r="F3519" s="1">
        <v>18</v>
      </c>
      <c r="G3519" s="1">
        <v>0.3021287166200386</v>
      </c>
      <c r="H3519" s="1" t="s">
        <v>144</v>
      </c>
    </row>
    <row r="3520" spans="1:8" x14ac:dyDescent="0.25">
      <c r="A3520" s="1">
        <v>2016</v>
      </c>
      <c r="B3520" s="1">
        <v>270</v>
      </c>
      <c r="C3520" s="15">
        <v>42639</v>
      </c>
      <c r="D3520" s="16">
        <v>0.5395833333333333</v>
      </c>
      <c r="E3520" s="1">
        <v>90</v>
      </c>
      <c r="F3520" s="1">
        <v>19</v>
      </c>
      <c r="G3520" s="1">
        <v>0.28715322682434768</v>
      </c>
      <c r="H3520" s="1" t="s">
        <v>144</v>
      </c>
    </row>
    <row r="3521" spans="1:8" x14ac:dyDescent="0.25">
      <c r="A3521" s="1">
        <v>2016</v>
      </c>
      <c r="B3521" s="1">
        <v>270</v>
      </c>
      <c r="C3521" s="15">
        <v>42639</v>
      </c>
      <c r="D3521" s="16">
        <v>0.53125</v>
      </c>
      <c r="E3521" s="1">
        <v>90</v>
      </c>
      <c r="F3521" s="1">
        <v>20</v>
      </c>
      <c r="G3521" s="1">
        <v>0.29308388715628031</v>
      </c>
      <c r="H3521" s="1" t="s">
        <v>144</v>
      </c>
    </row>
    <row r="3522" spans="1:8" x14ac:dyDescent="0.25">
      <c r="A3522" s="1">
        <v>2016</v>
      </c>
      <c r="B3522" s="1">
        <v>270</v>
      </c>
      <c r="C3522" s="15">
        <v>42639</v>
      </c>
      <c r="D3522" s="16">
        <v>0.3979166666666667</v>
      </c>
      <c r="E3522" s="1">
        <v>70</v>
      </c>
      <c r="F3522" s="1">
        <v>1</v>
      </c>
      <c r="G3522" s="1">
        <v>0.32257690069886424</v>
      </c>
      <c r="H3522" s="1" t="s">
        <v>143</v>
      </c>
    </row>
    <row r="3523" spans="1:8" x14ac:dyDescent="0.25">
      <c r="A3523" s="1">
        <v>2016</v>
      </c>
      <c r="B3523" s="1">
        <v>270</v>
      </c>
      <c r="C3523" s="15">
        <v>42639</v>
      </c>
      <c r="D3523" s="16">
        <v>0.38958333333333334</v>
      </c>
      <c r="E3523" s="1">
        <v>70</v>
      </c>
      <c r="F3523" s="1">
        <v>2</v>
      </c>
      <c r="G3523" s="1">
        <v>0.32266849390862379</v>
      </c>
      <c r="H3523" s="1" t="s">
        <v>143</v>
      </c>
    </row>
    <row r="3524" spans="1:8" x14ac:dyDescent="0.25">
      <c r="A3524" s="1">
        <v>2016</v>
      </c>
      <c r="B3524" s="1">
        <v>270</v>
      </c>
      <c r="C3524" s="15">
        <v>42639</v>
      </c>
      <c r="D3524" s="16">
        <v>0.41388888888888892</v>
      </c>
      <c r="E3524" s="1">
        <v>70</v>
      </c>
      <c r="F3524" s="1">
        <v>3</v>
      </c>
      <c r="G3524" s="1">
        <v>0.33047681504062776</v>
      </c>
      <c r="H3524" s="1" t="s">
        <v>143</v>
      </c>
    </row>
    <row r="3525" spans="1:8" x14ac:dyDescent="0.25">
      <c r="A3525" s="1">
        <v>2016</v>
      </c>
      <c r="B3525" s="1">
        <v>270</v>
      </c>
      <c r="C3525" s="15">
        <v>42639</v>
      </c>
      <c r="D3525" s="16">
        <v>0.4069444444444445</v>
      </c>
      <c r="E3525" s="1">
        <v>70</v>
      </c>
      <c r="F3525" s="1">
        <v>4</v>
      </c>
      <c r="G3525" s="1">
        <v>0.31685232508889066</v>
      </c>
      <c r="H3525" s="1" t="s">
        <v>143</v>
      </c>
    </row>
    <row r="3526" spans="1:8" x14ac:dyDescent="0.25">
      <c r="A3526" s="1">
        <v>2016</v>
      </c>
      <c r="B3526" s="1">
        <v>270</v>
      </c>
      <c r="C3526" s="15">
        <v>42639</v>
      </c>
      <c r="D3526" s="16">
        <v>0.41666666666666669</v>
      </c>
      <c r="E3526" s="1">
        <v>70</v>
      </c>
      <c r="F3526" s="1">
        <v>5</v>
      </c>
      <c r="G3526" s="1">
        <v>0.32713366288440321</v>
      </c>
      <c r="H3526" s="1" t="s">
        <v>0</v>
      </c>
    </row>
    <row r="3527" spans="1:8" x14ac:dyDescent="0.25">
      <c r="A3527" s="1">
        <v>2016</v>
      </c>
      <c r="B3527" s="1">
        <v>270</v>
      </c>
      <c r="C3527" s="15">
        <v>42639</v>
      </c>
      <c r="D3527" s="16">
        <v>0.43055555555555558</v>
      </c>
      <c r="E3527" s="1">
        <v>70</v>
      </c>
      <c r="F3527" s="1">
        <v>6</v>
      </c>
      <c r="G3527" s="1">
        <v>0.32420268017209675</v>
      </c>
      <c r="H3527" s="1" t="s">
        <v>0</v>
      </c>
    </row>
    <row r="3528" spans="1:8" x14ac:dyDescent="0.25">
      <c r="A3528" s="1">
        <v>2016</v>
      </c>
      <c r="B3528" s="1">
        <v>270</v>
      </c>
      <c r="C3528" s="15">
        <v>42639</v>
      </c>
      <c r="D3528" s="16">
        <v>0.4375</v>
      </c>
      <c r="E3528" s="1">
        <v>70</v>
      </c>
      <c r="F3528" s="1">
        <v>7</v>
      </c>
      <c r="G3528" s="1">
        <v>0.33146144204554323</v>
      </c>
      <c r="H3528" s="1" t="s">
        <v>143</v>
      </c>
    </row>
    <row r="3529" spans="1:8" x14ac:dyDescent="0.25">
      <c r="A3529" s="1">
        <v>2016</v>
      </c>
      <c r="B3529" s="1">
        <v>270</v>
      </c>
      <c r="C3529" s="15">
        <v>42639</v>
      </c>
      <c r="D3529" s="16">
        <v>0.4458333333333333</v>
      </c>
      <c r="E3529" s="1">
        <v>70</v>
      </c>
      <c r="F3529" s="1">
        <v>8</v>
      </c>
      <c r="G3529" s="1">
        <v>0.32136329066954983</v>
      </c>
      <c r="H3529" s="1" t="s">
        <v>143</v>
      </c>
    </row>
    <row r="3530" spans="1:8" x14ac:dyDescent="0.25">
      <c r="A3530" s="1">
        <v>2016</v>
      </c>
      <c r="B3530" s="1">
        <v>270</v>
      </c>
      <c r="C3530" s="15">
        <v>42639</v>
      </c>
      <c r="D3530" s="16">
        <v>0.45277777777777778</v>
      </c>
      <c r="E3530" s="1">
        <v>70</v>
      </c>
      <c r="F3530" s="1">
        <v>9</v>
      </c>
      <c r="G3530" s="1">
        <v>0.32324095146962117</v>
      </c>
      <c r="H3530" s="1" t="s">
        <v>143</v>
      </c>
    </row>
    <row r="3531" spans="1:8" x14ac:dyDescent="0.25">
      <c r="A3531" s="1">
        <v>2016</v>
      </c>
      <c r="B3531" s="1">
        <v>270</v>
      </c>
      <c r="C3531" s="15">
        <v>42639</v>
      </c>
      <c r="D3531" s="16">
        <v>0.4597222222222222</v>
      </c>
      <c r="E3531" s="1">
        <v>70</v>
      </c>
      <c r="F3531" s="1">
        <v>10</v>
      </c>
      <c r="G3531" s="1">
        <v>0.32269139221106369</v>
      </c>
      <c r="H3531" s="1" t="s">
        <v>143</v>
      </c>
    </row>
    <row r="3532" spans="1:8" x14ac:dyDescent="0.25">
      <c r="A3532" s="1">
        <v>2016</v>
      </c>
      <c r="B3532" s="1">
        <v>270</v>
      </c>
      <c r="C3532" s="15">
        <v>42639</v>
      </c>
      <c r="D3532" s="16">
        <v>0.57708333333333328</v>
      </c>
      <c r="E3532" s="1">
        <v>70</v>
      </c>
      <c r="F3532" s="1">
        <v>11</v>
      </c>
      <c r="G3532" s="1">
        <v>0.30542607217138334</v>
      </c>
      <c r="H3532" s="1" t="s">
        <v>144</v>
      </c>
    </row>
    <row r="3533" spans="1:8" x14ac:dyDescent="0.25">
      <c r="A3533" s="1">
        <v>2016</v>
      </c>
      <c r="B3533" s="1">
        <v>270</v>
      </c>
      <c r="C3533" s="15">
        <v>42639</v>
      </c>
      <c r="D3533" s="16">
        <v>0.58402777777777781</v>
      </c>
      <c r="E3533" s="1">
        <v>70</v>
      </c>
      <c r="F3533" s="1">
        <v>12</v>
      </c>
      <c r="G3533" s="1">
        <v>0.29633544610274531</v>
      </c>
      <c r="H3533" s="1" t="s">
        <v>144</v>
      </c>
    </row>
    <row r="3534" spans="1:8" x14ac:dyDescent="0.25">
      <c r="A3534" s="1">
        <v>2016</v>
      </c>
      <c r="B3534" s="1">
        <v>270</v>
      </c>
      <c r="C3534" s="15">
        <v>42639</v>
      </c>
      <c r="D3534" s="16">
        <v>0.59097222222222223</v>
      </c>
      <c r="E3534" s="1">
        <v>70</v>
      </c>
      <c r="F3534" s="1">
        <v>13</v>
      </c>
      <c r="G3534" s="1">
        <v>0.29132071786840846</v>
      </c>
      <c r="H3534" s="1" t="s">
        <v>144</v>
      </c>
    </row>
    <row r="3535" spans="1:8" x14ac:dyDescent="0.25">
      <c r="A3535" s="1">
        <v>2016</v>
      </c>
      <c r="B3535" s="1">
        <v>270</v>
      </c>
      <c r="C3535" s="15">
        <v>42639</v>
      </c>
      <c r="D3535" s="16">
        <v>0.57013888888888886</v>
      </c>
      <c r="E3535" s="1">
        <v>70</v>
      </c>
      <c r="F3535" s="1">
        <v>14</v>
      </c>
      <c r="G3535" s="1">
        <v>0.31717290132304915</v>
      </c>
      <c r="H3535" s="1" t="s">
        <v>144</v>
      </c>
    </row>
    <row r="3536" spans="1:8" x14ac:dyDescent="0.25">
      <c r="A3536" s="1">
        <v>2016</v>
      </c>
      <c r="B3536" s="1">
        <v>270</v>
      </c>
      <c r="C3536" s="15">
        <v>42639</v>
      </c>
      <c r="D3536" s="16">
        <v>0.5625</v>
      </c>
      <c r="E3536" s="1">
        <v>70</v>
      </c>
      <c r="F3536" s="1">
        <v>15</v>
      </c>
      <c r="G3536" s="1">
        <v>0.31790564700112578</v>
      </c>
      <c r="H3536" s="1" t="s">
        <v>1</v>
      </c>
    </row>
    <row r="3537" spans="1:8" x14ac:dyDescent="0.25">
      <c r="A3537" s="1">
        <v>2016</v>
      </c>
      <c r="B3537" s="1">
        <v>270</v>
      </c>
      <c r="C3537" s="15">
        <v>42639</v>
      </c>
      <c r="D3537" s="16">
        <v>0.56319444444444444</v>
      </c>
      <c r="E3537" s="1">
        <v>70</v>
      </c>
      <c r="F3537" s="1">
        <v>16</v>
      </c>
      <c r="G3537" s="1">
        <v>0.31412742709854324</v>
      </c>
      <c r="H3537" s="1" t="s">
        <v>1</v>
      </c>
    </row>
    <row r="3538" spans="1:8" x14ac:dyDescent="0.25">
      <c r="A3538" s="1">
        <v>2016</v>
      </c>
      <c r="B3538" s="1">
        <v>270</v>
      </c>
      <c r="C3538" s="15">
        <v>42639</v>
      </c>
      <c r="D3538" s="16">
        <v>0.5493055555555556</v>
      </c>
      <c r="E3538" s="1">
        <v>70</v>
      </c>
      <c r="F3538" s="1">
        <v>17</v>
      </c>
      <c r="G3538" s="1">
        <v>0.33157593355774267</v>
      </c>
      <c r="H3538" s="1" t="s">
        <v>144</v>
      </c>
    </row>
    <row r="3539" spans="1:8" x14ac:dyDescent="0.25">
      <c r="A3539" s="1">
        <v>2016</v>
      </c>
      <c r="B3539" s="1">
        <v>270</v>
      </c>
      <c r="C3539" s="15">
        <v>42639</v>
      </c>
      <c r="D3539" s="16">
        <v>0.54166666666666663</v>
      </c>
      <c r="E3539" s="1">
        <v>70</v>
      </c>
      <c r="F3539" s="1">
        <v>18</v>
      </c>
      <c r="G3539" s="1">
        <v>0.31497466428881926</v>
      </c>
      <c r="H3539" s="1" t="s">
        <v>144</v>
      </c>
    </row>
    <row r="3540" spans="1:8" x14ac:dyDescent="0.25">
      <c r="A3540" s="1">
        <v>2016</v>
      </c>
      <c r="B3540" s="1">
        <v>270</v>
      </c>
      <c r="C3540" s="15">
        <v>42639</v>
      </c>
      <c r="D3540" s="16">
        <v>0.5395833333333333</v>
      </c>
      <c r="E3540" s="1">
        <v>70</v>
      </c>
      <c r="F3540" s="1">
        <v>19</v>
      </c>
      <c r="G3540" s="1">
        <v>0.30416666553718918</v>
      </c>
      <c r="H3540" s="1" t="s">
        <v>144</v>
      </c>
    </row>
    <row r="3541" spans="1:8" x14ac:dyDescent="0.25">
      <c r="A3541" s="1">
        <v>2016</v>
      </c>
      <c r="B3541" s="1">
        <v>270</v>
      </c>
      <c r="C3541" s="15">
        <v>42639</v>
      </c>
      <c r="D3541" s="16">
        <v>0.53125</v>
      </c>
      <c r="E3541" s="1">
        <v>70</v>
      </c>
      <c r="F3541" s="1">
        <v>20</v>
      </c>
      <c r="G3541" s="1">
        <v>0.31137963080575592</v>
      </c>
      <c r="H3541" s="1" t="s">
        <v>144</v>
      </c>
    </row>
    <row r="3542" spans="1:8" x14ac:dyDescent="0.25">
      <c r="A3542" s="1">
        <v>2016</v>
      </c>
      <c r="B3542" s="1">
        <v>270</v>
      </c>
      <c r="C3542" s="15">
        <v>42639</v>
      </c>
      <c r="D3542" s="16">
        <v>0.3979166666666667</v>
      </c>
      <c r="E3542" s="1">
        <v>50</v>
      </c>
      <c r="F3542" s="1">
        <v>1</v>
      </c>
      <c r="G3542" s="1">
        <v>0.32873654405519581</v>
      </c>
      <c r="H3542" s="1" t="s">
        <v>143</v>
      </c>
    </row>
    <row r="3543" spans="1:8" x14ac:dyDescent="0.25">
      <c r="A3543" s="1">
        <v>2016</v>
      </c>
      <c r="B3543" s="1">
        <v>270</v>
      </c>
      <c r="C3543" s="15">
        <v>42639</v>
      </c>
      <c r="D3543" s="16">
        <v>0.38958333333333334</v>
      </c>
      <c r="E3543" s="1">
        <v>50</v>
      </c>
      <c r="F3543" s="1">
        <v>2</v>
      </c>
      <c r="G3543" s="1">
        <v>0.33972772922634509</v>
      </c>
      <c r="H3543" s="1" t="s">
        <v>143</v>
      </c>
    </row>
    <row r="3544" spans="1:8" x14ac:dyDescent="0.25">
      <c r="A3544" s="1">
        <v>2016</v>
      </c>
      <c r="B3544" s="1">
        <v>270</v>
      </c>
      <c r="C3544" s="15">
        <v>42639</v>
      </c>
      <c r="D3544" s="16">
        <v>0.41388888888888892</v>
      </c>
      <c r="E3544" s="1">
        <v>50</v>
      </c>
      <c r="F3544" s="1">
        <v>3</v>
      </c>
      <c r="G3544" s="1">
        <v>0.34405550838748511</v>
      </c>
      <c r="H3544" s="1" t="s">
        <v>143</v>
      </c>
    </row>
    <row r="3545" spans="1:8" x14ac:dyDescent="0.25">
      <c r="A3545" s="1">
        <v>2016</v>
      </c>
      <c r="B3545" s="1">
        <v>270</v>
      </c>
      <c r="C3545" s="15">
        <v>42639</v>
      </c>
      <c r="D3545" s="16">
        <v>0.4069444444444445</v>
      </c>
      <c r="E3545" s="1">
        <v>50</v>
      </c>
      <c r="F3545" s="1">
        <v>4</v>
      </c>
      <c r="G3545" s="1">
        <v>0.32995015408451017</v>
      </c>
      <c r="H3545" s="1" t="s">
        <v>143</v>
      </c>
    </row>
    <row r="3546" spans="1:8" x14ac:dyDescent="0.25">
      <c r="A3546" s="1">
        <v>2016</v>
      </c>
      <c r="B3546" s="1">
        <v>270</v>
      </c>
      <c r="C3546" s="15">
        <v>42639</v>
      </c>
      <c r="D3546" s="16">
        <v>0.41666666666666669</v>
      </c>
      <c r="E3546" s="1">
        <v>50</v>
      </c>
      <c r="F3546" s="1">
        <v>5</v>
      </c>
      <c r="G3546" s="1">
        <v>0.3309118827869858</v>
      </c>
      <c r="H3546" s="1" t="s">
        <v>0</v>
      </c>
    </row>
    <row r="3547" spans="1:8" x14ac:dyDescent="0.25">
      <c r="A3547" s="1">
        <v>2016</v>
      </c>
      <c r="B3547" s="1">
        <v>270</v>
      </c>
      <c r="C3547" s="15">
        <v>42639</v>
      </c>
      <c r="D3547" s="16">
        <v>0.43055555555555558</v>
      </c>
      <c r="E3547" s="1">
        <v>50</v>
      </c>
      <c r="F3547" s="1">
        <v>6</v>
      </c>
      <c r="G3547" s="1">
        <v>0.34284189835817075</v>
      </c>
      <c r="H3547" s="1" t="s">
        <v>0</v>
      </c>
    </row>
    <row r="3548" spans="1:8" x14ac:dyDescent="0.25">
      <c r="A3548" s="1">
        <v>2016</v>
      </c>
      <c r="B3548" s="1">
        <v>270</v>
      </c>
      <c r="C3548" s="15">
        <v>42639</v>
      </c>
      <c r="D3548" s="16">
        <v>0.4375</v>
      </c>
      <c r="E3548" s="1">
        <v>50</v>
      </c>
      <c r="F3548" s="1">
        <v>7</v>
      </c>
      <c r="G3548" s="1">
        <v>0.34581867767535696</v>
      </c>
      <c r="H3548" s="1" t="s">
        <v>143</v>
      </c>
    </row>
    <row r="3549" spans="1:8" x14ac:dyDescent="0.25">
      <c r="A3549" s="1">
        <v>2016</v>
      </c>
      <c r="B3549" s="1">
        <v>270</v>
      </c>
      <c r="C3549" s="15">
        <v>42639</v>
      </c>
      <c r="D3549" s="16">
        <v>0.4458333333333333</v>
      </c>
      <c r="E3549" s="1">
        <v>50</v>
      </c>
      <c r="F3549" s="1">
        <v>8</v>
      </c>
      <c r="G3549" s="1">
        <v>0.32816408649419848</v>
      </c>
      <c r="H3549" s="1" t="s">
        <v>143</v>
      </c>
    </row>
    <row r="3550" spans="1:8" x14ac:dyDescent="0.25">
      <c r="A3550" s="1">
        <v>2016</v>
      </c>
      <c r="B3550" s="1">
        <v>270</v>
      </c>
      <c r="C3550" s="15">
        <v>42639</v>
      </c>
      <c r="D3550" s="16">
        <v>0.45277777777777778</v>
      </c>
      <c r="E3550" s="1">
        <v>50</v>
      </c>
      <c r="F3550" s="1">
        <v>9</v>
      </c>
      <c r="G3550" s="1">
        <v>0.3393384580848669</v>
      </c>
      <c r="H3550" s="1" t="s">
        <v>143</v>
      </c>
    </row>
    <row r="3551" spans="1:8" x14ac:dyDescent="0.25">
      <c r="A3551" s="1">
        <v>2016</v>
      </c>
      <c r="B3551" s="1">
        <v>270</v>
      </c>
      <c r="C3551" s="15">
        <v>42639</v>
      </c>
      <c r="D3551" s="16">
        <v>0.4597222222222222</v>
      </c>
      <c r="E3551" s="1">
        <v>50</v>
      </c>
      <c r="F3551" s="1">
        <v>10</v>
      </c>
      <c r="G3551" s="1">
        <v>0.33670515330427903</v>
      </c>
      <c r="H3551" s="1" t="s">
        <v>143</v>
      </c>
    </row>
    <row r="3552" spans="1:8" x14ac:dyDescent="0.25">
      <c r="A3552" s="1">
        <v>2016</v>
      </c>
      <c r="B3552" s="1">
        <v>270</v>
      </c>
      <c r="C3552" s="15">
        <v>42639</v>
      </c>
      <c r="D3552" s="16">
        <v>0.57708333333333328</v>
      </c>
      <c r="E3552" s="1">
        <v>50</v>
      </c>
      <c r="F3552" s="1">
        <v>11</v>
      </c>
      <c r="G3552" s="1">
        <v>0.31685232508889066</v>
      </c>
      <c r="H3552" s="1" t="s">
        <v>144</v>
      </c>
    </row>
    <row r="3553" spans="1:8" x14ac:dyDescent="0.25">
      <c r="A3553" s="1">
        <v>2016</v>
      </c>
      <c r="B3553" s="1">
        <v>270</v>
      </c>
      <c r="C3553" s="15">
        <v>42639</v>
      </c>
      <c r="D3553" s="16">
        <v>0.58402777777777781</v>
      </c>
      <c r="E3553" s="1">
        <v>50</v>
      </c>
      <c r="F3553" s="1">
        <v>12</v>
      </c>
      <c r="G3553" s="1">
        <v>0.32601164606484839</v>
      </c>
      <c r="H3553" s="1" t="s">
        <v>144</v>
      </c>
    </row>
    <row r="3554" spans="1:8" x14ac:dyDescent="0.25">
      <c r="A3554" s="1">
        <v>2016</v>
      </c>
      <c r="B3554" s="1">
        <v>270</v>
      </c>
      <c r="C3554" s="15">
        <v>42639</v>
      </c>
      <c r="D3554" s="16">
        <v>0.59097222222222223</v>
      </c>
      <c r="E3554" s="1">
        <v>50</v>
      </c>
      <c r="F3554" s="1">
        <v>13</v>
      </c>
      <c r="G3554" s="1">
        <v>0.28857292157562114</v>
      </c>
      <c r="H3554" s="1" t="s">
        <v>144</v>
      </c>
    </row>
    <row r="3555" spans="1:8" x14ac:dyDescent="0.25">
      <c r="A3555" s="1">
        <v>2016</v>
      </c>
      <c r="B3555" s="1">
        <v>270</v>
      </c>
      <c r="C3555" s="15">
        <v>42639</v>
      </c>
      <c r="D3555" s="16">
        <v>0.57013888888888886</v>
      </c>
      <c r="E3555" s="1">
        <v>50</v>
      </c>
      <c r="F3555" s="1">
        <v>14</v>
      </c>
      <c r="G3555" s="1">
        <v>0.28784017589754451</v>
      </c>
      <c r="H3555" s="1" t="s">
        <v>144</v>
      </c>
    </row>
    <row r="3556" spans="1:8" x14ac:dyDescent="0.25">
      <c r="A3556" s="1">
        <v>2016</v>
      </c>
      <c r="B3556" s="1">
        <v>270</v>
      </c>
      <c r="C3556" s="15">
        <v>42639</v>
      </c>
      <c r="D3556" s="16">
        <v>0.5625</v>
      </c>
      <c r="E3556" s="1">
        <v>50</v>
      </c>
      <c r="F3556" s="1">
        <v>15</v>
      </c>
      <c r="G3556" s="1">
        <v>0.32646961211364622</v>
      </c>
      <c r="H3556" s="1" t="s">
        <v>1</v>
      </c>
    </row>
    <row r="3557" spans="1:8" x14ac:dyDescent="0.25">
      <c r="A3557" s="1">
        <v>2016</v>
      </c>
      <c r="B3557" s="1">
        <v>270</v>
      </c>
      <c r="C3557" s="15">
        <v>42639</v>
      </c>
      <c r="D3557" s="16">
        <v>0.56319444444444444</v>
      </c>
      <c r="E3557" s="1">
        <v>50</v>
      </c>
      <c r="F3557" s="1">
        <v>16</v>
      </c>
      <c r="G3557" s="1">
        <v>0.33040812013330811</v>
      </c>
      <c r="H3557" s="1" t="s">
        <v>1</v>
      </c>
    </row>
    <row r="3558" spans="1:8" x14ac:dyDescent="0.25">
      <c r="A3558" s="1">
        <v>2016</v>
      </c>
      <c r="B3558" s="1">
        <v>270</v>
      </c>
      <c r="C3558" s="15">
        <v>42639</v>
      </c>
      <c r="D3558" s="16">
        <v>0.5493055555555556</v>
      </c>
      <c r="E3558" s="1">
        <v>50</v>
      </c>
      <c r="F3558" s="1">
        <v>17</v>
      </c>
      <c r="G3558" s="1">
        <v>0.34984877890477839</v>
      </c>
      <c r="H3558" s="1" t="s">
        <v>144</v>
      </c>
    </row>
    <row r="3559" spans="1:8" x14ac:dyDescent="0.25">
      <c r="A3559" s="1">
        <v>2016</v>
      </c>
      <c r="B3559" s="1">
        <v>270</v>
      </c>
      <c r="C3559" s="15">
        <v>42639</v>
      </c>
      <c r="D3559" s="16">
        <v>0.54166666666666663</v>
      </c>
      <c r="E3559" s="1">
        <v>50</v>
      </c>
      <c r="F3559" s="1">
        <v>18</v>
      </c>
      <c r="G3559" s="1">
        <v>0.33704862784087741</v>
      </c>
      <c r="H3559" s="1" t="s">
        <v>144</v>
      </c>
    </row>
    <row r="3560" spans="1:8" x14ac:dyDescent="0.25">
      <c r="A3560" s="1">
        <v>2016</v>
      </c>
      <c r="B3560" s="1">
        <v>270</v>
      </c>
      <c r="C3560" s="15">
        <v>42639</v>
      </c>
      <c r="D3560" s="16">
        <v>0.5395833333333333</v>
      </c>
      <c r="E3560" s="1">
        <v>50</v>
      </c>
      <c r="F3560" s="1">
        <v>19</v>
      </c>
      <c r="G3560" s="1">
        <v>0.33290403509925653</v>
      </c>
      <c r="H3560" s="1" t="s">
        <v>144</v>
      </c>
    </row>
    <row r="3561" spans="1:8" x14ac:dyDescent="0.25">
      <c r="A3561" s="1">
        <v>2016</v>
      </c>
      <c r="B3561" s="1">
        <v>270</v>
      </c>
      <c r="C3561" s="15">
        <v>42639</v>
      </c>
      <c r="D3561" s="16">
        <v>0.53125</v>
      </c>
      <c r="E3561" s="1">
        <v>50</v>
      </c>
      <c r="F3561" s="1">
        <v>20</v>
      </c>
      <c r="G3561" s="1">
        <v>0.33478169589932794</v>
      </c>
      <c r="H3561" s="1" t="s">
        <v>144</v>
      </c>
    </row>
    <row r="3562" spans="1:8" x14ac:dyDescent="0.25">
      <c r="A3562" s="1">
        <v>2016</v>
      </c>
      <c r="B3562" s="1">
        <v>270</v>
      </c>
      <c r="C3562" s="15">
        <v>42639</v>
      </c>
      <c r="D3562" s="16">
        <v>0.3979166666666667</v>
      </c>
      <c r="E3562" s="1">
        <v>30</v>
      </c>
      <c r="F3562" s="1">
        <v>1</v>
      </c>
      <c r="G3562" s="1">
        <v>0.28694714210238864</v>
      </c>
      <c r="H3562" s="1" t="s">
        <v>143</v>
      </c>
    </row>
    <row r="3563" spans="1:8" x14ac:dyDescent="0.25">
      <c r="A3563" s="1">
        <v>2016</v>
      </c>
      <c r="B3563" s="1">
        <v>270</v>
      </c>
      <c r="C3563" s="15">
        <v>42639</v>
      </c>
      <c r="D3563" s="16">
        <v>0.38958333333333334</v>
      </c>
      <c r="E3563" s="1">
        <v>30</v>
      </c>
      <c r="F3563" s="1">
        <v>2</v>
      </c>
      <c r="G3563" s="1">
        <v>0.30048003884436619</v>
      </c>
      <c r="H3563" s="1" t="s">
        <v>143</v>
      </c>
    </row>
    <row r="3564" spans="1:8" x14ac:dyDescent="0.25">
      <c r="A3564" s="1">
        <v>2016</v>
      </c>
      <c r="B3564" s="1">
        <v>270</v>
      </c>
      <c r="C3564" s="15">
        <v>42639</v>
      </c>
      <c r="D3564" s="16">
        <v>0.41388888888888892</v>
      </c>
      <c r="E3564" s="1">
        <v>30</v>
      </c>
      <c r="F3564" s="1">
        <v>3</v>
      </c>
      <c r="G3564" s="1">
        <v>0.28271095615100816</v>
      </c>
      <c r="H3564" s="1" t="s">
        <v>143</v>
      </c>
    </row>
    <row r="3565" spans="1:8" x14ac:dyDescent="0.25">
      <c r="A3565" s="1">
        <v>2016</v>
      </c>
      <c r="B3565" s="1">
        <v>270</v>
      </c>
      <c r="C3565" s="15">
        <v>42639</v>
      </c>
      <c r="D3565" s="16">
        <v>0.4069444444444445</v>
      </c>
      <c r="E3565" s="1">
        <v>30</v>
      </c>
      <c r="F3565" s="1">
        <v>4</v>
      </c>
      <c r="G3565" s="1">
        <v>0.28110807498021556</v>
      </c>
      <c r="H3565" s="1" t="s">
        <v>143</v>
      </c>
    </row>
    <row r="3566" spans="1:8" x14ac:dyDescent="0.25">
      <c r="A3566" s="1">
        <v>2016</v>
      </c>
      <c r="B3566" s="1">
        <v>270</v>
      </c>
      <c r="C3566" s="15">
        <v>42639</v>
      </c>
      <c r="D3566" s="16">
        <v>0.41666666666666669</v>
      </c>
      <c r="E3566" s="1">
        <v>30</v>
      </c>
      <c r="F3566" s="1">
        <v>5</v>
      </c>
      <c r="G3566" s="1">
        <v>0.31247874932287084</v>
      </c>
      <c r="H3566" s="1" t="s">
        <v>0</v>
      </c>
    </row>
    <row r="3567" spans="1:8" x14ac:dyDescent="0.25">
      <c r="A3567" s="1">
        <v>2016</v>
      </c>
      <c r="B3567" s="1">
        <v>270</v>
      </c>
      <c r="C3567" s="15">
        <v>42639</v>
      </c>
      <c r="D3567" s="16">
        <v>0.43055555555555558</v>
      </c>
      <c r="E3567" s="1">
        <v>30</v>
      </c>
      <c r="F3567" s="1">
        <v>6</v>
      </c>
      <c r="G3567" s="1">
        <v>0.31788274869868588</v>
      </c>
      <c r="H3567" s="1" t="s">
        <v>0</v>
      </c>
    </row>
    <row r="3568" spans="1:8" x14ac:dyDescent="0.25">
      <c r="A3568" s="1">
        <v>2016</v>
      </c>
      <c r="B3568" s="1">
        <v>270</v>
      </c>
      <c r="C3568" s="15">
        <v>42639</v>
      </c>
      <c r="D3568" s="16">
        <v>0.4375</v>
      </c>
      <c r="E3568" s="1">
        <v>30</v>
      </c>
      <c r="F3568" s="1">
        <v>7</v>
      </c>
      <c r="G3568" s="1">
        <v>0.30716634315681535</v>
      </c>
      <c r="H3568" s="1" t="s">
        <v>143</v>
      </c>
    </row>
    <row r="3569" spans="1:8" x14ac:dyDescent="0.25">
      <c r="A3569" s="1">
        <v>2016</v>
      </c>
      <c r="B3569" s="1">
        <v>270</v>
      </c>
      <c r="C3569" s="15">
        <v>42639</v>
      </c>
      <c r="D3569" s="16">
        <v>0.4458333333333333</v>
      </c>
      <c r="E3569" s="1">
        <v>30</v>
      </c>
      <c r="F3569" s="1">
        <v>8</v>
      </c>
      <c r="G3569" s="1">
        <v>0.30061742865900554</v>
      </c>
      <c r="H3569" s="1" t="s">
        <v>143</v>
      </c>
    </row>
    <row r="3570" spans="1:8" x14ac:dyDescent="0.25">
      <c r="A3570" s="1">
        <v>2016</v>
      </c>
      <c r="B3570" s="1">
        <v>270</v>
      </c>
      <c r="C3570" s="15">
        <v>42639</v>
      </c>
      <c r="D3570" s="16">
        <v>0.45277777777777778</v>
      </c>
      <c r="E3570" s="1">
        <v>30</v>
      </c>
      <c r="F3570" s="1">
        <v>9</v>
      </c>
      <c r="G3570" s="1">
        <v>0.29496154795635166</v>
      </c>
      <c r="H3570" s="1" t="s">
        <v>143</v>
      </c>
    </row>
    <row r="3571" spans="1:8" x14ac:dyDescent="0.25">
      <c r="A3571" s="1">
        <v>2016</v>
      </c>
      <c r="B3571" s="1">
        <v>270</v>
      </c>
      <c r="C3571" s="15">
        <v>42639</v>
      </c>
      <c r="D3571" s="16">
        <v>0.4597222222222222</v>
      </c>
      <c r="E3571" s="1">
        <v>30</v>
      </c>
      <c r="F3571" s="1">
        <v>10</v>
      </c>
      <c r="G3571" s="1">
        <v>0.31444800333270173</v>
      </c>
      <c r="H3571" s="1" t="s">
        <v>143</v>
      </c>
    </row>
    <row r="3572" spans="1:8" x14ac:dyDescent="0.25">
      <c r="A3572" s="1">
        <v>2016</v>
      </c>
      <c r="B3572" s="1">
        <v>270</v>
      </c>
      <c r="C3572" s="15">
        <v>42639</v>
      </c>
      <c r="D3572" s="16">
        <v>0.57708333333333328</v>
      </c>
      <c r="E3572" s="1">
        <v>30</v>
      </c>
      <c r="F3572" s="1">
        <v>11</v>
      </c>
      <c r="G3572" s="1">
        <v>0.27714666865811388</v>
      </c>
      <c r="H3572" s="1" t="s">
        <v>144</v>
      </c>
    </row>
    <row r="3573" spans="1:8" x14ac:dyDescent="0.25">
      <c r="A3573" s="1">
        <v>2016</v>
      </c>
      <c r="B3573" s="1">
        <v>270</v>
      </c>
      <c r="C3573" s="15">
        <v>42639</v>
      </c>
      <c r="D3573" s="16">
        <v>0.58402777777777781</v>
      </c>
      <c r="E3573" s="1">
        <v>30</v>
      </c>
      <c r="F3573" s="1">
        <v>12</v>
      </c>
      <c r="G3573" s="1">
        <v>0.26065989090138997</v>
      </c>
      <c r="H3573" s="1" t="s">
        <v>144</v>
      </c>
    </row>
    <row r="3574" spans="1:8" x14ac:dyDescent="0.25">
      <c r="A3574" s="1">
        <v>2016</v>
      </c>
      <c r="B3574" s="1">
        <v>270</v>
      </c>
      <c r="C3574" s="15">
        <v>42639</v>
      </c>
      <c r="D3574" s="16">
        <v>0.59097222222222223</v>
      </c>
      <c r="E3574" s="1">
        <v>30</v>
      </c>
      <c r="F3574" s="1">
        <v>13</v>
      </c>
      <c r="G3574" s="1">
        <v>0.19743767786484168</v>
      </c>
      <c r="H3574" s="1" t="s">
        <v>144</v>
      </c>
    </row>
    <row r="3575" spans="1:8" x14ac:dyDescent="0.25">
      <c r="A3575" s="1">
        <v>2016</v>
      </c>
      <c r="B3575" s="1">
        <v>270</v>
      </c>
      <c r="C3575" s="15">
        <v>42639</v>
      </c>
      <c r="D3575" s="16">
        <v>0.57013888888888886</v>
      </c>
      <c r="E3575" s="1">
        <v>30</v>
      </c>
      <c r="F3575" s="1">
        <v>14</v>
      </c>
      <c r="G3575" s="1">
        <v>0.20080372832350613</v>
      </c>
      <c r="H3575" s="1" t="s">
        <v>144</v>
      </c>
    </row>
    <row r="3576" spans="1:8" x14ac:dyDescent="0.25">
      <c r="A3576" s="1">
        <v>2016</v>
      </c>
      <c r="B3576" s="1">
        <v>270</v>
      </c>
      <c r="C3576" s="15">
        <v>42639</v>
      </c>
      <c r="D3576" s="16">
        <v>0.5625</v>
      </c>
      <c r="E3576" s="1">
        <v>30</v>
      </c>
      <c r="F3576" s="1">
        <v>15</v>
      </c>
      <c r="G3576" s="1">
        <v>0.33210259451386026</v>
      </c>
      <c r="H3576" s="1" t="s">
        <v>1</v>
      </c>
    </row>
    <row r="3577" spans="1:8" x14ac:dyDescent="0.25">
      <c r="A3577" s="1">
        <v>2016</v>
      </c>
      <c r="B3577" s="1">
        <v>270</v>
      </c>
      <c r="C3577" s="15">
        <v>42639</v>
      </c>
      <c r="D3577" s="16">
        <v>0.56319444444444444</v>
      </c>
      <c r="E3577" s="1">
        <v>30</v>
      </c>
      <c r="F3577" s="1">
        <v>16</v>
      </c>
      <c r="G3577" s="1">
        <v>0.31179180024967401</v>
      </c>
      <c r="H3577" s="1" t="s">
        <v>1</v>
      </c>
    </row>
    <row r="3578" spans="1:8" x14ac:dyDescent="0.25">
      <c r="A3578" s="1">
        <v>2016</v>
      </c>
      <c r="B3578" s="1">
        <v>270</v>
      </c>
      <c r="C3578" s="15">
        <v>42639</v>
      </c>
      <c r="D3578" s="16">
        <v>0.5493055555555556</v>
      </c>
      <c r="E3578" s="1">
        <v>30</v>
      </c>
      <c r="F3578" s="1">
        <v>17</v>
      </c>
      <c r="G3578" s="1">
        <v>0.30540317386894344</v>
      </c>
      <c r="H3578" s="1" t="s">
        <v>144</v>
      </c>
    </row>
    <row r="3579" spans="1:8" x14ac:dyDescent="0.25">
      <c r="A3579" s="1">
        <v>2016</v>
      </c>
      <c r="B3579" s="1">
        <v>270</v>
      </c>
      <c r="C3579" s="15">
        <v>42639</v>
      </c>
      <c r="D3579" s="16">
        <v>0.54166666666666663</v>
      </c>
      <c r="E3579" s="1">
        <v>30</v>
      </c>
      <c r="F3579" s="1">
        <v>18</v>
      </c>
      <c r="G3579" s="1">
        <v>0.27492553332144415</v>
      </c>
      <c r="H3579" s="1" t="s">
        <v>144</v>
      </c>
    </row>
    <row r="3580" spans="1:8" x14ac:dyDescent="0.25">
      <c r="A3580" s="1">
        <v>2016</v>
      </c>
      <c r="B3580" s="1">
        <v>270</v>
      </c>
      <c r="C3580" s="15">
        <v>42639</v>
      </c>
      <c r="D3580" s="16">
        <v>0.5395833333333333</v>
      </c>
      <c r="E3580" s="1">
        <v>30</v>
      </c>
      <c r="F3580" s="1">
        <v>19</v>
      </c>
      <c r="G3580" s="1">
        <v>0.29152680259036751</v>
      </c>
      <c r="H3580" s="1" t="s">
        <v>144</v>
      </c>
    </row>
    <row r="3581" spans="1:8" x14ac:dyDescent="0.25">
      <c r="A3581" s="1">
        <v>2016</v>
      </c>
      <c r="B3581" s="1">
        <v>270</v>
      </c>
      <c r="C3581" s="15">
        <v>42639</v>
      </c>
      <c r="D3581" s="16">
        <v>0.53125</v>
      </c>
      <c r="E3581" s="1">
        <v>30</v>
      </c>
      <c r="F3581" s="1">
        <v>20</v>
      </c>
      <c r="G3581" s="1">
        <v>0.2696589237602684</v>
      </c>
      <c r="H3581" s="1" t="s">
        <v>144</v>
      </c>
    </row>
    <row r="3582" spans="1:8" x14ac:dyDescent="0.25">
      <c r="A3582" s="1">
        <v>2016</v>
      </c>
      <c r="B3582" s="1">
        <v>270</v>
      </c>
      <c r="C3582" s="15">
        <v>42639</v>
      </c>
      <c r="D3582" s="16">
        <v>0.3979166666666667</v>
      </c>
      <c r="E3582" s="1">
        <v>10</v>
      </c>
      <c r="F3582" s="1">
        <v>1</v>
      </c>
      <c r="G3582" s="1">
        <v>0.22511266212646436</v>
      </c>
      <c r="H3582" s="1" t="s">
        <v>143</v>
      </c>
    </row>
    <row r="3583" spans="1:8" x14ac:dyDescent="0.25">
      <c r="A3583" s="1">
        <v>2016</v>
      </c>
      <c r="B3583" s="1">
        <v>270</v>
      </c>
      <c r="C3583" s="15">
        <v>42639</v>
      </c>
      <c r="D3583" s="16">
        <v>0.38958333333333334</v>
      </c>
      <c r="E3583" s="1">
        <v>10</v>
      </c>
      <c r="F3583" s="1">
        <v>2</v>
      </c>
      <c r="G3583" s="1">
        <v>0.20161542888192874</v>
      </c>
      <c r="H3583" s="1" t="s">
        <v>143</v>
      </c>
    </row>
    <row r="3584" spans="1:8" x14ac:dyDescent="0.25">
      <c r="A3584" s="1">
        <v>2016</v>
      </c>
      <c r="B3584" s="1">
        <v>270</v>
      </c>
      <c r="C3584" s="15">
        <v>42639</v>
      </c>
      <c r="D3584" s="16">
        <v>0.41388888888888892</v>
      </c>
      <c r="E3584" s="1">
        <v>10</v>
      </c>
      <c r="F3584" s="1">
        <v>3</v>
      </c>
      <c r="G3584" s="1">
        <v>0.20385965442446807</v>
      </c>
      <c r="H3584" s="1" t="s">
        <v>143</v>
      </c>
    </row>
    <row r="3585" spans="1:8" x14ac:dyDescent="0.25">
      <c r="A3585" s="1">
        <v>2016</v>
      </c>
      <c r="B3585" s="1">
        <v>270</v>
      </c>
      <c r="C3585" s="15">
        <v>42639</v>
      </c>
      <c r="D3585" s="16">
        <v>0.4069444444444445</v>
      </c>
      <c r="E3585" s="1">
        <v>10</v>
      </c>
      <c r="F3585" s="1">
        <v>4</v>
      </c>
      <c r="G3585" s="1">
        <v>0.20946062757336958</v>
      </c>
      <c r="H3585" s="1" t="s">
        <v>143</v>
      </c>
    </row>
    <row r="3586" spans="1:8" x14ac:dyDescent="0.25">
      <c r="A3586" s="1">
        <v>2016</v>
      </c>
      <c r="B3586" s="1">
        <v>270</v>
      </c>
      <c r="C3586" s="15">
        <v>42639</v>
      </c>
      <c r="D3586" s="16">
        <v>0.41666666666666669</v>
      </c>
      <c r="E3586" s="1">
        <v>10</v>
      </c>
      <c r="F3586" s="1">
        <v>5</v>
      </c>
      <c r="G3586" s="1">
        <v>0.19820113703088599</v>
      </c>
      <c r="H3586" s="1" t="s">
        <v>0</v>
      </c>
    </row>
    <row r="3587" spans="1:8" x14ac:dyDescent="0.25">
      <c r="A3587" s="1">
        <v>2016</v>
      </c>
      <c r="B3587" s="1">
        <v>270</v>
      </c>
      <c r="C3587" s="15">
        <v>42639</v>
      </c>
      <c r="D3587" s="16">
        <v>0.43055555555555558</v>
      </c>
      <c r="E3587" s="1">
        <v>10</v>
      </c>
      <c r="F3587" s="1">
        <v>6</v>
      </c>
      <c r="G3587" s="1">
        <v>0.23380184307321911</v>
      </c>
      <c r="H3587" s="1" t="s">
        <v>0</v>
      </c>
    </row>
    <row r="3588" spans="1:8" x14ac:dyDescent="0.25">
      <c r="A3588" s="1">
        <v>2016</v>
      </c>
      <c r="B3588" s="1">
        <v>270</v>
      </c>
      <c r="C3588" s="15">
        <v>42639</v>
      </c>
      <c r="D3588" s="16">
        <v>0.4375</v>
      </c>
      <c r="E3588" s="1">
        <v>10</v>
      </c>
      <c r="F3588" s="1">
        <v>7</v>
      </c>
      <c r="G3588" s="1">
        <v>0.23299622364769218</v>
      </c>
      <c r="H3588" s="1" t="s">
        <v>143</v>
      </c>
    </row>
    <row r="3589" spans="1:8" x14ac:dyDescent="0.25">
      <c r="A3589" s="1">
        <v>2016</v>
      </c>
      <c r="B3589" s="1">
        <v>270</v>
      </c>
      <c r="C3589" s="15">
        <v>42639</v>
      </c>
      <c r="D3589" s="16">
        <v>0.4458333333333333</v>
      </c>
      <c r="E3589" s="1">
        <v>10</v>
      </c>
      <c r="F3589" s="1">
        <v>8</v>
      </c>
      <c r="G3589" s="1">
        <v>0.20270876953085815</v>
      </c>
      <c r="H3589" s="1" t="s">
        <v>143</v>
      </c>
    </row>
    <row r="3590" spans="1:8" x14ac:dyDescent="0.25">
      <c r="A3590" s="1">
        <v>2016</v>
      </c>
      <c r="B3590" s="1">
        <v>270</v>
      </c>
      <c r="C3590" s="15">
        <v>42639</v>
      </c>
      <c r="D3590" s="16">
        <v>0.45277777777777778</v>
      </c>
      <c r="E3590" s="1">
        <v>10</v>
      </c>
      <c r="F3590" s="1">
        <v>9</v>
      </c>
      <c r="G3590" s="1">
        <v>0.21861016247756837</v>
      </c>
      <c r="H3590" s="1" t="s">
        <v>143</v>
      </c>
    </row>
    <row r="3591" spans="1:8" x14ac:dyDescent="0.25">
      <c r="A3591" s="1">
        <v>2016</v>
      </c>
      <c r="B3591" s="1">
        <v>270</v>
      </c>
      <c r="C3591" s="15">
        <v>42639</v>
      </c>
      <c r="D3591" s="16">
        <v>0.4597222222222222</v>
      </c>
      <c r="E3591" s="1">
        <v>10</v>
      </c>
      <c r="F3591" s="1">
        <v>10</v>
      </c>
      <c r="G3591" s="1">
        <v>0.24291301514763092</v>
      </c>
      <c r="H3591" s="1" t="s">
        <v>143</v>
      </c>
    </row>
    <row r="3592" spans="1:8" x14ac:dyDescent="0.25">
      <c r="A3592" s="1">
        <v>2016</v>
      </c>
      <c r="B3592" s="1">
        <v>270</v>
      </c>
      <c r="C3592" s="15">
        <v>42639</v>
      </c>
      <c r="D3592" s="16">
        <v>0.57708333333333328</v>
      </c>
      <c r="E3592" s="1">
        <v>10</v>
      </c>
      <c r="F3592" s="1">
        <v>11</v>
      </c>
      <c r="G3592" s="1">
        <v>0.1809570450416309</v>
      </c>
      <c r="H3592" s="1" t="s">
        <v>144</v>
      </c>
    </row>
    <row r="3593" spans="1:8" x14ac:dyDescent="0.25">
      <c r="A3593" s="1">
        <v>2016</v>
      </c>
      <c r="B3593" s="1">
        <v>270</v>
      </c>
      <c r="C3593" s="15">
        <v>42639</v>
      </c>
      <c r="D3593" s="16">
        <v>0.58402777777777781</v>
      </c>
      <c r="E3593" s="1">
        <v>10</v>
      </c>
      <c r="F3593" s="1">
        <v>12</v>
      </c>
      <c r="G3593" s="1">
        <v>0.17581642585017332</v>
      </c>
      <c r="H3593" s="1" t="s">
        <v>144</v>
      </c>
    </row>
    <row r="3594" spans="1:8" x14ac:dyDescent="0.25">
      <c r="A3594" s="1">
        <v>2016</v>
      </c>
      <c r="B3594" s="1">
        <v>270</v>
      </c>
      <c r="C3594" s="15">
        <v>42639</v>
      </c>
      <c r="D3594" s="16">
        <v>0.59097222222222223</v>
      </c>
      <c r="E3594" s="1">
        <v>10</v>
      </c>
      <c r="F3594" s="1">
        <v>13</v>
      </c>
      <c r="G3594" s="1">
        <v>0.1997164688074724</v>
      </c>
      <c r="H3594" s="1" t="s">
        <v>144</v>
      </c>
    </row>
    <row r="3595" spans="1:8" x14ac:dyDescent="0.25">
      <c r="A3595" s="1">
        <v>2016</v>
      </c>
      <c r="B3595" s="1">
        <v>270</v>
      </c>
      <c r="C3595" s="15">
        <v>42639</v>
      </c>
      <c r="D3595" s="16">
        <v>0.57013888888888886</v>
      </c>
      <c r="E3595" s="1">
        <v>10</v>
      </c>
      <c r="F3595" s="1">
        <v>14</v>
      </c>
      <c r="G3595" s="1">
        <v>0.1749148993501789</v>
      </c>
      <c r="H3595" s="1" t="s">
        <v>144</v>
      </c>
    </row>
    <row r="3596" spans="1:8" x14ac:dyDescent="0.25">
      <c r="A3596" s="1">
        <v>2016</v>
      </c>
      <c r="B3596" s="1">
        <v>270</v>
      </c>
      <c r="C3596" s="15">
        <v>42639</v>
      </c>
      <c r="D3596" s="16">
        <v>0.5625</v>
      </c>
      <c r="E3596" s="1">
        <v>10</v>
      </c>
      <c r="F3596" s="1">
        <v>15</v>
      </c>
      <c r="G3596" s="1">
        <v>0.24945387762631382</v>
      </c>
      <c r="H3596" s="1" t="s">
        <v>1</v>
      </c>
    </row>
    <row r="3597" spans="1:8" x14ac:dyDescent="0.25">
      <c r="A3597" s="1">
        <v>2016</v>
      </c>
      <c r="B3597" s="1">
        <v>270</v>
      </c>
      <c r="C3597" s="15">
        <v>42639</v>
      </c>
      <c r="D3597" s="16">
        <v>0.56319444444444444</v>
      </c>
      <c r="E3597" s="1">
        <v>10</v>
      </c>
      <c r="F3597" s="1">
        <v>16</v>
      </c>
      <c r="G3597" s="1">
        <v>0.20792611438188974</v>
      </c>
      <c r="H3597" s="1" t="s">
        <v>1</v>
      </c>
    </row>
    <row r="3598" spans="1:8" x14ac:dyDescent="0.25">
      <c r="A3598" s="1">
        <v>2016</v>
      </c>
      <c r="B3598" s="1">
        <v>270</v>
      </c>
      <c r="C3598" s="15">
        <v>42639</v>
      </c>
      <c r="D3598" s="16">
        <v>0.5493055555555556</v>
      </c>
      <c r="E3598" s="1">
        <v>10</v>
      </c>
      <c r="F3598" s="1">
        <v>17</v>
      </c>
      <c r="G3598" s="1">
        <v>0.15519640483966252</v>
      </c>
      <c r="H3598" s="1" t="s">
        <v>144</v>
      </c>
    </row>
    <row r="3599" spans="1:8" x14ac:dyDescent="0.25">
      <c r="A3599" s="1">
        <v>2016</v>
      </c>
      <c r="B3599" s="1">
        <v>270</v>
      </c>
      <c r="C3599" s="15">
        <v>42639</v>
      </c>
      <c r="D3599" s="16">
        <v>0.54166666666666663</v>
      </c>
      <c r="E3599" s="1">
        <v>10</v>
      </c>
      <c r="F3599" s="1">
        <v>18</v>
      </c>
      <c r="G3599" s="1">
        <v>0.1918712701160315</v>
      </c>
      <c r="H3599" s="1" t="s">
        <v>144</v>
      </c>
    </row>
    <row r="3600" spans="1:8" x14ac:dyDescent="0.25">
      <c r="A3600" s="1">
        <v>2016</v>
      </c>
      <c r="B3600" s="1">
        <v>270</v>
      </c>
      <c r="C3600" s="15">
        <v>42639</v>
      </c>
      <c r="D3600" s="16">
        <v>0.5395833333333333</v>
      </c>
      <c r="E3600" s="1">
        <v>10</v>
      </c>
      <c r="F3600" s="1">
        <v>19</v>
      </c>
      <c r="G3600" s="1">
        <v>0.20520235346701293</v>
      </c>
      <c r="H3600" s="1" t="s">
        <v>144</v>
      </c>
    </row>
    <row r="3601" spans="1:8" x14ac:dyDescent="0.25">
      <c r="A3601" s="1">
        <v>2016</v>
      </c>
      <c r="B3601" s="1">
        <v>270</v>
      </c>
      <c r="C3601" s="15">
        <v>42639</v>
      </c>
      <c r="D3601" s="16">
        <v>0.53125</v>
      </c>
      <c r="E3601" s="1">
        <v>10</v>
      </c>
      <c r="F3601" s="1">
        <v>20</v>
      </c>
      <c r="G3601" s="1">
        <v>0.17713994347782469</v>
      </c>
      <c r="H3601" s="1" t="s">
        <v>144</v>
      </c>
    </row>
    <row r="3602" spans="1:8" x14ac:dyDescent="0.25">
      <c r="A3602" s="1">
        <v>2016</v>
      </c>
      <c r="B3602" s="1">
        <v>286</v>
      </c>
      <c r="C3602" s="15">
        <v>42655</v>
      </c>
      <c r="D3602" s="16">
        <v>0.35416666666666669</v>
      </c>
      <c r="E3602" s="1">
        <v>230</v>
      </c>
      <c r="F3602" s="1">
        <v>1</v>
      </c>
      <c r="G3602" s="1">
        <v>0.2850101845581105</v>
      </c>
      <c r="H3602" s="1" t="s">
        <v>143</v>
      </c>
    </row>
    <row r="3603" spans="1:8" x14ac:dyDescent="0.25">
      <c r="A3603" s="1">
        <v>2016</v>
      </c>
      <c r="B3603" s="1">
        <v>286</v>
      </c>
      <c r="C3603" s="15">
        <v>42655</v>
      </c>
      <c r="D3603" s="16">
        <v>0.34791666666666665</v>
      </c>
      <c r="E3603" s="1">
        <v>230</v>
      </c>
      <c r="F3603" s="1">
        <v>2</v>
      </c>
      <c r="G3603" s="1">
        <v>0.29203687088288732</v>
      </c>
      <c r="H3603" s="1" t="s">
        <v>143</v>
      </c>
    </row>
    <row r="3604" spans="1:8" x14ac:dyDescent="0.25">
      <c r="A3604" s="1">
        <v>2016</v>
      </c>
      <c r="B3604" s="1">
        <v>286</v>
      </c>
      <c r="C3604" s="15">
        <v>42655</v>
      </c>
      <c r="D3604" s="16">
        <v>0.37222222222222223</v>
      </c>
      <c r="E3604" s="1">
        <v>230</v>
      </c>
      <c r="F3604" s="1">
        <v>3</v>
      </c>
      <c r="G3604" s="1">
        <v>0.26354083548268448</v>
      </c>
      <c r="H3604" s="1" t="s">
        <v>143</v>
      </c>
    </row>
    <row r="3605" spans="1:8" x14ac:dyDescent="0.25">
      <c r="A3605" s="1">
        <v>2016</v>
      </c>
      <c r="B3605" s="1">
        <v>286</v>
      </c>
      <c r="C3605" s="15">
        <v>42655</v>
      </c>
      <c r="D3605" s="16">
        <v>0.3659722222222222</v>
      </c>
      <c r="E3605" s="1">
        <v>230</v>
      </c>
      <c r="F3605" s="1">
        <v>4</v>
      </c>
      <c r="G3605" s="1">
        <v>0.263852267563561</v>
      </c>
      <c r="H3605" s="1" t="s">
        <v>143</v>
      </c>
    </row>
    <row r="3606" spans="1:8" x14ac:dyDescent="0.25">
      <c r="A3606" s="1">
        <v>2016</v>
      </c>
      <c r="B3606" s="1">
        <v>286</v>
      </c>
      <c r="C3606" s="15">
        <v>42655</v>
      </c>
      <c r="D3606" s="16">
        <v>0.37916666666666665</v>
      </c>
      <c r="E3606" s="1">
        <v>230</v>
      </c>
      <c r="F3606" s="1">
        <v>5</v>
      </c>
      <c r="G3606" s="1" t="e">
        <v>#N/A</v>
      </c>
      <c r="H3606" s="1" t="s">
        <v>0</v>
      </c>
    </row>
    <row r="3607" spans="1:8" x14ac:dyDescent="0.25">
      <c r="A3607" s="1">
        <v>2016</v>
      </c>
      <c r="B3607" s="1">
        <v>286</v>
      </c>
      <c r="C3607" s="15">
        <v>42655</v>
      </c>
      <c r="D3607" s="16">
        <v>0.3840277777777778</v>
      </c>
      <c r="E3607" s="1">
        <v>230</v>
      </c>
      <c r="F3607" s="1">
        <v>6</v>
      </c>
      <c r="G3607" s="1" t="e">
        <v>#N/A</v>
      </c>
      <c r="H3607" s="1" t="s">
        <v>0</v>
      </c>
    </row>
    <row r="3608" spans="1:8" x14ac:dyDescent="0.25">
      <c r="A3608" s="1">
        <v>2016</v>
      </c>
      <c r="B3608" s="1">
        <v>286</v>
      </c>
      <c r="C3608" s="15">
        <v>42655</v>
      </c>
      <c r="D3608" s="16">
        <v>0.38958333333333334</v>
      </c>
      <c r="E3608" s="1">
        <v>230</v>
      </c>
      <c r="F3608" s="1">
        <v>7</v>
      </c>
      <c r="G3608" s="1">
        <v>0.25308839626826579</v>
      </c>
      <c r="H3608" s="1" t="s">
        <v>143</v>
      </c>
    </row>
    <row r="3609" spans="1:8" x14ac:dyDescent="0.25">
      <c r="A3609" s="1">
        <v>2016</v>
      </c>
      <c r="B3609" s="1">
        <v>286</v>
      </c>
      <c r="C3609" s="15">
        <v>42655</v>
      </c>
      <c r="D3609" s="16">
        <v>0.39583333333333331</v>
      </c>
      <c r="E3609" s="1">
        <v>230</v>
      </c>
      <c r="F3609" s="1">
        <v>8</v>
      </c>
      <c r="G3609" s="1">
        <v>0.30591506298694787</v>
      </c>
      <c r="H3609" s="1" t="s">
        <v>143</v>
      </c>
    </row>
    <row r="3610" spans="1:8" x14ac:dyDescent="0.25">
      <c r="A3610" s="1">
        <v>2016</v>
      </c>
      <c r="B3610" s="1">
        <v>286</v>
      </c>
      <c r="C3610" s="15">
        <v>42655</v>
      </c>
      <c r="D3610" s="16">
        <v>0.39652777777777781</v>
      </c>
      <c r="E3610" s="1">
        <v>230</v>
      </c>
      <c r="F3610" s="1">
        <v>9</v>
      </c>
      <c r="G3610" s="1">
        <v>0.2982849770054728</v>
      </c>
      <c r="H3610" s="1" t="s">
        <v>143</v>
      </c>
    </row>
    <row r="3611" spans="1:8" x14ac:dyDescent="0.25">
      <c r="A3611" s="1">
        <v>2016</v>
      </c>
      <c r="B3611" s="1">
        <v>286</v>
      </c>
      <c r="C3611" s="15">
        <v>42655</v>
      </c>
      <c r="D3611" s="16">
        <v>0.40277777777777773</v>
      </c>
      <c r="E3611" s="1">
        <v>230</v>
      </c>
      <c r="F3611" s="1">
        <v>10</v>
      </c>
      <c r="G3611" s="1">
        <v>0.25081104917685615</v>
      </c>
      <c r="H3611" s="1" t="s">
        <v>143</v>
      </c>
    </row>
    <row r="3612" spans="1:8" x14ac:dyDescent="0.25">
      <c r="A3612" s="1">
        <v>2016</v>
      </c>
      <c r="B3612" s="1">
        <v>286</v>
      </c>
      <c r="C3612" s="15">
        <v>42655</v>
      </c>
      <c r="D3612" s="16">
        <v>0.50694444444444442</v>
      </c>
      <c r="E3612" s="1">
        <v>230</v>
      </c>
      <c r="F3612" s="1">
        <v>11</v>
      </c>
      <c r="G3612" s="1">
        <v>0.28197372176956437</v>
      </c>
      <c r="H3612" s="1" t="s">
        <v>144</v>
      </c>
    </row>
    <row r="3613" spans="1:8" x14ac:dyDescent="0.25">
      <c r="A3613" s="1">
        <v>2016</v>
      </c>
      <c r="B3613" s="1">
        <v>286</v>
      </c>
      <c r="C3613" s="15">
        <v>42655</v>
      </c>
      <c r="D3613" s="16">
        <v>0.5</v>
      </c>
      <c r="E3613" s="1">
        <v>230</v>
      </c>
      <c r="F3613" s="1">
        <v>12</v>
      </c>
      <c r="G3613" s="1">
        <v>0.28242140538582439</v>
      </c>
      <c r="H3613" s="1" t="s">
        <v>144</v>
      </c>
    </row>
    <row r="3614" spans="1:8" x14ac:dyDescent="0.25">
      <c r="A3614" s="1">
        <v>2016</v>
      </c>
      <c r="B3614" s="1">
        <v>286</v>
      </c>
      <c r="C3614" s="15">
        <v>42655</v>
      </c>
      <c r="D3614" s="16">
        <v>0.51388888888888895</v>
      </c>
      <c r="E3614" s="1">
        <v>230</v>
      </c>
      <c r="F3614" s="1">
        <v>13</v>
      </c>
      <c r="G3614" s="1">
        <v>0.27453828083863707</v>
      </c>
      <c r="H3614" s="1" t="s">
        <v>144</v>
      </c>
    </row>
    <row r="3615" spans="1:8" x14ac:dyDescent="0.25">
      <c r="A3615" s="1">
        <v>2016</v>
      </c>
      <c r="B3615" s="1">
        <v>286</v>
      </c>
      <c r="C3615" s="15">
        <v>42655</v>
      </c>
      <c r="D3615" s="16">
        <v>0.50763888888888886</v>
      </c>
      <c r="E3615" s="1">
        <v>230</v>
      </c>
      <c r="F3615" s="1">
        <v>14</v>
      </c>
      <c r="G3615" s="1">
        <v>0.27222200473711788</v>
      </c>
      <c r="H3615" s="1" t="s">
        <v>144</v>
      </c>
    </row>
    <row r="3616" spans="1:8" x14ac:dyDescent="0.25">
      <c r="A3616" s="1">
        <v>2016</v>
      </c>
      <c r="B3616" s="1">
        <v>286</v>
      </c>
      <c r="C3616" s="15">
        <v>42655</v>
      </c>
      <c r="D3616" s="16">
        <v>0.52083333333333337</v>
      </c>
      <c r="E3616" s="1">
        <v>230</v>
      </c>
      <c r="F3616" s="1">
        <v>15</v>
      </c>
      <c r="G3616" s="1" t="e">
        <v>#N/A</v>
      </c>
      <c r="H3616" s="1" t="s">
        <v>1</v>
      </c>
    </row>
    <row r="3617" spans="1:8" x14ac:dyDescent="0.25">
      <c r="A3617" s="1">
        <v>2016</v>
      </c>
      <c r="B3617" s="1">
        <v>286</v>
      </c>
      <c r="C3617" s="15">
        <v>42655</v>
      </c>
      <c r="D3617" s="16">
        <v>0.53125</v>
      </c>
      <c r="E3617" s="1">
        <v>230</v>
      </c>
      <c r="F3617" s="1">
        <v>16</v>
      </c>
      <c r="G3617" s="1" t="e">
        <v>#N/A</v>
      </c>
      <c r="H3617" s="1" t="s">
        <v>1</v>
      </c>
    </row>
    <row r="3618" spans="1:8" x14ac:dyDescent="0.25">
      <c r="A3618" s="1">
        <v>2016</v>
      </c>
      <c r="B3618" s="1">
        <v>286</v>
      </c>
      <c r="C3618" s="15">
        <v>42655</v>
      </c>
      <c r="D3618" s="16">
        <v>0.53680555555555554</v>
      </c>
      <c r="E3618" s="1">
        <v>230</v>
      </c>
      <c r="F3618" s="1">
        <v>17</v>
      </c>
      <c r="G3618" s="1">
        <v>0.28923398215499851</v>
      </c>
      <c r="H3618" s="1" t="s">
        <v>144</v>
      </c>
    </row>
    <row r="3619" spans="1:8" x14ac:dyDescent="0.25">
      <c r="A3619" s="1">
        <v>2016</v>
      </c>
      <c r="B3619" s="1">
        <v>286</v>
      </c>
      <c r="C3619" s="15">
        <v>42655</v>
      </c>
      <c r="D3619" s="16">
        <v>0.54375000000000007</v>
      </c>
      <c r="E3619" s="1">
        <v>230</v>
      </c>
      <c r="F3619" s="1">
        <v>18</v>
      </c>
      <c r="G3619" s="1">
        <v>0.29075221354927161</v>
      </c>
      <c r="H3619" s="1" t="s">
        <v>144</v>
      </c>
    </row>
    <row r="3620" spans="1:8" x14ac:dyDescent="0.25">
      <c r="A3620" s="1">
        <v>2016</v>
      </c>
      <c r="B3620" s="1">
        <v>286</v>
      </c>
      <c r="C3620" s="15">
        <v>42655</v>
      </c>
      <c r="D3620" s="16">
        <v>0.55069444444444449</v>
      </c>
      <c r="E3620" s="1">
        <v>230</v>
      </c>
      <c r="F3620" s="1">
        <v>19</v>
      </c>
      <c r="G3620" s="1">
        <v>0.27173539211074826</v>
      </c>
      <c r="H3620" s="1" t="s">
        <v>144</v>
      </c>
    </row>
    <row r="3621" spans="1:8" x14ac:dyDescent="0.25">
      <c r="A3621" s="1">
        <v>2016</v>
      </c>
      <c r="B3621" s="1">
        <v>286</v>
      </c>
      <c r="C3621" s="15">
        <v>42655</v>
      </c>
      <c r="D3621" s="16">
        <v>0.55763888888888891</v>
      </c>
      <c r="E3621" s="1">
        <v>230</v>
      </c>
      <c r="F3621" s="1">
        <v>20</v>
      </c>
      <c r="G3621" s="1">
        <v>0.29686406813647365</v>
      </c>
      <c r="H3621" s="1" t="s">
        <v>144</v>
      </c>
    </row>
    <row r="3622" spans="1:8" x14ac:dyDescent="0.25">
      <c r="A3622" s="1">
        <v>2016</v>
      </c>
      <c r="B3622" s="1">
        <v>286</v>
      </c>
      <c r="C3622" s="15">
        <v>42655</v>
      </c>
      <c r="D3622" s="16">
        <v>0.35416666666666669</v>
      </c>
      <c r="E3622" s="1">
        <v>210</v>
      </c>
      <c r="F3622" s="1">
        <v>1</v>
      </c>
      <c r="G3622" s="1">
        <v>0.28715128011413671</v>
      </c>
      <c r="H3622" s="1" t="s">
        <v>143</v>
      </c>
    </row>
    <row r="3623" spans="1:8" x14ac:dyDescent="0.25">
      <c r="A3623" s="1">
        <v>2016</v>
      </c>
      <c r="B3623" s="1">
        <v>286</v>
      </c>
      <c r="C3623" s="15">
        <v>42655</v>
      </c>
      <c r="D3623" s="16">
        <v>0.34791666666666665</v>
      </c>
      <c r="E3623" s="1">
        <v>210</v>
      </c>
      <c r="F3623" s="1">
        <v>2</v>
      </c>
      <c r="G3623" s="1">
        <v>0.29034345894312119</v>
      </c>
      <c r="H3623" s="1" t="s">
        <v>143</v>
      </c>
    </row>
    <row r="3624" spans="1:8" x14ac:dyDescent="0.25">
      <c r="A3624" s="1">
        <v>2016</v>
      </c>
      <c r="B3624" s="1">
        <v>286</v>
      </c>
      <c r="C3624" s="15">
        <v>42655</v>
      </c>
      <c r="D3624" s="16">
        <v>0.37222222222222223</v>
      </c>
      <c r="E3624" s="1">
        <v>210</v>
      </c>
      <c r="F3624" s="1">
        <v>3</v>
      </c>
      <c r="G3624" s="1">
        <v>0.25390590548056668</v>
      </c>
      <c r="H3624" s="1" t="s">
        <v>143</v>
      </c>
    </row>
    <row r="3625" spans="1:8" x14ac:dyDescent="0.25">
      <c r="A3625" s="1">
        <v>2016</v>
      </c>
      <c r="B3625" s="1">
        <v>286</v>
      </c>
      <c r="C3625" s="15">
        <v>42655</v>
      </c>
      <c r="D3625" s="16">
        <v>0.3659722222222222</v>
      </c>
      <c r="E3625" s="1">
        <v>210</v>
      </c>
      <c r="F3625" s="1">
        <v>4</v>
      </c>
      <c r="G3625" s="1">
        <v>0.27401273920215796</v>
      </c>
      <c r="H3625" s="1" t="s">
        <v>143</v>
      </c>
    </row>
    <row r="3626" spans="1:8" x14ac:dyDescent="0.25">
      <c r="A3626" s="1">
        <v>2016</v>
      </c>
      <c r="B3626" s="1">
        <v>286</v>
      </c>
      <c r="C3626" s="15">
        <v>42655</v>
      </c>
      <c r="D3626" s="16">
        <v>0.37916666666666665</v>
      </c>
      <c r="E3626" s="1">
        <v>210</v>
      </c>
      <c r="F3626" s="1">
        <v>5</v>
      </c>
      <c r="G3626" s="1" t="e">
        <v>#N/A</v>
      </c>
      <c r="H3626" s="1" t="s">
        <v>0</v>
      </c>
    </row>
    <row r="3627" spans="1:8" x14ac:dyDescent="0.25">
      <c r="A3627" s="1">
        <v>2016</v>
      </c>
      <c r="B3627" s="1">
        <v>286</v>
      </c>
      <c r="C3627" s="15">
        <v>42655</v>
      </c>
      <c r="D3627" s="16">
        <v>0.3840277777777778</v>
      </c>
      <c r="E3627" s="1">
        <v>210</v>
      </c>
      <c r="F3627" s="1">
        <v>6</v>
      </c>
      <c r="G3627" s="1" t="e">
        <v>#N/A</v>
      </c>
      <c r="H3627" s="1" t="s">
        <v>0</v>
      </c>
    </row>
    <row r="3628" spans="1:8" x14ac:dyDescent="0.25">
      <c r="A3628" s="1">
        <v>2016</v>
      </c>
      <c r="B3628" s="1">
        <v>286</v>
      </c>
      <c r="C3628" s="15">
        <v>42655</v>
      </c>
      <c r="D3628" s="16">
        <v>0.38958333333333334</v>
      </c>
      <c r="E3628" s="1">
        <v>210</v>
      </c>
      <c r="F3628" s="1">
        <v>7</v>
      </c>
      <c r="G3628" s="1">
        <v>0.25207624200541706</v>
      </c>
      <c r="H3628" s="1" t="s">
        <v>143</v>
      </c>
    </row>
    <row r="3629" spans="1:8" x14ac:dyDescent="0.25">
      <c r="A3629" s="1">
        <v>2016</v>
      </c>
      <c r="B3629" s="1">
        <v>286</v>
      </c>
      <c r="C3629" s="15">
        <v>42655</v>
      </c>
      <c r="D3629" s="16">
        <v>0.39583333333333331</v>
      </c>
      <c r="E3629" s="1">
        <v>210</v>
      </c>
      <c r="F3629" s="1">
        <v>8</v>
      </c>
      <c r="G3629" s="1">
        <v>0.28685931253831493</v>
      </c>
      <c r="H3629" s="1" t="s">
        <v>143</v>
      </c>
    </row>
    <row r="3630" spans="1:8" x14ac:dyDescent="0.25">
      <c r="A3630" s="1">
        <v>2016</v>
      </c>
      <c r="B3630" s="1">
        <v>286</v>
      </c>
      <c r="C3630" s="15">
        <v>42655</v>
      </c>
      <c r="D3630" s="16">
        <v>0.39652777777777781</v>
      </c>
      <c r="E3630" s="1">
        <v>210</v>
      </c>
      <c r="F3630" s="1">
        <v>9</v>
      </c>
      <c r="G3630" s="1">
        <v>0.27965744566804512</v>
      </c>
      <c r="H3630" s="1" t="s">
        <v>143</v>
      </c>
    </row>
    <row r="3631" spans="1:8" x14ac:dyDescent="0.25">
      <c r="A3631" s="1">
        <v>2016</v>
      </c>
      <c r="B3631" s="1">
        <v>286</v>
      </c>
      <c r="C3631" s="15">
        <v>42655</v>
      </c>
      <c r="D3631" s="16">
        <v>0.40277777777777773</v>
      </c>
      <c r="E3631" s="1">
        <v>210</v>
      </c>
      <c r="F3631" s="1">
        <v>10</v>
      </c>
      <c r="G3631" s="1">
        <v>0.24674296762040643</v>
      </c>
      <c r="H3631" s="1" t="s">
        <v>143</v>
      </c>
    </row>
    <row r="3632" spans="1:8" x14ac:dyDescent="0.25">
      <c r="A3632" s="1">
        <v>2016</v>
      </c>
      <c r="B3632" s="1">
        <v>286</v>
      </c>
      <c r="C3632" s="15">
        <v>42655</v>
      </c>
      <c r="D3632" s="16">
        <v>0.50694444444444442</v>
      </c>
      <c r="E3632" s="1">
        <v>210</v>
      </c>
      <c r="F3632" s="1">
        <v>11</v>
      </c>
      <c r="G3632" s="1">
        <v>0.29334099272155784</v>
      </c>
      <c r="H3632" s="1" t="s">
        <v>144</v>
      </c>
    </row>
    <row r="3633" spans="1:8" x14ac:dyDescent="0.25">
      <c r="A3633" s="1">
        <v>2016</v>
      </c>
      <c r="B3633" s="1">
        <v>286</v>
      </c>
      <c r="C3633" s="15">
        <v>42655</v>
      </c>
      <c r="D3633" s="16">
        <v>0.5</v>
      </c>
      <c r="E3633" s="1">
        <v>210</v>
      </c>
      <c r="F3633" s="1">
        <v>12</v>
      </c>
      <c r="G3633" s="1">
        <v>0.29824604799536319</v>
      </c>
      <c r="H3633" s="1" t="s">
        <v>144</v>
      </c>
    </row>
    <row r="3634" spans="1:8" x14ac:dyDescent="0.25">
      <c r="A3634" s="1">
        <v>2016</v>
      </c>
      <c r="B3634" s="1">
        <v>286</v>
      </c>
      <c r="C3634" s="15">
        <v>42655</v>
      </c>
      <c r="D3634" s="16">
        <v>0.51388888888888895</v>
      </c>
      <c r="E3634" s="1">
        <v>210</v>
      </c>
      <c r="F3634" s="1">
        <v>13</v>
      </c>
      <c r="G3634" s="1">
        <v>0.28037763235507213</v>
      </c>
      <c r="H3634" s="1" t="s">
        <v>144</v>
      </c>
    </row>
    <row r="3635" spans="1:8" x14ac:dyDescent="0.25">
      <c r="A3635" s="1">
        <v>2016</v>
      </c>
      <c r="B3635" s="1">
        <v>286</v>
      </c>
      <c r="C3635" s="15">
        <v>42655</v>
      </c>
      <c r="D3635" s="16">
        <v>0.50763888888888886</v>
      </c>
      <c r="E3635" s="1">
        <v>210</v>
      </c>
      <c r="F3635" s="1">
        <v>14</v>
      </c>
      <c r="G3635" s="1">
        <v>0.2602318696233713</v>
      </c>
      <c r="H3635" s="1" t="s">
        <v>144</v>
      </c>
    </row>
    <row r="3636" spans="1:8" x14ac:dyDescent="0.25">
      <c r="A3636" s="1">
        <v>2016</v>
      </c>
      <c r="B3636" s="1">
        <v>286</v>
      </c>
      <c r="C3636" s="15">
        <v>42655</v>
      </c>
      <c r="D3636" s="16">
        <v>0.52083333333333337</v>
      </c>
      <c r="E3636" s="1">
        <v>210</v>
      </c>
      <c r="F3636" s="1">
        <v>15</v>
      </c>
      <c r="G3636" s="1" t="e">
        <v>#N/A</v>
      </c>
      <c r="H3636" s="1" t="s">
        <v>1</v>
      </c>
    </row>
    <row r="3637" spans="1:8" x14ac:dyDescent="0.25">
      <c r="A3637" s="1">
        <v>2016</v>
      </c>
      <c r="B3637" s="1">
        <v>286</v>
      </c>
      <c r="C3637" s="15">
        <v>42655</v>
      </c>
      <c r="D3637" s="16">
        <v>0.53125</v>
      </c>
      <c r="E3637" s="1">
        <v>210</v>
      </c>
      <c r="F3637" s="1">
        <v>16</v>
      </c>
      <c r="G3637" s="1" t="e">
        <v>#N/A</v>
      </c>
      <c r="H3637" s="1" t="s">
        <v>1</v>
      </c>
    </row>
    <row r="3638" spans="1:8" x14ac:dyDescent="0.25">
      <c r="A3638" s="1">
        <v>2016</v>
      </c>
      <c r="B3638" s="1">
        <v>286</v>
      </c>
      <c r="C3638" s="15">
        <v>42655</v>
      </c>
      <c r="D3638" s="16">
        <v>0.53680555555555554</v>
      </c>
      <c r="E3638" s="1">
        <v>210</v>
      </c>
      <c r="F3638" s="1">
        <v>17</v>
      </c>
      <c r="G3638" s="1">
        <v>0.29207579989299692</v>
      </c>
      <c r="H3638" s="1" t="s">
        <v>144</v>
      </c>
    </row>
    <row r="3639" spans="1:8" x14ac:dyDescent="0.25">
      <c r="A3639" s="1">
        <v>2016</v>
      </c>
      <c r="B3639" s="1">
        <v>286</v>
      </c>
      <c r="C3639" s="15">
        <v>42655</v>
      </c>
      <c r="D3639" s="16">
        <v>0.54375000000000007</v>
      </c>
      <c r="E3639" s="1">
        <v>210</v>
      </c>
      <c r="F3639" s="1">
        <v>18</v>
      </c>
      <c r="G3639" s="1">
        <v>0.29509279817648831</v>
      </c>
      <c r="H3639" s="1" t="s">
        <v>144</v>
      </c>
    </row>
    <row r="3640" spans="1:8" x14ac:dyDescent="0.25">
      <c r="A3640" s="1">
        <v>2016</v>
      </c>
      <c r="B3640" s="1">
        <v>286</v>
      </c>
      <c r="C3640" s="15">
        <v>42655</v>
      </c>
      <c r="D3640" s="16">
        <v>0.55069444444444449</v>
      </c>
      <c r="E3640" s="1">
        <v>210</v>
      </c>
      <c r="F3640" s="1">
        <v>19</v>
      </c>
      <c r="G3640" s="1">
        <v>0.27823653679904592</v>
      </c>
      <c r="H3640" s="1" t="s">
        <v>144</v>
      </c>
    </row>
    <row r="3641" spans="1:8" x14ac:dyDescent="0.25">
      <c r="A3641" s="1">
        <v>2016</v>
      </c>
      <c r="B3641" s="1">
        <v>286</v>
      </c>
      <c r="C3641" s="15">
        <v>42655</v>
      </c>
      <c r="D3641" s="16">
        <v>0.55763888888888891</v>
      </c>
      <c r="E3641" s="1">
        <v>210</v>
      </c>
      <c r="F3641" s="1">
        <v>20</v>
      </c>
      <c r="G3641" s="1">
        <v>0.28569144223502796</v>
      </c>
      <c r="H3641" s="1" t="s">
        <v>144</v>
      </c>
    </row>
    <row r="3642" spans="1:8" x14ac:dyDescent="0.25">
      <c r="A3642" s="1">
        <v>2016</v>
      </c>
      <c r="B3642" s="1">
        <v>286</v>
      </c>
      <c r="C3642" s="15">
        <v>42655</v>
      </c>
      <c r="D3642" s="16">
        <v>0.35416666666666669</v>
      </c>
      <c r="E3642" s="1">
        <v>190</v>
      </c>
      <c r="F3642" s="1">
        <v>1</v>
      </c>
      <c r="G3642" s="1">
        <v>0.26482549281630019</v>
      </c>
      <c r="H3642" s="1" t="s">
        <v>143</v>
      </c>
    </row>
    <row r="3643" spans="1:8" x14ac:dyDescent="0.25">
      <c r="A3643" s="1">
        <v>2016</v>
      </c>
      <c r="B3643" s="1">
        <v>286</v>
      </c>
      <c r="C3643" s="15">
        <v>42655</v>
      </c>
      <c r="D3643" s="16">
        <v>0.34791666666666665</v>
      </c>
      <c r="E3643" s="1">
        <v>190</v>
      </c>
      <c r="F3643" s="1">
        <v>2</v>
      </c>
      <c r="G3643" s="1">
        <v>0.26848481976659944</v>
      </c>
      <c r="H3643" s="1" t="s">
        <v>143</v>
      </c>
    </row>
    <row r="3644" spans="1:8" x14ac:dyDescent="0.25">
      <c r="A3644" s="1">
        <v>2016</v>
      </c>
      <c r="B3644" s="1">
        <v>286</v>
      </c>
      <c r="C3644" s="15">
        <v>42655</v>
      </c>
      <c r="D3644" s="16">
        <v>0.37222222222222223</v>
      </c>
      <c r="E3644" s="1">
        <v>190</v>
      </c>
      <c r="F3644" s="1">
        <v>3</v>
      </c>
      <c r="G3644" s="1">
        <v>0.27436310029314404</v>
      </c>
      <c r="H3644" s="1" t="s">
        <v>143</v>
      </c>
    </row>
    <row r="3645" spans="1:8" x14ac:dyDescent="0.25">
      <c r="A3645" s="1">
        <v>2016</v>
      </c>
      <c r="B3645" s="1">
        <v>286</v>
      </c>
      <c r="C3645" s="15">
        <v>42655</v>
      </c>
      <c r="D3645" s="16">
        <v>0.3659722222222222</v>
      </c>
      <c r="E3645" s="1">
        <v>190</v>
      </c>
      <c r="F3645" s="1">
        <v>4</v>
      </c>
      <c r="G3645" s="1">
        <v>0.27909297502145636</v>
      </c>
      <c r="H3645" s="1" t="s">
        <v>143</v>
      </c>
    </row>
    <row r="3646" spans="1:8" x14ac:dyDescent="0.25">
      <c r="A3646" s="1">
        <v>2016</v>
      </c>
      <c r="B3646" s="1">
        <v>286</v>
      </c>
      <c r="C3646" s="15">
        <v>42655</v>
      </c>
      <c r="D3646" s="16">
        <v>0.37916666666666665</v>
      </c>
      <c r="E3646" s="1">
        <v>190</v>
      </c>
      <c r="F3646" s="1">
        <v>5</v>
      </c>
      <c r="G3646" s="1">
        <v>0.3296422946487288</v>
      </c>
      <c r="H3646" s="1" t="s">
        <v>0</v>
      </c>
    </row>
    <row r="3647" spans="1:8" x14ac:dyDescent="0.25">
      <c r="A3647" s="1">
        <v>2016</v>
      </c>
      <c r="B3647" s="1">
        <v>286</v>
      </c>
      <c r="C3647" s="15">
        <v>42655</v>
      </c>
      <c r="D3647" s="16">
        <v>0.3840277777777778</v>
      </c>
      <c r="E3647" s="1">
        <v>190</v>
      </c>
      <c r="F3647" s="1">
        <v>6</v>
      </c>
      <c r="G3647" s="1">
        <v>0.33680523250888911</v>
      </c>
      <c r="H3647" s="1" t="s">
        <v>0</v>
      </c>
    </row>
    <row r="3648" spans="1:8" x14ac:dyDescent="0.25">
      <c r="A3648" s="1">
        <v>2016</v>
      </c>
      <c r="B3648" s="1">
        <v>286</v>
      </c>
      <c r="C3648" s="15">
        <v>42655</v>
      </c>
      <c r="D3648" s="16">
        <v>0.38958333333333334</v>
      </c>
      <c r="E3648" s="1">
        <v>190</v>
      </c>
      <c r="F3648" s="1">
        <v>7</v>
      </c>
      <c r="G3648" s="1">
        <v>0.26241189418950706</v>
      </c>
      <c r="H3648" s="1" t="s">
        <v>143</v>
      </c>
    </row>
    <row r="3649" spans="1:8" x14ac:dyDescent="0.25">
      <c r="A3649" s="1">
        <v>2016</v>
      </c>
      <c r="B3649" s="1">
        <v>286</v>
      </c>
      <c r="C3649" s="15">
        <v>42655</v>
      </c>
      <c r="D3649" s="16">
        <v>0.39583333333333331</v>
      </c>
      <c r="E3649" s="1">
        <v>190</v>
      </c>
      <c r="F3649" s="1">
        <v>8</v>
      </c>
      <c r="G3649" s="1">
        <v>0.2793460135871686</v>
      </c>
      <c r="H3649" s="1" t="s">
        <v>143</v>
      </c>
    </row>
    <row r="3650" spans="1:8" x14ac:dyDescent="0.25">
      <c r="A3650" s="1">
        <v>2016</v>
      </c>
      <c r="B3650" s="1">
        <v>286</v>
      </c>
      <c r="C3650" s="15">
        <v>42655</v>
      </c>
      <c r="D3650" s="16">
        <v>0.39652777777777781</v>
      </c>
      <c r="E3650" s="1">
        <v>190</v>
      </c>
      <c r="F3650" s="1">
        <v>9</v>
      </c>
      <c r="G3650" s="1">
        <v>0.26866000031209247</v>
      </c>
      <c r="H3650" s="1" t="s">
        <v>143</v>
      </c>
    </row>
    <row r="3651" spans="1:8" x14ac:dyDescent="0.25">
      <c r="A3651" s="1">
        <v>2016</v>
      </c>
      <c r="B3651" s="1">
        <v>286</v>
      </c>
      <c r="C3651" s="15">
        <v>42655</v>
      </c>
      <c r="D3651" s="16">
        <v>0.40277777777777773</v>
      </c>
      <c r="E3651" s="1">
        <v>190</v>
      </c>
      <c r="F3651" s="1">
        <v>10</v>
      </c>
      <c r="G3651" s="1">
        <v>0.27592026069752673</v>
      </c>
      <c r="H3651" s="1" t="s">
        <v>143</v>
      </c>
    </row>
    <row r="3652" spans="1:8" x14ac:dyDescent="0.25">
      <c r="A3652" s="1">
        <v>2016</v>
      </c>
      <c r="B3652" s="1">
        <v>286</v>
      </c>
      <c r="C3652" s="15">
        <v>42655</v>
      </c>
      <c r="D3652" s="16">
        <v>0.50694444444444442</v>
      </c>
      <c r="E3652" s="1">
        <v>190</v>
      </c>
      <c r="F3652" s="1">
        <v>11</v>
      </c>
      <c r="G3652" s="1">
        <v>0.2931074186609004</v>
      </c>
      <c r="H3652" s="1" t="s">
        <v>144</v>
      </c>
    </row>
    <row r="3653" spans="1:8" x14ac:dyDescent="0.25">
      <c r="A3653" s="1">
        <v>2016</v>
      </c>
      <c r="B3653" s="1">
        <v>286</v>
      </c>
      <c r="C3653" s="15">
        <v>42655</v>
      </c>
      <c r="D3653" s="16">
        <v>0.5</v>
      </c>
      <c r="E3653" s="1">
        <v>190</v>
      </c>
      <c r="F3653" s="1">
        <v>12</v>
      </c>
      <c r="G3653" s="1">
        <v>0.30202216197599124</v>
      </c>
      <c r="H3653" s="1" t="s">
        <v>144</v>
      </c>
    </row>
    <row r="3654" spans="1:8" x14ac:dyDescent="0.25">
      <c r="A3654" s="1">
        <v>2016</v>
      </c>
      <c r="B3654" s="1">
        <v>286</v>
      </c>
      <c r="C3654" s="15">
        <v>42655</v>
      </c>
      <c r="D3654" s="16">
        <v>0.51388888888888895</v>
      </c>
      <c r="E3654" s="1">
        <v>190</v>
      </c>
      <c r="F3654" s="1">
        <v>13</v>
      </c>
      <c r="G3654" s="1">
        <v>0.2764068733238963</v>
      </c>
      <c r="H3654" s="1" t="s">
        <v>144</v>
      </c>
    </row>
    <row r="3655" spans="1:8" x14ac:dyDescent="0.25">
      <c r="A3655" s="1">
        <v>2016</v>
      </c>
      <c r="B3655" s="1">
        <v>286</v>
      </c>
      <c r="C3655" s="15">
        <v>42655</v>
      </c>
      <c r="D3655" s="16">
        <v>0.50763888888888886</v>
      </c>
      <c r="E3655" s="1">
        <v>190</v>
      </c>
      <c r="F3655" s="1">
        <v>14</v>
      </c>
      <c r="G3655" s="1">
        <v>0.28865004700335506</v>
      </c>
      <c r="H3655" s="1" t="s">
        <v>144</v>
      </c>
    </row>
    <row r="3656" spans="1:8" x14ac:dyDescent="0.25">
      <c r="A3656" s="1">
        <v>2016</v>
      </c>
      <c r="B3656" s="1">
        <v>286</v>
      </c>
      <c r="C3656" s="15">
        <v>42655</v>
      </c>
      <c r="D3656" s="16">
        <v>0.52083333333333337</v>
      </c>
      <c r="E3656" s="1">
        <v>190</v>
      </c>
      <c r="F3656" s="1">
        <v>15</v>
      </c>
      <c r="G3656" s="1">
        <v>0.34100956560072232</v>
      </c>
      <c r="H3656" s="1" t="s">
        <v>1</v>
      </c>
    </row>
    <row r="3657" spans="1:8" x14ac:dyDescent="0.25">
      <c r="A3657" s="1">
        <v>2016</v>
      </c>
      <c r="B3657" s="1">
        <v>286</v>
      </c>
      <c r="C3657" s="15">
        <v>42655</v>
      </c>
      <c r="D3657" s="16">
        <v>0.53125</v>
      </c>
      <c r="E3657" s="1">
        <v>190</v>
      </c>
      <c r="F3657" s="1">
        <v>16</v>
      </c>
      <c r="G3657" s="1">
        <v>0.32683940592083999</v>
      </c>
      <c r="H3657" s="1" t="s">
        <v>1</v>
      </c>
    </row>
    <row r="3658" spans="1:8" x14ac:dyDescent="0.25">
      <c r="A3658" s="1">
        <v>2016</v>
      </c>
      <c r="B3658" s="1">
        <v>286</v>
      </c>
      <c r="C3658" s="15">
        <v>42655</v>
      </c>
      <c r="D3658" s="16">
        <v>0.53680555555555554</v>
      </c>
      <c r="E3658" s="1">
        <v>190</v>
      </c>
      <c r="F3658" s="1">
        <v>17</v>
      </c>
      <c r="G3658" s="1">
        <v>0.31041136365460287</v>
      </c>
      <c r="H3658" s="1" t="s">
        <v>144</v>
      </c>
    </row>
    <row r="3659" spans="1:8" x14ac:dyDescent="0.25">
      <c r="A3659" s="1">
        <v>2016</v>
      </c>
      <c r="B3659" s="1">
        <v>286</v>
      </c>
      <c r="C3659" s="15">
        <v>42655</v>
      </c>
      <c r="D3659" s="16">
        <v>0.54375000000000007</v>
      </c>
      <c r="E3659" s="1">
        <v>190</v>
      </c>
      <c r="F3659" s="1">
        <v>18</v>
      </c>
      <c r="G3659" s="1">
        <v>0.30171072989511472</v>
      </c>
      <c r="H3659" s="1" t="s">
        <v>144</v>
      </c>
    </row>
    <row r="3660" spans="1:8" x14ac:dyDescent="0.25">
      <c r="A3660" s="1">
        <v>2016</v>
      </c>
      <c r="B3660" s="1">
        <v>286</v>
      </c>
      <c r="C3660" s="15">
        <v>42655</v>
      </c>
      <c r="D3660" s="16">
        <v>0.55069444444444449</v>
      </c>
      <c r="E3660" s="1">
        <v>190</v>
      </c>
      <c r="F3660" s="1">
        <v>19</v>
      </c>
      <c r="G3660" s="1">
        <v>0.29221205142838041</v>
      </c>
      <c r="H3660" s="1" t="s">
        <v>144</v>
      </c>
    </row>
    <row r="3661" spans="1:8" x14ac:dyDescent="0.25">
      <c r="A3661" s="1">
        <v>2016</v>
      </c>
      <c r="B3661" s="1">
        <v>286</v>
      </c>
      <c r="C3661" s="15">
        <v>42655</v>
      </c>
      <c r="D3661" s="16">
        <v>0.55763888888888891</v>
      </c>
      <c r="E3661" s="1">
        <v>190</v>
      </c>
      <c r="F3661" s="1">
        <v>20</v>
      </c>
      <c r="G3661" s="1">
        <v>0.28937023369038201</v>
      </c>
      <c r="H3661" s="1" t="s">
        <v>144</v>
      </c>
    </row>
    <row r="3662" spans="1:8" x14ac:dyDescent="0.25">
      <c r="A3662" s="1">
        <v>2016</v>
      </c>
      <c r="B3662" s="1">
        <v>286</v>
      </c>
      <c r="C3662" s="15">
        <v>42655</v>
      </c>
      <c r="D3662" s="16">
        <v>0.35416666666666669</v>
      </c>
      <c r="E3662" s="1">
        <v>170</v>
      </c>
      <c r="F3662" s="1">
        <v>1</v>
      </c>
      <c r="G3662" s="1">
        <v>0.25645575564274337</v>
      </c>
      <c r="H3662" s="1" t="s">
        <v>143</v>
      </c>
    </row>
    <row r="3663" spans="1:8" x14ac:dyDescent="0.25">
      <c r="A3663" s="1">
        <v>2016</v>
      </c>
      <c r="B3663" s="1">
        <v>286</v>
      </c>
      <c r="C3663" s="15">
        <v>42655</v>
      </c>
      <c r="D3663" s="16">
        <v>0.34791666666666665</v>
      </c>
      <c r="E3663" s="1">
        <v>170</v>
      </c>
      <c r="F3663" s="1">
        <v>2</v>
      </c>
      <c r="G3663" s="1">
        <v>0.25454823414737454</v>
      </c>
      <c r="H3663" s="1" t="s">
        <v>143</v>
      </c>
    </row>
    <row r="3664" spans="1:8" x14ac:dyDescent="0.25">
      <c r="A3664" s="1">
        <v>2016</v>
      </c>
      <c r="B3664" s="1">
        <v>286</v>
      </c>
      <c r="C3664" s="15">
        <v>42655</v>
      </c>
      <c r="D3664" s="16">
        <v>0.37222222222222223</v>
      </c>
      <c r="E3664" s="1">
        <v>170</v>
      </c>
      <c r="F3664" s="1">
        <v>3</v>
      </c>
      <c r="G3664" s="1">
        <v>0.26498120885673848</v>
      </c>
      <c r="H3664" s="1" t="s">
        <v>143</v>
      </c>
    </row>
    <row r="3665" spans="1:8" x14ac:dyDescent="0.25">
      <c r="A3665" s="1">
        <v>2016</v>
      </c>
      <c r="B3665" s="1">
        <v>286</v>
      </c>
      <c r="C3665" s="15">
        <v>42655</v>
      </c>
      <c r="D3665" s="16">
        <v>0.3659722222222222</v>
      </c>
      <c r="E3665" s="1">
        <v>170</v>
      </c>
      <c r="F3665" s="1">
        <v>4</v>
      </c>
      <c r="G3665" s="1">
        <v>0.27212468221184394</v>
      </c>
      <c r="H3665" s="1" t="s">
        <v>143</v>
      </c>
    </row>
    <row r="3666" spans="1:8" x14ac:dyDescent="0.25">
      <c r="A3666" s="1">
        <v>2016</v>
      </c>
      <c r="B3666" s="1">
        <v>286</v>
      </c>
      <c r="C3666" s="15">
        <v>42655</v>
      </c>
      <c r="D3666" s="16">
        <v>0.37916666666666665</v>
      </c>
      <c r="E3666" s="1">
        <v>170</v>
      </c>
      <c r="F3666" s="1">
        <v>5</v>
      </c>
      <c r="G3666" s="1">
        <v>0.32053290628309022</v>
      </c>
      <c r="H3666" s="1" t="s">
        <v>0</v>
      </c>
    </row>
    <row r="3667" spans="1:8" x14ac:dyDescent="0.25">
      <c r="A3667" s="1">
        <v>2016</v>
      </c>
      <c r="B3667" s="1">
        <v>286</v>
      </c>
      <c r="C3667" s="15">
        <v>42655</v>
      </c>
      <c r="D3667" s="16">
        <v>0.3840277777777778</v>
      </c>
      <c r="E3667" s="1">
        <v>170</v>
      </c>
      <c r="F3667" s="1">
        <v>6</v>
      </c>
      <c r="G3667" s="1">
        <v>0.3237640141221842</v>
      </c>
      <c r="H3667" s="1" t="s">
        <v>0</v>
      </c>
    </row>
    <row r="3668" spans="1:8" x14ac:dyDescent="0.25">
      <c r="A3668" s="1">
        <v>2016</v>
      </c>
      <c r="B3668" s="1">
        <v>286</v>
      </c>
      <c r="C3668" s="15">
        <v>42655</v>
      </c>
      <c r="D3668" s="16">
        <v>0.38958333333333334</v>
      </c>
      <c r="E3668" s="1">
        <v>170</v>
      </c>
      <c r="F3668" s="1">
        <v>7</v>
      </c>
      <c r="G3668" s="1">
        <v>0.28623644837656187</v>
      </c>
      <c r="H3668" s="1" t="s">
        <v>143</v>
      </c>
    </row>
    <row r="3669" spans="1:8" x14ac:dyDescent="0.25">
      <c r="A3669" s="1">
        <v>2016</v>
      </c>
      <c r="B3669" s="1">
        <v>286</v>
      </c>
      <c r="C3669" s="15">
        <v>42655</v>
      </c>
      <c r="D3669" s="16">
        <v>0.39583333333333331</v>
      </c>
      <c r="E3669" s="1">
        <v>170</v>
      </c>
      <c r="F3669" s="1">
        <v>8</v>
      </c>
      <c r="G3669" s="1">
        <v>0.29668888759098055</v>
      </c>
      <c r="H3669" s="1" t="s">
        <v>143</v>
      </c>
    </row>
    <row r="3670" spans="1:8" x14ac:dyDescent="0.25">
      <c r="A3670" s="1">
        <v>2016</v>
      </c>
      <c r="B3670" s="1">
        <v>286</v>
      </c>
      <c r="C3670" s="15">
        <v>42655</v>
      </c>
      <c r="D3670" s="16">
        <v>0.39652777777777781</v>
      </c>
      <c r="E3670" s="1">
        <v>170</v>
      </c>
      <c r="F3670" s="1">
        <v>9</v>
      </c>
      <c r="G3670" s="1">
        <v>0.285866622780521</v>
      </c>
      <c r="H3670" s="1" t="s">
        <v>143</v>
      </c>
    </row>
    <row r="3671" spans="1:8" x14ac:dyDescent="0.25">
      <c r="A3671" s="1">
        <v>2016</v>
      </c>
      <c r="B3671" s="1">
        <v>286</v>
      </c>
      <c r="C3671" s="15">
        <v>42655</v>
      </c>
      <c r="D3671" s="16">
        <v>0.40277777777777773</v>
      </c>
      <c r="E3671" s="1">
        <v>170</v>
      </c>
      <c r="F3671" s="1">
        <v>10</v>
      </c>
      <c r="G3671" s="1">
        <v>0.29328259920639344</v>
      </c>
      <c r="H3671" s="1" t="s">
        <v>143</v>
      </c>
    </row>
    <row r="3672" spans="1:8" x14ac:dyDescent="0.25">
      <c r="A3672" s="1">
        <v>2016</v>
      </c>
      <c r="B3672" s="1">
        <v>286</v>
      </c>
      <c r="C3672" s="15">
        <v>42655</v>
      </c>
      <c r="D3672" s="16">
        <v>0.50694444444444442</v>
      </c>
      <c r="E3672" s="1">
        <v>170</v>
      </c>
      <c r="F3672" s="1">
        <v>11</v>
      </c>
      <c r="G3672" s="1">
        <v>0.30682989472452271</v>
      </c>
      <c r="H3672" s="1" t="s">
        <v>144</v>
      </c>
    </row>
    <row r="3673" spans="1:8" x14ac:dyDescent="0.25">
      <c r="A3673" s="1">
        <v>2016</v>
      </c>
      <c r="B3673" s="1">
        <v>286</v>
      </c>
      <c r="C3673" s="15">
        <v>42655</v>
      </c>
      <c r="D3673" s="16">
        <v>0.5</v>
      </c>
      <c r="E3673" s="1">
        <v>170</v>
      </c>
      <c r="F3673" s="1">
        <v>12</v>
      </c>
      <c r="G3673" s="1">
        <v>0.32534063903162169</v>
      </c>
      <c r="H3673" s="1" t="s">
        <v>144</v>
      </c>
    </row>
    <row r="3674" spans="1:8" x14ac:dyDescent="0.25">
      <c r="A3674" s="1">
        <v>2016</v>
      </c>
      <c r="B3674" s="1">
        <v>286</v>
      </c>
      <c r="C3674" s="15">
        <v>42655</v>
      </c>
      <c r="D3674" s="16">
        <v>0.51388888888888895</v>
      </c>
      <c r="E3674" s="1">
        <v>170</v>
      </c>
      <c r="F3674" s="1">
        <v>13</v>
      </c>
      <c r="G3674" s="1">
        <v>0.28413428183064532</v>
      </c>
      <c r="H3674" s="1" t="s">
        <v>144</v>
      </c>
    </row>
    <row r="3675" spans="1:8" x14ac:dyDescent="0.25">
      <c r="A3675" s="1">
        <v>2016</v>
      </c>
      <c r="B3675" s="1">
        <v>286</v>
      </c>
      <c r="C3675" s="15">
        <v>42655</v>
      </c>
      <c r="D3675" s="16">
        <v>0.50763888888888886</v>
      </c>
      <c r="E3675" s="1">
        <v>170</v>
      </c>
      <c r="F3675" s="1">
        <v>14</v>
      </c>
      <c r="G3675" s="1">
        <v>0.30679096571441311</v>
      </c>
      <c r="H3675" s="1" t="s">
        <v>144</v>
      </c>
    </row>
    <row r="3676" spans="1:8" x14ac:dyDescent="0.25">
      <c r="A3676" s="1">
        <v>2016</v>
      </c>
      <c r="B3676" s="1">
        <v>286</v>
      </c>
      <c r="C3676" s="15">
        <v>42655</v>
      </c>
      <c r="D3676" s="16">
        <v>0.52083333333333337</v>
      </c>
      <c r="E3676" s="1">
        <v>170</v>
      </c>
      <c r="F3676" s="1">
        <v>15</v>
      </c>
      <c r="G3676" s="1">
        <v>0.33396341477089075</v>
      </c>
      <c r="H3676" s="1" t="s">
        <v>1</v>
      </c>
    </row>
    <row r="3677" spans="1:8" x14ac:dyDescent="0.25">
      <c r="A3677" s="1">
        <v>2016</v>
      </c>
      <c r="B3677" s="1">
        <v>286</v>
      </c>
      <c r="C3677" s="15">
        <v>42655</v>
      </c>
      <c r="D3677" s="16">
        <v>0.53125</v>
      </c>
      <c r="E3677" s="1">
        <v>170</v>
      </c>
      <c r="F3677" s="1">
        <v>16</v>
      </c>
      <c r="G3677" s="1">
        <v>0.32393919466767729</v>
      </c>
      <c r="H3677" s="1" t="s">
        <v>1</v>
      </c>
    </row>
    <row r="3678" spans="1:8" x14ac:dyDescent="0.25">
      <c r="A3678" s="1">
        <v>2016</v>
      </c>
      <c r="B3678" s="1">
        <v>286</v>
      </c>
      <c r="C3678" s="15">
        <v>42655</v>
      </c>
      <c r="D3678" s="16">
        <v>0.53680555555555554</v>
      </c>
      <c r="E3678" s="1">
        <v>170</v>
      </c>
      <c r="F3678" s="1">
        <v>17</v>
      </c>
      <c r="G3678" s="1">
        <v>0.31227995613986209</v>
      </c>
      <c r="H3678" s="1" t="s">
        <v>144</v>
      </c>
    </row>
    <row r="3679" spans="1:8" x14ac:dyDescent="0.25">
      <c r="A3679" s="1">
        <v>2016</v>
      </c>
      <c r="B3679" s="1">
        <v>286</v>
      </c>
      <c r="C3679" s="15">
        <v>42655</v>
      </c>
      <c r="D3679" s="16">
        <v>0.54375000000000007</v>
      </c>
      <c r="E3679" s="1">
        <v>170</v>
      </c>
      <c r="F3679" s="1">
        <v>18</v>
      </c>
      <c r="G3679" s="1">
        <v>0.32047451276792582</v>
      </c>
      <c r="H3679" s="1" t="s">
        <v>144</v>
      </c>
    </row>
    <row r="3680" spans="1:8" x14ac:dyDescent="0.25">
      <c r="A3680" s="1">
        <v>2016</v>
      </c>
      <c r="B3680" s="1">
        <v>286</v>
      </c>
      <c r="C3680" s="15">
        <v>42655</v>
      </c>
      <c r="D3680" s="16">
        <v>0.55069444444444449</v>
      </c>
      <c r="E3680" s="1">
        <v>170</v>
      </c>
      <c r="F3680" s="1">
        <v>19</v>
      </c>
      <c r="G3680" s="1">
        <v>0.30297592272367563</v>
      </c>
      <c r="H3680" s="1" t="s">
        <v>144</v>
      </c>
    </row>
    <row r="3681" spans="1:8" x14ac:dyDescent="0.25">
      <c r="A3681" s="1">
        <v>2016</v>
      </c>
      <c r="B3681" s="1">
        <v>286</v>
      </c>
      <c r="C3681" s="15">
        <v>42655</v>
      </c>
      <c r="D3681" s="16">
        <v>0.55763888888888891</v>
      </c>
      <c r="E3681" s="1">
        <v>170</v>
      </c>
      <c r="F3681" s="1">
        <v>20</v>
      </c>
      <c r="G3681" s="1">
        <v>0.30420218654212694</v>
      </c>
      <c r="H3681" s="1" t="s">
        <v>144</v>
      </c>
    </row>
    <row r="3682" spans="1:8" x14ac:dyDescent="0.25">
      <c r="A3682" s="1">
        <v>2016</v>
      </c>
      <c r="B3682" s="1">
        <v>286</v>
      </c>
      <c r="C3682" s="15">
        <v>42655</v>
      </c>
      <c r="D3682" s="16">
        <v>0.35416666666666669</v>
      </c>
      <c r="E3682" s="1">
        <v>150</v>
      </c>
      <c r="F3682" s="1">
        <v>1</v>
      </c>
      <c r="G3682" s="1">
        <v>0.31704875987828396</v>
      </c>
      <c r="H3682" s="1" t="s">
        <v>143</v>
      </c>
    </row>
    <row r="3683" spans="1:8" x14ac:dyDescent="0.25">
      <c r="A3683" s="1">
        <v>2016</v>
      </c>
      <c r="B3683" s="1">
        <v>286</v>
      </c>
      <c r="C3683" s="15">
        <v>42655</v>
      </c>
      <c r="D3683" s="16">
        <v>0.34791666666666665</v>
      </c>
      <c r="E3683" s="1">
        <v>150</v>
      </c>
      <c r="F3683" s="1">
        <v>2</v>
      </c>
      <c r="G3683" s="1">
        <v>0.31819716567651624</v>
      </c>
      <c r="H3683" s="1" t="s">
        <v>143</v>
      </c>
    </row>
    <row r="3684" spans="1:8" x14ac:dyDescent="0.25">
      <c r="A3684" s="1">
        <v>2016</v>
      </c>
      <c r="B3684" s="1">
        <v>286</v>
      </c>
      <c r="C3684" s="15">
        <v>42655</v>
      </c>
      <c r="D3684" s="16">
        <v>0.37222222222222223</v>
      </c>
      <c r="E3684" s="1">
        <v>150</v>
      </c>
      <c r="F3684" s="1">
        <v>3</v>
      </c>
      <c r="G3684" s="1">
        <v>0.28909773061961508</v>
      </c>
      <c r="H3684" s="1" t="s">
        <v>143</v>
      </c>
    </row>
    <row r="3685" spans="1:8" x14ac:dyDescent="0.25">
      <c r="A3685" s="1">
        <v>2016</v>
      </c>
      <c r="B3685" s="1">
        <v>286</v>
      </c>
      <c r="C3685" s="15">
        <v>42655</v>
      </c>
      <c r="D3685" s="16">
        <v>0.3659722222222222</v>
      </c>
      <c r="E3685" s="1">
        <v>150</v>
      </c>
      <c r="F3685" s="1">
        <v>4</v>
      </c>
      <c r="G3685" s="1">
        <v>0.27085948938328303</v>
      </c>
      <c r="H3685" s="1" t="s">
        <v>143</v>
      </c>
    </row>
    <row r="3686" spans="1:8" x14ac:dyDescent="0.25">
      <c r="A3686" s="1">
        <v>2016</v>
      </c>
      <c r="B3686" s="1">
        <v>286</v>
      </c>
      <c r="C3686" s="15">
        <v>42655</v>
      </c>
      <c r="D3686" s="16">
        <v>0.37916666666666665</v>
      </c>
      <c r="E3686" s="1">
        <v>150</v>
      </c>
      <c r="F3686" s="1">
        <v>5</v>
      </c>
      <c r="G3686" s="1">
        <v>0.35523811879576894</v>
      </c>
      <c r="H3686" s="1" t="s">
        <v>0</v>
      </c>
    </row>
    <row r="3687" spans="1:8" x14ac:dyDescent="0.25">
      <c r="A3687" s="1">
        <v>2016</v>
      </c>
      <c r="B3687" s="1">
        <v>286</v>
      </c>
      <c r="C3687" s="15">
        <v>42655</v>
      </c>
      <c r="D3687" s="16">
        <v>0.3840277777777778</v>
      </c>
      <c r="E3687" s="1">
        <v>150</v>
      </c>
      <c r="F3687" s="1">
        <v>6</v>
      </c>
      <c r="G3687" s="1">
        <v>0.33871275400425788</v>
      </c>
      <c r="H3687" s="1" t="s">
        <v>0</v>
      </c>
    </row>
    <row r="3688" spans="1:8" x14ac:dyDescent="0.25">
      <c r="A3688" s="1">
        <v>2016</v>
      </c>
      <c r="B3688" s="1">
        <v>286</v>
      </c>
      <c r="C3688" s="15">
        <v>42655</v>
      </c>
      <c r="D3688" s="16">
        <v>0.38958333333333334</v>
      </c>
      <c r="E3688" s="1">
        <v>150</v>
      </c>
      <c r="F3688" s="1">
        <v>7</v>
      </c>
      <c r="G3688" s="1">
        <v>0.31111208583657501</v>
      </c>
      <c r="H3688" s="1" t="s">
        <v>143</v>
      </c>
    </row>
    <row r="3689" spans="1:8" x14ac:dyDescent="0.25">
      <c r="A3689" s="1">
        <v>2016</v>
      </c>
      <c r="B3689" s="1">
        <v>286</v>
      </c>
      <c r="C3689" s="15">
        <v>42655</v>
      </c>
      <c r="D3689" s="16">
        <v>0.39583333333333331</v>
      </c>
      <c r="E3689" s="1">
        <v>150</v>
      </c>
      <c r="F3689" s="1">
        <v>8</v>
      </c>
      <c r="G3689" s="1">
        <v>0.33139410010365933</v>
      </c>
      <c r="H3689" s="1" t="s">
        <v>143</v>
      </c>
    </row>
    <row r="3690" spans="1:8" x14ac:dyDescent="0.25">
      <c r="A3690" s="1">
        <v>2016</v>
      </c>
      <c r="B3690" s="1">
        <v>286</v>
      </c>
      <c r="C3690" s="15">
        <v>42655</v>
      </c>
      <c r="D3690" s="16">
        <v>0.39652777777777781</v>
      </c>
      <c r="E3690" s="1">
        <v>150</v>
      </c>
      <c r="F3690" s="1">
        <v>9</v>
      </c>
      <c r="G3690" s="1">
        <v>0.31389551005940908</v>
      </c>
      <c r="H3690" s="1" t="s">
        <v>143</v>
      </c>
    </row>
    <row r="3691" spans="1:8" x14ac:dyDescent="0.25">
      <c r="A3691" s="1">
        <v>2016</v>
      </c>
      <c r="B3691" s="1">
        <v>286</v>
      </c>
      <c r="C3691" s="15">
        <v>42655</v>
      </c>
      <c r="D3691" s="16">
        <v>0.40277777777777773</v>
      </c>
      <c r="E3691" s="1">
        <v>150</v>
      </c>
      <c r="F3691" s="1">
        <v>10</v>
      </c>
      <c r="G3691" s="1">
        <v>0.32530171002151209</v>
      </c>
      <c r="H3691" s="1" t="s">
        <v>143</v>
      </c>
    </row>
    <row r="3692" spans="1:8" x14ac:dyDescent="0.25">
      <c r="A3692" s="1">
        <v>2016</v>
      </c>
      <c r="B3692" s="1">
        <v>286</v>
      </c>
      <c r="C3692" s="15">
        <v>42655</v>
      </c>
      <c r="D3692" s="16">
        <v>0.50694444444444442</v>
      </c>
      <c r="E3692" s="1">
        <v>150</v>
      </c>
      <c r="F3692" s="1">
        <v>11</v>
      </c>
      <c r="G3692" s="1">
        <v>0.31952075202024144</v>
      </c>
      <c r="H3692" s="1" t="s">
        <v>144</v>
      </c>
    </row>
    <row r="3693" spans="1:8" x14ac:dyDescent="0.25">
      <c r="A3693" s="1">
        <v>2016</v>
      </c>
      <c r="B3693" s="1">
        <v>286</v>
      </c>
      <c r="C3693" s="15">
        <v>42655</v>
      </c>
      <c r="D3693" s="16">
        <v>0.5</v>
      </c>
      <c r="E3693" s="1">
        <v>150</v>
      </c>
      <c r="F3693" s="1">
        <v>12</v>
      </c>
      <c r="G3693" s="1">
        <v>0.31451837422116213</v>
      </c>
      <c r="H3693" s="1" t="s">
        <v>144</v>
      </c>
    </row>
    <row r="3694" spans="1:8" x14ac:dyDescent="0.25">
      <c r="A3694" s="1">
        <v>2016</v>
      </c>
      <c r="B3694" s="1">
        <v>286</v>
      </c>
      <c r="C3694" s="15">
        <v>42655</v>
      </c>
      <c r="D3694" s="16">
        <v>0.51388888888888895</v>
      </c>
      <c r="E3694" s="1">
        <v>150</v>
      </c>
      <c r="F3694" s="1">
        <v>13</v>
      </c>
      <c r="G3694" s="1">
        <v>0.2866257384776576</v>
      </c>
      <c r="H3694" s="1" t="s">
        <v>144</v>
      </c>
    </row>
    <row r="3695" spans="1:8" x14ac:dyDescent="0.25">
      <c r="A3695" s="1">
        <v>2016</v>
      </c>
      <c r="B3695" s="1">
        <v>286</v>
      </c>
      <c r="C3695" s="15">
        <v>42655</v>
      </c>
      <c r="D3695" s="16">
        <v>0.50763888888888886</v>
      </c>
      <c r="E3695" s="1">
        <v>150</v>
      </c>
      <c r="F3695" s="1">
        <v>14</v>
      </c>
      <c r="G3695" s="1">
        <v>0.28896147908423159</v>
      </c>
      <c r="H3695" s="1" t="s">
        <v>144</v>
      </c>
    </row>
    <row r="3696" spans="1:8" x14ac:dyDescent="0.25">
      <c r="A3696" s="1">
        <v>2016</v>
      </c>
      <c r="B3696" s="1">
        <v>286</v>
      </c>
      <c r="C3696" s="15">
        <v>42655</v>
      </c>
      <c r="D3696" s="16">
        <v>0.52083333333333337</v>
      </c>
      <c r="E3696" s="1">
        <v>150</v>
      </c>
      <c r="F3696" s="1">
        <v>15</v>
      </c>
      <c r="G3696" s="1">
        <v>0.34172975228774932</v>
      </c>
      <c r="H3696" s="1" t="s">
        <v>1</v>
      </c>
    </row>
    <row r="3697" spans="1:8" x14ac:dyDescent="0.25">
      <c r="A3697" s="1">
        <v>2016</v>
      </c>
      <c r="B3697" s="1">
        <v>286</v>
      </c>
      <c r="C3697" s="15">
        <v>42655</v>
      </c>
      <c r="D3697" s="16">
        <v>0.53125</v>
      </c>
      <c r="E3697" s="1">
        <v>150</v>
      </c>
      <c r="F3697" s="1">
        <v>16</v>
      </c>
      <c r="G3697" s="1">
        <v>0.32168131208132239</v>
      </c>
      <c r="H3697" s="1" t="s">
        <v>1</v>
      </c>
    </row>
    <row r="3698" spans="1:8" x14ac:dyDescent="0.25">
      <c r="A3698" s="1">
        <v>2016</v>
      </c>
      <c r="B3698" s="1">
        <v>286</v>
      </c>
      <c r="C3698" s="15">
        <v>42655</v>
      </c>
      <c r="D3698" s="16">
        <v>0.53680555555555554</v>
      </c>
      <c r="E3698" s="1">
        <v>150</v>
      </c>
      <c r="F3698" s="1">
        <v>17</v>
      </c>
      <c r="G3698" s="1">
        <v>0.30233359405686777</v>
      </c>
      <c r="H3698" s="1" t="s">
        <v>144</v>
      </c>
    </row>
    <row r="3699" spans="1:8" x14ac:dyDescent="0.25">
      <c r="A3699" s="1">
        <v>2016</v>
      </c>
      <c r="B3699" s="1">
        <v>286</v>
      </c>
      <c r="C3699" s="15">
        <v>42655</v>
      </c>
      <c r="D3699" s="16">
        <v>0.54375000000000007</v>
      </c>
      <c r="E3699" s="1">
        <v>150</v>
      </c>
      <c r="F3699" s="1">
        <v>18</v>
      </c>
      <c r="G3699" s="1">
        <v>0.31453783872621693</v>
      </c>
      <c r="H3699" s="1" t="s">
        <v>144</v>
      </c>
    </row>
    <row r="3700" spans="1:8" x14ac:dyDescent="0.25">
      <c r="A3700" s="1">
        <v>2016</v>
      </c>
      <c r="B3700" s="1">
        <v>286</v>
      </c>
      <c r="C3700" s="15">
        <v>42655</v>
      </c>
      <c r="D3700" s="16">
        <v>0.55069444444444449</v>
      </c>
      <c r="E3700" s="1">
        <v>150</v>
      </c>
      <c r="F3700" s="1">
        <v>19</v>
      </c>
      <c r="G3700" s="1">
        <v>0.31872270731299535</v>
      </c>
      <c r="H3700" s="1" t="s">
        <v>144</v>
      </c>
    </row>
    <row r="3701" spans="1:8" x14ac:dyDescent="0.25">
      <c r="A3701" s="1">
        <v>2016</v>
      </c>
      <c r="B3701" s="1">
        <v>286</v>
      </c>
      <c r="C3701" s="15">
        <v>42655</v>
      </c>
      <c r="D3701" s="16">
        <v>0.55763888888888891</v>
      </c>
      <c r="E3701" s="1">
        <v>150</v>
      </c>
      <c r="F3701" s="1">
        <v>20</v>
      </c>
      <c r="G3701" s="1">
        <v>0.3245620588294304</v>
      </c>
      <c r="H3701" s="1" t="s">
        <v>144</v>
      </c>
    </row>
    <row r="3702" spans="1:8" x14ac:dyDescent="0.25">
      <c r="A3702" s="1">
        <v>2016</v>
      </c>
      <c r="B3702" s="1">
        <v>286</v>
      </c>
      <c r="C3702" s="15">
        <v>42655</v>
      </c>
      <c r="D3702" s="16">
        <v>0.35416666666666669</v>
      </c>
      <c r="E3702" s="1">
        <v>130</v>
      </c>
      <c r="F3702" s="1">
        <v>1</v>
      </c>
      <c r="G3702" s="1">
        <v>0.29863533809645892</v>
      </c>
      <c r="H3702" s="1" t="s">
        <v>143</v>
      </c>
    </row>
    <row r="3703" spans="1:8" x14ac:dyDescent="0.25">
      <c r="A3703" s="1">
        <v>2016</v>
      </c>
      <c r="B3703" s="1">
        <v>286</v>
      </c>
      <c r="C3703" s="15">
        <v>42655</v>
      </c>
      <c r="D3703" s="16">
        <v>0.34791666666666665</v>
      </c>
      <c r="E3703" s="1">
        <v>130</v>
      </c>
      <c r="F3703" s="1">
        <v>2</v>
      </c>
      <c r="G3703" s="1">
        <v>0.29166704528684645</v>
      </c>
      <c r="H3703" s="1" t="s">
        <v>143</v>
      </c>
    </row>
    <row r="3704" spans="1:8" x14ac:dyDescent="0.25">
      <c r="A3704" s="1">
        <v>2016</v>
      </c>
      <c r="B3704" s="1">
        <v>286</v>
      </c>
      <c r="C3704" s="15">
        <v>42655</v>
      </c>
      <c r="D3704" s="16">
        <v>0.37222222222222223</v>
      </c>
      <c r="E3704" s="1">
        <v>130</v>
      </c>
      <c r="F3704" s="1">
        <v>3</v>
      </c>
      <c r="G3704" s="1">
        <v>0.29075221354927161</v>
      </c>
      <c r="H3704" s="1" t="s">
        <v>143</v>
      </c>
    </row>
    <row r="3705" spans="1:8" x14ac:dyDescent="0.25">
      <c r="A3705" s="1">
        <v>2016</v>
      </c>
      <c r="B3705" s="1">
        <v>286</v>
      </c>
      <c r="C3705" s="15">
        <v>42655</v>
      </c>
      <c r="D3705" s="16">
        <v>0.3659722222222222</v>
      </c>
      <c r="E3705" s="1">
        <v>130</v>
      </c>
      <c r="F3705" s="1">
        <v>4</v>
      </c>
      <c r="G3705" s="1">
        <v>0.2879882538314924</v>
      </c>
      <c r="H3705" s="1" t="s">
        <v>143</v>
      </c>
    </row>
    <row r="3706" spans="1:8" x14ac:dyDescent="0.25">
      <c r="A3706" s="1">
        <v>2016</v>
      </c>
      <c r="B3706" s="1">
        <v>286</v>
      </c>
      <c r="C3706" s="15">
        <v>42655</v>
      </c>
      <c r="D3706" s="16">
        <v>0.37916666666666665</v>
      </c>
      <c r="E3706" s="1">
        <v>130</v>
      </c>
      <c r="F3706" s="1">
        <v>5</v>
      </c>
      <c r="G3706" s="1">
        <v>0.30669364318913922</v>
      </c>
      <c r="H3706" s="1" t="s">
        <v>0</v>
      </c>
    </row>
    <row r="3707" spans="1:8" x14ac:dyDescent="0.25">
      <c r="A3707" s="1">
        <v>2016</v>
      </c>
      <c r="B3707" s="1">
        <v>286</v>
      </c>
      <c r="C3707" s="15">
        <v>42655</v>
      </c>
      <c r="D3707" s="16">
        <v>0.3840277777777778</v>
      </c>
      <c r="E3707" s="1">
        <v>130</v>
      </c>
      <c r="F3707" s="1">
        <v>6</v>
      </c>
      <c r="G3707" s="1">
        <v>0.3040464705016887</v>
      </c>
      <c r="H3707" s="1" t="s">
        <v>0</v>
      </c>
    </row>
    <row r="3708" spans="1:8" x14ac:dyDescent="0.25">
      <c r="A3708" s="1">
        <v>2016</v>
      </c>
      <c r="B3708" s="1">
        <v>286</v>
      </c>
      <c r="C3708" s="15">
        <v>42655</v>
      </c>
      <c r="D3708" s="16">
        <v>0.38958333333333334</v>
      </c>
      <c r="E3708" s="1">
        <v>130</v>
      </c>
      <c r="F3708" s="1">
        <v>7</v>
      </c>
      <c r="G3708" s="1">
        <v>0.29779836437910323</v>
      </c>
      <c r="H3708" s="1" t="s">
        <v>143</v>
      </c>
    </row>
    <row r="3709" spans="1:8" x14ac:dyDescent="0.25">
      <c r="A3709" s="1">
        <v>2016</v>
      </c>
      <c r="B3709" s="1">
        <v>286</v>
      </c>
      <c r="C3709" s="15">
        <v>42655</v>
      </c>
      <c r="D3709" s="16">
        <v>0.39583333333333331</v>
      </c>
      <c r="E3709" s="1">
        <v>130</v>
      </c>
      <c r="F3709" s="1">
        <v>8</v>
      </c>
      <c r="G3709" s="1">
        <v>0.32263507282900677</v>
      </c>
      <c r="H3709" s="1" t="s">
        <v>143</v>
      </c>
    </row>
    <row r="3710" spans="1:8" x14ac:dyDescent="0.25">
      <c r="A3710" s="1">
        <v>2016</v>
      </c>
      <c r="B3710" s="1">
        <v>286</v>
      </c>
      <c r="C3710" s="15">
        <v>42655</v>
      </c>
      <c r="D3710" s="16">
        <v>0.39652777777777781</v>
      </c>
      <c r="E3710" s="1">
        <v>130</v>
      </c>
      <c r="F3710" s="1">
        <v>9</v>
      </c>
      <c r="G3710" s="1">
        <v>0.28576930025524711</v>
      </c>
      <c r="H3710" s="1" t="s">
        <v>143</v>
      </c>
    </row>
    <row r="3711" spans="1:8" x14ac:dyDescent="0.25">
      <c r="A3711" s="1">
        <v>2016</v>
      </c>
      <c r="B3711" s="1">
        <v>286</v>
      </c>
      <c r="C3711" s="15">
        <v>42655</v>
      </c>
      <c r="D3711" s="16">
        <v>0.40277777777777773</v>
      </c>
      <c r="E3711" s="1">
        <v>130</v>
      </c>
      <c r="F3711" s="1">
        <v>10</v>
      </c>
      <c r="G3711" s="1">
        <v>0.29805140294481541</v>
      </c>
      <c r="H3711" s="1" t="s">
        <v>143</v>
      </c>
    </row>
    <row r="3712" spans="1:8" x14ac:dyDescent="0.25">
      <c r="A3712" s="1">
        <v>2016</v>
      </c>
      <c r="B3712" s="1">
        <v>286</v>
      </c>
      <c r="C3712" s="15">
        <v>42655</v>
      </c>
      <c r="D3712" s="16">
        <v>0.50694444444444442</v>
      </c>
      <c r="E3712" s="1">
        <v>130</v>
      </c>
      <c r="F3712" s="1">
        <v>11</v>
      </c>
      <c r="G3712" s="1">
        <v>0.28639216441700016</v>
      </c>
      <c r="H3712" s="1" t="s">
        <v>144</v>
      </c>
    </row>
    <row r="3713" spans="1:8" x14ac:dyDescent="0.25">
      <c r="A3713" s="1">
        <v>2016</v>
      </c>
      <c r="B3713" s="1">
        <v>286</v>
      </c>
      <c r="C3713" s="15">
        <v>42655</v>
      </c>
      <c r="D3713" s="16">
        <v>0.5</v>
      </c>
      <c r="E3713" s="1">
        <v>130</v>
      </c>
      <c r="F3713" s="1">
        <v>12</v>
      </c>
      <c r="G3713" s="1">
        <v>0.27926815556694945</v>
      </c>
      <c r="H3713" s="1" t="s">
        <v>144</v>
      </c>
    </row>
    <row r="3714" spans="1:8" x14ac:dyDescent="0.25">
      <c r="A3714" s="1">
        <v>2016</v>
      </c>
      <c r="B3714" s="1">
        <v>286</v>
      </c>
      <c r="C3714" s="15">
        <v>42655</v>
      </c>
      <c r="D3714" s="16">
        <v>0.51388888888888895</v>
      </c>
      <c r="E3714" s="1">
        <v>130</v>
      </c>
      <c r="F3714" s="1">
        <v>13</v>
      </c>
      <c r="G3714" s="1">
        <v>0.3040075414915791</v>
      </c>
      <c r="H3714" s="1" t="s">
        <v>144</v>
      </c>
    </row>
    <row r="3715" spans="1:8" x14ac:dyDescent="0.25">
      <c r="A3715" s="1">
        <v>2016</v>
      </c>
      <c r="B3715" s="1">
        <v>286</v>
      </c>
      <c r="C3715" s="15">
        <v>42655</v>
      </c>
      <c r="D3715" s="16">
        <v>0.50763888888888886</v>
      </c>
      <c r="E3715" s="1">
        <v>130</v>
      </c>
      <c r="F3715" s="1">
        <v>14</v>
      </c>
      <c r="G3715" s="1">
        <v>0.30210001999621033</v>
      </c>
      <c r="H3715" s="1" t="s">
        <v>144</v>
      </c>
    </row>
    <row r="3716" spans="1:8" x14ac:dyDescent="0.25">
      <c r="A3716" s="1">
        <v>2016</v>
      </c>
      <c r="B3716" s="1">
        <v>286</v>
      </c>
      <c r="C3716" s="15">
        <v>42655</v>
      </c>
      <c r="D3716" s="16">
        <v>0.52083333333333337</v>
      </c>
      <c r="E3716" s="1">
        <v>130</v>
      </c>
      <c r="F3716" s="1">
        <v>15</v>
      </c>
      <c r="G3716" s="1">
        <v>0.30005624696545807</v>
      </c>
      <c r="H3716" s="1" t="s">
        <v>1</v>
      </c>
    </row>
    <row r="3717" spans="1:8" x14ac:dyDescent="0.25">
      <c r="A3717" s="1">
        <v>2016</v>
      </c>
      <c r="B3717" s="1">
        <v>286</v>
      </c>
      <c r="C3717" s="15">
        <v>42655</v>
      </c>
      <c r="D3717" s="16">
        <v>0.53125</v>
      </c>
      <c r="E3717" s="1">
        <v>130</v>
      </c>
      <c r="F3717" s="1">
        <v>16</v>
      </c>
      <c r="G3717" s="1">
        <v>0.29339938623672218</v>
      </c>
      <c r="H3717" s="1" t="s">
        <v>1</v>
      </c>
    </row>
    <row r="3718" spans="1:8" x14ac:dyDescent="0.25">
      <c r="A3718" s="1">
        <v>2016</v>
      </c>
      <c r="B3718" s="1">
        <v>286</v>
      </c>
      <c r="C3718" s="15">
        <v>42655</v>
      </c>
      <c r="D3718" s="16">
        <v>0.53680555555555554</v>
      </c>
      <c r="E3718" s="1">
        <v>130</v>
      </c>
      <c r="F3718" s="1">
        <v>17</v>
      </c>
      <c r="G3718" s="1">
        <v>0.30157447835973122</v>
      </c>
      <c r="H3718" s="1" t="s">
        <v>144</v>
      </c>
    </row>
    <row r="3719" spans="1:8" x14ac:dyDescent="0.25">
      <c r="A3719" s="1">
        <v>2016</v>
      </c>
      <c r="B3719" s="1">
        <v>286</v>
      </c>
      <c r="C3719" s="15">
        <v>42655</v>
      </c>
      <c r="D3719" s="16">
        <v>0.54375000000000007</v>
      </c>
      <c r="E3719" s="1">
        <v>130</v>
      </c>
      <c r="F3719" s="1">
        <v>18</v>
      </c>
      <c r="G3719" s="1">
        <v>0.29388599886309175</v>
      </c>
      <c r="H3719" s="1" t="s">
        <v>144</v>
      </c>
    </row>
    <row r="3720" spans="1:8" x14ac:dyDescent="0.25">
      <c r="A3720" s="1">
        <v>2016</v>
      </c>
      <c r="B3720" s="1">
        <v>286</v>
      </c>
      <c r="C3720" s="15">
        <v>42655</v>
      </c>
      <c r="D3720" s="16">
        <v>0.55069444444444449</v>
      </c>
      <c r="E3720" s="1">
        <v>130</v>
      </c>
      <c r="F3720" s="1">
        <v>19</v>
      </c>
      <c r="G3720" s="1">
        <v>0.28987631082180643</v>
      </c>
      <c r="H3720" s="1" t="s">
        <v>144</v>
      </c>
    </row>
    <row r="3721" spans="1:8" x14ac:dyDescent="0.25">
      <c r="A3721" s="1">
        <v>2016</v>
      </c>
      <c r="B3721" s="1">
        <v>286</v>
      </c>
      <c r="C3721" s="15">
        <v>42655</v>
      </c>
      <c r="D3721" s="16">
        <v>0.55763888888888891</v>
      </c>
      <c r="E3721" s="1">
        <v>130</v>
      </c>
      <c r="F3721" s="1">
        <v>20</v>
      </c>
      <c r="G3721" s="1">
        <v>0.27216361122195354</v>
      </c>
      <c r="H3721" s="1" t="s">
        <v>144</v>
      </c>
    </row>
    <row r="3722" spans="1:8" x14ac:dyDescent="0.25">
      <c r="A3722" s="1">
        <v>2016</v>
      </c>
      <c r="B3722" s="1">
        <v>286</v>
      </c>
      <c r="C3722" s="15">
        <v>42655</v>
      </c>
      <c r="D3722" s="16">
        <v>0.35416666666666669</v>
      </c>
      <c r="E3722" s="1">
        <v>110</v>
      </c>
      <c r="F3722" s="1">
        <v>1</v>
      </c>
      <c r="G3722" s="1">
        <v>0.31641725734253262</v>
      </c>
      <c r="H3722" s="1" t="s">
        <v>143</v>
      </c>
    </row>
    <row r="3723" spans="1:8" x14ac:dyDescent="0.25">
      <c r="A3723" s="1">
        <v>2016</v>
      </c>
      <c r="B3723" s="1">
        <v>286</v>
      </c>
      <c r="C3723" s="15">
        <v>42655</v>
      </c>
      <c r="D3723" s="16">
        <v>0.34791666666666665</v>
      </c>
      <c r="E3723" s="1">
        <v>110</v>
      </c>
      <c r="F3723" s="1">
        <v>2</v>
      </c>
      <c r="G3723" s="1">
        <v>0.31144832571307557</v>
      </c>
      <c r="H3723" s="1" t="s">
        <v>143</v>
      </c>
    </row>
    <row r="3724" spans="1:8" x14ac:dyDescent="0.25">
      <c r="A3724" s="1">
        <v>2016</v>
      </c>
      <c r="B3724" s="1">
        <v>286</v>
      </c>
      <c r="C3724" s="15">
        <v>42655</v>
      </c>
      <c r="D3724" s="16">
        <v>0.37222222222222223</v>
      </c>
      <c r="E3724" s="1">
        <v>110</v>
      </c>
      <c r="F3724" s="1">
        <v>3</v>
      </c>
      <c r="G3724" s="1">
        <v>0.30558636028846264</v>
      </c>
      <c r="H3724" s="1" t="s">
        <v>143</v>
      </c>
    </row>
    <row r="3725" spans="1:8" x14ac:dyDescent="0.25">
      <c r="A3725" s="1">
        <v>2016</v>
      </c>
      <c r="B3725" s="1">
        <v>286</v>
      </c>
      <c r="C3725" s="15">
        <v>42655</v>
      </c>
      <c r="D3725" s="16">
        <v>0.3659722222222222</v>
      </c>
      <c r="E3725" s="1">
        <v>110</v>
      </c>
      <c r="F3725" s="1">
        <v>4</v>
      </c>
      <c r="G3725" s="1">
        <v>0.30817386846417066</v>
      </c>
      <c r="H3725" s="1" t="s">
        <v>143</v>
      </c>
    </row>
    <row r="3726" spans="1:8" x14ac:dyDescent="0.25">
      <c r="A3726" s="1">
        <v>2016</v>
      </c>
      <c r="B3726" s="1">
        <v>286</v>
      </c>
      <c r="C3726" s="15">
        <v>42655</v>
      </c>
      <c r="D3726" s="16">
        <v>0.37916666666666665</v>
      </c>
      <c r="E3726" s="1">
        <v>110</v>
      </c>
      <c r="F3726" s="1">
        <v>5</v>
      </c>
      <c r="G3726" s="1">
        <v>0.3205618500841535</v>
      </c>
      <c r="H3726" s="1" t="s">
        <v>0</v>
      </c>
    </row>
    <row r="3727" spans="1:8" x14ac:dyDescent="0.25">
      <c r="A3727" s="1">
        <v>2016</v>
      </c>
      <c r="B3727" s="1">
        <v>286</v>
      </c>
      <c r="C3727" s="15">
        <v>42655</v>
      </c>
      <c r="D3727" s="16">
        <v>0.3840277777777778</v>
      </c>
      <c r="E3727" s="1">
        <v>110</v>
      </c>
      <c r="F3727" s="1">
        <v>6</v>
      </c>
      <c r="G3727" s="1">
        <v>0.31712710471816935</v>
      </c>
      <c r="H3727" s="1" t="s">
        <v>0</v>
      </c>
    </row>
    <row r="3728" spans="1:8" x14ac:dyDescent="0.25">
      <c r="A3728" s="1">
        <v>2016</v>
      </c>
      <c r="B3728" s="1">
        <v>286</v>
      </c>
      <c r="C3728" s="15">
        <v>42655</v>
      </c>
      <c r="D3728" s="16">
        <v>0.38958333333333334</v>
      </c>
      <c r="E3728" s="1">
        <v>110</v>
      </c>
      <c r="F3728" s="1">
        <v>7</v>
      </c>
      <c r="G3728" s="1">
        <v>0.31685232508889066</v>
      </c>
      <c r="H3728" s="1" t="s">
        <v>143</v>
      </c>
    </row>
    <row r="3729" spans="1:8" x14ac:dyDescent="0.25">
      <c r="A3729" s="1">
        <v>2016</v>
      </c>
      <c r="B3729" s="1">
        <v>286</v>
      </c>
      <c r="C3729" s="15">
        <v>42655</v>
      </c>
      <c r="D3729" s="16">
        <v>0.39583333333333331</v>
      </c>
      <c r="E3729" s="1">
        <v>110</v>
      </c>
      <c r="F3729" s="1">
        <v>8</v>
      </c>
      <c r="G3729" s="1">
        <v>0.31953142647435828</v>
      </c>
      <c r="H3729" s="1" t="s">
        <v>143</v>
      </c>
    </row>
    <row r="3730" spans="1:8" x14ac:dyDescent="0.25">
      <c r="A3730" s="1">
        <v>2016</v>
      </c>
      <c r="B3730" s="1">
        <v>286</v>
      </c>
      <c r="C3730" s="15">
        <v>42655</v>
      </c>
      <c r="D3730" s="16">
        <v>0.39652777777777781</v>
      </c>
      <c r="E3730" s="1">
        <v>110</v>
      </c>
      <c r="F3730" s="1">
        <v>9</v>
      </c>
      <c r="G3730" s="1">
        <v>0.32195864653298711</v>
      </c>
      <c r="H3730" s="1" t="s">
        <v>143</v>
      </c>
    </row>
    <row r="3731" spans="1:8" x14ac:dyDescent="0.25">
      <c r="A3731" s="1">
        <v>2016</v>
      </c>
      <c r="B3731" s="1">
        <v>286</v>
      </c>
      <c r="C3731" s="15">
        <v>42655</v>
      </c>
      <c r="D3731" s="16">
        <v>0.40277777777777773</v>
      </c>
      <c r="E3731" s="1">
        <v>110</v>
      </c>
      <c r="F3731" s="1">
        <v>10</v>
      </c>
      <c r="G3731" s="1">
        <v>0.31147122401551547</v>
      </c>
      <c r="H3731" s="1" t="s">
        <v>143</v>
      </c>
    </row>
    <row r="3732" spans="1:8" x14ac:dyDescent="0.25">
      <c r="A3732" s="1">
        <v>2016</v>
      </c>
      <c r="B3732" s="1">
        <v>286</v>
      </c>
      <c r="C3732" s="15">
        <v>42655</v>
      </c>
      <c r="D3732" s="16">
        <v>0.50694444444444442</v>
      </c>
      <c r="E3732" s="1">
        <v>110</v>
      </c>
      <c r="F3732" s="1">
        <v>11</v>
      </c>
      <c r="G3732" s="1">
        <v>0.28188661726317199</v>
      </c>
      <c r="H3732" s="1" t="s">
        <v>144</v>
      </c>
    </row>
    <row r="3733" spans="1:8" x14ac:dyDescent="0.25">
      <c r="A3733" s="1">
        <v>2016</v>
      </c>
      <c r="B3733" s="1">
        <v>286</v>
      </c>
      <c r="C3733" s="15">
        <v>42655</v>
      </c>
      <c r="D3733" s="16">
        <v>0.5</v>
      </c>
      <c r="E3733" s="1">
        <v>110</v>
      </c>
      <c r="F3733" s="1">
        <v>12</v>
      </c>
      <c r="G3733" s="1">
        <v>0.30570085180066209</v>
      </c>
      <c r="H3733" s="1" t="s">
        <v>144</v>
      </c>
    </row>
    <row r="3734" spans="1:8" x14ac:dyDescent="0.25">
      <c r="A3734" s="1">
        <v>2016</v>
      </c>
      <c r="B3734" s="1">
        <v>286</v>
      </c>
      <c r="C3734" s="15">
        <v>42655</v>
      </c>
      <c r="D3734" s="16">
        <v>0.51388888888888895</v>
      </c>
      <c r="E3734" s="1">
        <v>110</v>
      </c>
      <c r="F3734" s="1">
        <v>13</v>
      </c>
      <c r="G3734" s="1">
        <v>0.29931222541993158</v>
      </c>
      <c r="H3734" s="1" t="s">
        <v>144</v>
      </c>
    </row>
    <row r="3735" spans="1:8" x14ac:dyDescent="0.25">
      <c r="A3735" s="1">
        <v>2016</v>
      </c>
      <c r="B3735" s="1">
        <v>286</v>
      </c>
      <c r="C3735" s="15">
        <v>42655</v>
      </c>
      <c r="D3735" s="16">
        <v>0.50763888888888886</v>
      </c>
      <c r="E3735" s="1">
        <v>110</v>
      </c>
      <c r="F3735" s="1">
        <v>14</v>
      </c>
      <c r="G3735" s="1">
        <v>0.29333576848311915</v>
      </c>
      <c r="H3735" s="1" t="s">
        <v>144</v>
      </c>
    </row>
    <row r="3736" spans="1:8" x14ac:dyDescent="0.25">
      <c r="A3736" s="1">
        <v>2016</v>
      </c>
      <c r="B3736" s="1">
        <v>286</v>
      </c>
      <c r="C3736" s="15">
        <v>42655</v>
      </c>
      <c r="D3736" s="16">
        <v>0.52083333333333337</v>
      </c>
      <c r="E3736" s="1">
        <v>110</v>
      </c>
      <c r="F3736" s="1">
        <v>15</v>
      </c>
      <c r="G3736" s="1">
        <v>0.32037866366463436</v>
      </c>
      <c r="H3736" s="1" t="s">
        <v>1</v>
      </c>
    </row>
    <row r="3737" spans="1:8" x14ac:dyDescent="0.25">
      <c r="A3737" s="1">
        <v>2016</v>
      </c>
      <c r="B3737" s="1">
        <v>286</v>
      </c>
      <c r="C3737" s="15">
        <v>42655</v>
      </c>
      <c r="D3737" s="16">
        <v>0.53125</v>
      </c>
      <c r="E3737" s="1">
        <v>110</v>
      </c>
      <c r="F3737" s="1">
        <v>16</v>
      </c>
      <c r="G3737" s="1">
        <v>0.3152952405229778</v>
      </c>
      <c r="H3737" s="1" t="s">
        <v>1</v>
      </c>
    </row>
    <row r="3738" spans="1:8" x14ac:dyDescent="0.25">
      <c r="A3738" s="1">
        <v>2016</v>
      </c>
      <c r="B3738" s="1">
        <v>286</v>
      </c>
      <c r="C3738" s="15">
        <v>42655</v>
      </c>
      <c r="D3738" s="16">
        <v>0.53680555555555554</v>
      </c>
      <c r="E3738" s="1">
        <v>110</v>
      </c>
      <c r="F3738" s="1">
        <v>17</v>
      </c>
      <c r="G3738" s="1">
        <v>0.31831781644504387</v>
      </c>
      <c r="H3738" s="1" t="s">
        <v>144</v>
      </c>
    </row>
    <row r="3739" spans="1:8" x14ac:dyDescent="0.25">
      <c r="A3739" s="1">
        <v>2016</v>
      </c>
      <c r="B3739" s="1">
        <v>286</v>
      </c>
      <c r="C3739" s="15">
        <v>42655</v>
      </c>
      <c r="D3739" s="16">
        <v>0.54375000000000007</v>
      </c>
      <c r="E3739" s="1">
        <v>110</v>
      </c>
      <c r="F3739" s="1">
        <v>18</v>
      </c>
      <c r="G3739" s="1">
        <v>0.31305120688386817</v>
      </c>
      <c r="H3739" s="1" t="s">
        <v>144</v>
      </c>
    </row>
    <row r="3740" spans="1:8" x14ac:dyDescent="0.25">
      <c r="A3740" s="1">
        <v>2016</v>
      </c>
      <c r="B3740" s="1">
        <v>286</v>
      </c>
      <c r="C3740" s="15">
        <v>42655</v>
      </c>
      <c r="D3740" s="16">
        <v>0.55069444444444449</v>
      </c>
      <c r="E3740" s="1">
        <v>110</v>
      </c>
      <c r="F3740" s="1">
        <v>19</v>
      </c>
      <c r="G3740" s="1">
        <v>0.31712710471816935</v>
      </c>
      <c r="H3740" s="1" t="s">
        <v>144</v>
      </c>
    </row>
    <row r="3741" spans="1:8" x14ac:dyDescent="0.25">
      <c r="A3741" s="1">
        <v>2016</v>
      </c>
      <c r="B3741" s="1">
        <v>286</v>
      </c>
      <c r="C3741" s="15">
        <v>42655</v>
      </c>
      <c r="D3741" s="16">
        <v>0.55763888888888891</v>
      </c>
      <c r="E3741" s="1">
        <v>110</v>
      </c>
      <c r="F3741" s="1">
        <v>20</v>
      </c>
      <c r="G3741" s="1">
        <v>0.29216795505868454</v>
      </c>
      <c r="H3741" s="1" t="s">
        <v>144</v>
      </c>
    </row>
    <row r="3742" spans="1:8" x14ac:dyDescent="0.25">
      <c r="A3742" s="1">
        <v>2016</v>
      </c>
      <c r="B3742" s="1">
        <v>286</v>
      </c>
      <c r="C3742" s="15">
        <v>42655</v>
      </c>
      <c r="D3742" s="16">
        <v>0.35416666666666669</v>
      </c>
      <c r="E3742" s="1">
        <v>90</v>
      </c>
      <c r="F3742" s="1">
        <v>1</v>
      </c>
      <c r="G3742" s="1">
        <v>0.2984649882296555</v>
      </c>
      <c r="H3742" s="1" t="s">
        <v>143</v>
      </c>
    </row>
    <row r="3743" spans="1:8" x14ac:dyDescent="0.25">
      <c r="A3743" s="1">
        <v>2016</v>
      </c>
      <c r="B3743" s="1">
        <v>286</v>
      </c>
      <c r="C3743" s="15">
        <v>42655</v>
      </c>
      <c r="D3743" s="16">
        <v>0.34791666666666665</v>
      </c>
      <c r="E3743" s="1">
        <v>90</v>
      </c>
      <c r="F3743" s="1">
        <v>2</v>
      </c>
      <c r="G3743" s="1">
        <v>0.30837995318612971</v>
      </c>
      <c r="H3743" s="1" t="s">
        <v>143</v>
      </c>
    </row>
    <row r="3744" spans="1:8" x14ac:dyDescent="0.25">
      <c r="A3744" s="1">
        <v>2016</v>
      </c>
      <c r="B3744" s="1">
        <v>286</v>
      </c>
      <c r="C3744" s="15">
        <v>42655</v>
      </c>
      <c r="D3744" s="16">
        <v>0.37222222222222223</v>
      </c>
      <c r="E3744" s="1">
        <v>90</v>
      </c>
      <c r="F3744" s="1">
        <v>3</v>
      </c>
      <c r="G3744" s="1">
        <v>0.30599852973238073</v>
      </c>
      <c r="H3744" s="1" t="s">
        <v>143</v>
      </c>
    </row>
    <row r="3745" spans="1:8" x14ac:dyDescent="0.25">
      <c r="A3745" s="1">
        <v>2016</v>
      </c>
      <c r="B3745" s="1">
        <v>286</v>
      </c>
      <c r="C3745" s="15">
        <v>42655</v>
      </c>
      <c r="D3745" s="16">
        <v>0.3659722222222222</v>
      </c>
      <c r="E3745" s="1">
        <v>90</v>
      </c>
      <c r="F3745" s="1">
        <v>4</v>
      </c>
      <c r="G3745" s="1">
        <v>0.29223664996600424</v>
      </c>
      <c r="H3745" s="1" t="s">
        <v>143</v>
      </c>
    </row>
    <row r="3746" spans="1:8" x14ac:dyDescent="0.25">
      <c r="A3746" s="1">
        <v>2016</v>
      </c>
      <c r="B3746" s="1">
        <v>286</v>
      </c>
      <c r="C3746" s="15">
        <v>42655</v>
      </c>
      <c r="D3746" s="16">
        <v>0.37916666666666665</v>
      </c>
      <c r="E3746" s="1">
        <v>90</v>
      </c>
      <c r="F3746" s="1">
        <v>5</v>
      </c>
      <c r="G3746" s="1">
        <v>0.31772246058160658</v>
      </c>
      <c r="H3746" s="1" t="s">
        <v>0</v>
      </c>
    </row>
    <row r="3747" spans="1:8" x14ac:dyDescent="0.25">
      <c r="A3747" s="1">
        <v>2016</v>
      </c>
      <c r="B3747" s="1">
        <v>286</v>
      </c>
      <c r="C3747" s="15">
        <v>42655</v>
      </c>
      <c r="D3747" s="16">
        <v>0.3840277777777778</v>
      </c>
      <c r="E3747" s="1">
        <v>90</v>
      </c>
      <c r="F3747" s="1">
        <v>6</v>
      </c>
      <c r="G3747" s="1">
        <v>0.30714344485437545</v>
      </c>
      <c r="H3747" s="1" t="s">
        <v>0</v>
      </c>
    </row>
    <row r="3748" spans="1:8" x14ac:dyDescent="0.25">
      <c r="A3748" s="1">
        <v>2016</v>
      </c>
      <c r="B3748" s="1">
        <v>286</v>
      </c>
      <c r="C3748" s="15">
        <v>42655</v>
      </c>
      <c r="D3748" s="16">
        <v>0.38958333333333334</v>
      </c>
      <c r="E3748" s="1">
        <v>90</v>
      </c>
      <c r="F3748" s="1">
        <v>7</v>
      </c>
      <c r="G3748" s="1">
        <v>0.30856313960564885</v>
      </c>
      <c r="H3748" s="1" t="s">
        <v>143</v>
      </c>
    </row>
    <row r="3749" spans="1:8" x14ac:dyDescent="0.25">
      <c r="A3749" s="1">
        <v>2016</v>
      </c>
      <c r="B3749" s="1">
        <v>286</v>
      </c>
      <c r="C3749" s="15">
        <v>42655</v>
      </c>
      <c r="D3749" s="16">
        <v>0.39583333333333331</v>
      </c>
      <c r="E3749" s="1">
        <v>90</v>
      </c>
      <c r="F3749" s="1">
        <v>8</v>
      </c>
      <c r="G3749" s="1">
        <v>0.30515129254210466</v>
      </c>
      <c r="H3749" s="1" t="s">
        <v>143</v>
      </c>
    </row>
    <row r="3750" spans="1:8" x14ac:dyDescent="0.25">
      <c r="A3750" s="1">
        <v>2016</v>
      </c>
      <c r="B3750" s="1">
        <v>286</v>
      </c>
      <c r="C3750" s="15">
        <v>42655</v>
      </c>
      <c r="D3750" s="16">
        <v>0.39652777777777781</v>
      </c>
      <c r="E3750" s="1">
        <v>90</v>
      </c>
      <c r="F3750" s="1">
        <v>9</v>
      </c>
      <c r="G3750" s="1">
        <v>0.30629620766409937</v>
      </c>
      <c r="H3750" s="1" t="s">
        <v>143</v>
      </c>
    </row>
    <row r="3751" spans="1:8" x14ac:dyDescent="0.25">
      <c r="A3751" s="1">
        <v>2016</v>
      </c>
      <c r="B3751" s="1">
        <v>286</v>
      </c>
      <c r="C3751" s="15">
        <v>42655</v>
      </c>
      <c r="D3751" s="16">
        <v>0.40277777777777773</v>
      </c>
      <c r="E3751" s="1">
        <v>90</v>
      </c>
      <c r="F3751" s="1">
        <v>10</v>
      </c>
      <c r="G3751" s="1">
        <v>0.30588403822018129</v>
      </c>
      <c r="H3751" s="1" t="s">
        <v>143</v>
      </c>
    </row>
    <row r="3752" spans="1:8" x14ac:dyDescent="0.25">
      <c r="A3752" s="1">
        <v>2016</v>
      </c>
      <c r="B3752" s="1">
        <v>286</v>
      </c>
      <c r="C3752" s="15">
        <v>42655</v>
      </c>
      <c r="D3752" s="16">
        <v>0.50694444444444442</v>
      </c>
      <c r="E3752" s="1">
        <v>90</v>
      </c>
      <c r="F3752" s="1">
        <v>11</v>
      </c>
      <c r="G3752" s="1">
        <v>0.28179502405341239</v>
      </c>
      <c r="H3752" s="1" t="s">
        <v>144</v>
      </c>
    </row>
    <row r="3753" spans="1:8" x14ac:dyDescent="0.25">
      <c r="A3753" s="1">
        <v>2016</v>
      </c>
      <c r="B3753" s="1">
        <v>286</v>
      </c>
      <c r="C3753" s="15">
        <v>42655</v>
      </c>
      <c r="D3753" s="16">
        <v>0.5</v>
      </c>
      <c r="E3753" s="1">
        <v>90</v>
      </c>
      <c r="F3753" s="1">
        <v>12</v>
      </c>
      <c r="G3753" s="1">
        <v>0.27538349937024198</v>
      </c>
      <c r="H3753" s="1" t="s">
        <v>144</v>
      </c>
    </row>
    <row r="3754" spans="1:8" x14ac:dyDescent="0.25">
      <c r="A3754" s="1">
        <v>2016</v>
      </c>
      <c r="B3754" s="1">
        <v>286</v>
      </c>
      <c r="C3754" s="15">
        <v>42655</v>
      </c>
      <c r="D3754" s="16">
        <v>0.51388888888888895</v>
      </c>
      <c r="E3754" s="1">
        <v>90</v>
      </c>
      <c r="F3754" s="1">
        <v>13</v>
      </c>
      <c r="G3754" s="1">
        <v>0.2765971093995564</v>
      </c>
      <c r="H3754" s="1" t="s">
        <v>144</v>
      </c>
    </row>
    <row r="3755" spans="1:8" x14ac:dyDescent="0.25">
      <c r="A3755" s="1">
        <v>2016</v>
      </c>
      <c r="B3755" s="1">
        <v>286</v>
      </c>
      <c r="C3755" s="15">
        <v>42655</v>
      </c>
      <c r="D3755" s="16">
        <v>0.50763888888888886</v>
      </c>
      <c r="E3755" s="1">
        <v>90</v>
      </c>
      <c r="F3755" s="1">
        <v>14</v>
      </c>
      <c r="G3755" s="1">
        <v>0.27623073656051811</v>
      </c>
      <c r="H3755" s="1" t="s">
        <v>144</v>
      </c>
    </row>
    <row r="3756" spans="1:8" x14ac:dyDescent="0.25">
      <c r="A3756" s="1">
        <v>2016</v>
      </c>
      <c r="B3756" s="1">
        <v>286</v>
      </c>
      <c r="C3756" s="15">
        <v>42655</v>
      </c>
      <c r="D3756" s="16">
        <v>0.52083333333333337</v>
      </c>
      <c r="E3756" s="1">
        <v>90</v>
      </c>
      <c r="F3756" s="1">
        <v>15</v>
      </c>
      <c r="G3756" s="1">
        <v>0.31740188434744809</v>
      </c>
      <c r="H3756" s="1" t="s">
        <v>1</v>
      </c>
    </row>
    <row r="3757" spans="1:8" x14ac:dyDescent="0.25">
      <c r="A3757" s="1">
        <v>2016</v>
      </c>
      <c r="B3757" s="1">
        <v>286</v>
      </c>
      <c r="C3757" s="15">
        <v>42655</v>
      </c>
      <c r="D3757" s="16">
        <v>0.53125</v>
      </c>
      <c r="E3757" s="1">
        <v>90</v>
      </c>
      <c r="F3757" s="1">
        <v>16</v>
      </c>
      <c r="G3757" s="1">
        <v>0.31153991892283517</v>
      </c>
      <c r="H3757" s="1" t="s">
        <v>1</v>
      </c>
    </row>
    <row r="3758" spans="1:8" x14ac:dyDescent="0.25">
      <c r="A3758" s="1">
        <v>2016</v>
      </c>
      <c r="B3758" s="1">
        <v>286</v>
      </c>
      <c r="C3758" s="15">
        <v>42655</v>
      </c>
      <c r="D3758" s="16">
        <v>0.53680555555555554</v>
      </c>
      <c r="E3758" s="1">
        <v>90</v>
      </c>
      <c r="F3758" s="1">
        <v>17</v>
      </c>
      <c r="G3758" s="1">
        <v>0.30941037679592498</v>
      </c>
      <c r="H3758" s="1" t="s">
        <v>144</v>
      </c>
    </row>
    <row r="3759" spans="1:8" x14ac:dyDescent="0.25">
      <c r="A3759" s="1">
        <v>2016</v>
      </c>
      <c r="B3759" s="1">
        <v>286</v>
      </c>
      <c r="C3759" s="15">
        <v>42655</v>
      </c>
      <c r="D3759" s="16">
        <v>0.54375000000000007</v>
      </c>
      <c r="E3759" s="1">
        <v>90</v>
      </c>
      <c r="F3759" s="1">
        <v>18</v>
      </c>
      <c r="G3759" s="1">
        <v>0.29825890350769646</v>
      </c>
      <c r="H3759" s="1" t="s">
        <v>144</v>
      </c>
    </row>
    <row r="3760" spans="1:8" x14ac:dyDescent="0.25">
      <c r="A3760" s="1">
        <v>2016</v>
      </c>
      <c r="B3760" s="1">
        <v>286</v>
      </c>
      <c r="C3760" s="15">
        <v>42655</v>
      </c>
      <c r="D3760" s="16">
        <v>0.55069444444444449</v>
      </c>
      <c r="E3760" s="1">
        <v>90</v>
      </c>
      <c r="F3760" s="1">
        <v>19</v>
      </c>
      <c r="G3760" s="1">
        <v>0.2900155146293345</v>
      </c>
      <c r="H3760" s="1" t="s">
        <v>144</v>
      </c>
    </row>
    <row r="3761" spans="1:8" x14ac:dyDescent="0.25">
      <c r="A3761" s="1">
        <v>2016</v>
      </c>
      <c r="B3761" s="1">
        <v>286</v>
      </c>
      <c r="C3761" s="15">
        <v>42655</v>
      </c>
      <c r="D3761" s="16">
        <v>0.55763888888888891</v>
      </c>
      <c r="E3761" s="1">
        <v>90</v>
      </c>
      <c r="F3761" s="1">
        <v>20</v>
      </c>
      <c r="G3761" s="1">
        <v>0.29798412387841772</v>
      </c>
      <c r="H3761" s="1" t="s">
        <v>144</v>
      </c>
    </row>
    <row r="3762" spans="1:8" x14ac:dyDescent="0.25">
      <c r="A3762" s="1">
        <v>2016</v>
      </c>
      <c r="B3762" s="1">
        <v>286</v>
      </c>
      <c r="C3762" s="15">
        <v>42655</v>
      </c>
      <c r="D3762" s="16">
        <v>0.35416666666666669</v>
      </c>
      <c r="E3762" s="1">
        <v>70</v>
      </c>
      <c r="F3762" s="1">
        <v>1</v>
      </c>
      <c r="G3762" s="1">
        <v>0.31469988465954057</v>
      </c>
      <c r="H3762" s="1" t="s">
        <v>143</v>
      </c>
    </row>
    <row r="3763" spans="1:8" x14ac:dyDescent="0.25">
      <c r="A3763" s="1">
        <v>2016</v>
      </c>
      <c r="B3763" s="1">
        <v>286</v>
      </c>
      <c r="C3763" s="15">
        <v>42655</v>
      </c>
      <c r="D3763" s="16">
        <v>0.34791666666666665</v>
      </c>
      <c r="E3763" s="1">
        <v>70</v>
      </c>
      <c r="F3763" s="1">
        <v>2</v>
      </c>
      <c r="G3763" s="1">
        <v>0.31685232508889066</v>
      </c>
      <c r="H3763" s="1" t="s">
        <v>143</v>
      </c>
    </row>
    <row r="3764" spans="1:8" x14ac:dyDescent="0.25">
      <c r="A3764" s="1">
        <v>2016</v>
      </c>
      <c r="B3764" s="1">
        <v>286</v>
      </c>
      <c r="C3764" s="15">
        <v>42655</v>
      </c>
      <c r="D3764" s="16">
        <v>0.37222222222222223</v>
      </c>
      <c r="E3764" s="1">
        <v>70</v>
      </c>
      <c r="F3764" s="1">
        <v>3</v>
      </c>
      <c r="G3764" s="1">
        <v>0.32946928973327244</v>
      </c>
      <c r="H3764" s="1" t="s">
        <v>143</v>
      </c>
    </row>
    <row r="3765" spans="1:8" x14ac:dyDescent="0.25">
      <c r="A3765" s="1">
        <v>2016</v>
      </c>
      <c r="B3765" s="1">
        <v>286</v>
      </c>
      <c r="C3765" s="15">
        <v>42655</v>
      </c>
      <c r="D3765" s="16">
        <v>0.3659722222222222</v>
      </c>
      <c r="E3765" s="1">
        <v>70</v>
      </c>
      <c r="F3765" s="1">
        <v>4</v>
      </c>
      <c r="G3765" s="1">
        <v>0.31105905457159738</v>
      </c>
      <c r="H3765" s="1" t="s">
        <v>143</v>
      </c>
    </row>
    <row r="3766" spans="1:8" x14ac:dyDescent="0.25">
      <c r="A3766" s="1">
        <v>2016</v>
      </c>
      <c r="B3766" s="1">
        <v>286</v>
      </c>
      <c r="C3766" s="15">
        <v>42655</v>
      </c>
      <c r="D3766" s="16">
        <v>0.37916666666666665</v>
      </c>
      <c r="E3766" s="1">
        <v>70</v>
      </c>
      <c r="F3766" s="1">
        <v>5</v>
      </c>
      <c r="G3766" s="1">
        <v>0.32312645995742167</v>
      </c>
      <c r="H3766" s="1" t="s">
        <v>0</v>
      </c>
    </row>
    <row r="3767" spans="1:8" x14ac:dyDescent="0.25">
      <c r="A3767" s="1">
        <v>2016</v>
      </c>
      <c r="B3767" s="1">
        <v>286</v>
      </c>
      <c r="C3767" s="15">
        <v>42655</v>
      </c>
      <c r="D3767" s="16">
        <v>0.3840277777777778</v>
      </c>
      <c r="E3767" s="1">
        <v>70</v>
      </c>
      <c r="F3767" s="1">
        <v>6</v>
      </c>
      <c r="G3767" s="1">
        <v>0.32172966350858812</v>
      </c>
      <c r="H3767" s="1" t="s">
        <v>0</v>
      </c>
    </row>
    <row r="3768" spans="1:8" x14ac:dyDescent="0.25">
      <c r="A3768" s="1">
        <v>2016</v>
      </c>
      <c r="B3768" s="1">
        <v>286</v>
      </c>
      <c r="C3768" s="15">
        <v>42655</v>
      </c>
      <c r="D3768" s="16">
        <v>0.38958333333333334</v>
      </c>
      <c r="E3768" s="1">
        <v>70</v>
      </c>
      <c r="F3768" s="1">
        <v>7</v>
      </c>
      <c r="G3768" s="1">
        <v>0.32589715455264889</v>
      </c>
      <c r="H3768" s="1" t="s">
        <v>143</v>
      </c>
    </row>
    <row r="3769" spans="1:8" x14ac:dyDescent="0.25">
      <c r="A3769" s="1">
        <v>2016</v>
      </c>
      <c r="B3769" s="1">
        <v>286</v>
      </c>
      <c r="C3769" s="15">
        <v>42655</v>
      </c>
      <c r="D3769" s="16">
        <v>0.39583333333333331</v>
      </c>
      <c r="E3769" s="1">
        <v>70</v>
      </c>
      <c r="F3769" s="1">
        <v>8</v>
      </c>
      <c r="G3769" s="1">
        <v>0.31112774947891703</v>
      </c>
      <c r="H3769" s="1" t="s">
        <v>143</v>
      </c>
    </row>
    <row r="3770" spans="1:8" x14ac:dyDescent="0.25">
      <c r="A3770" s="1">
        <v>2016</v>
      </c>
      <c r="B3770" s="1">
        <v>286</v>
      </c>
      <c r="C3770" s="15">
        <v>42655</v>
      </c>
      <c r="D3770" s="16">
        <v>0.39652777777777781</v>
      </c>
      <c r="E3770" s="1">
        <v>70</v>
      </c>
      <c r="F3770" s="1">
        <v>9</v>
      </c>
      <c r="G3770" s="1">
        <v>0.31962301968411788</v>
      </c>
      <c r="H3770" s="1" t="s">
        <v>143</v>
      </c>
    </row>
    <row r="3771" spans="1:8" x14ac:dyDescent="0.25">
      <c r="A3771" s="1">
        <v>2016</v>
      </c>
      <c r="B3771" s="1">
        <v>286</v>
      </c>
      <c r="C3771" s="15">
        <v>42655</v>
      </c>
      <c r="D3771" s="16">
        <v>0.40277777777777773</v>
      </c>
      <c r="E3771" s="1">
        <v>70</v>
      </c>
      <c r="F3771" s="1">
        <v>10</v>
      </c>
      <c r="G3771" s="1">
        <v>0.3153410371278576</v>
      </c>
      <c r="H3771" s="1" t="s">
        <v>143</v>
      </c>
    </row>
    <row r="3772" spans="1:8" x14ac:dyDescent="0.25">
      <c r="A3772" s="1">
        <v>2016</v>
      </c>
      <c r="B3772" s="1">
        <v>286</v>
      </c>
      <c r="C3772" s="15">
        <v>42655</v>
      </c>
      <c r="D3772" s="16">
        <v>0.50694444444444442</v>
      </c>
      <c r="E3772" s="1">
        <v>70</v>
      </c>
      <c r="F3772" s="1">
        <v>11</v>
      </c>
      <c r="G3772" s="1">
        <v>0.30512839423966476</v>
      </c>
      <c r="H3772" s="1" t="s">
        <v>144</v>
      </c>
    </row>
    <row r="3773" spans="1:8" x14ac:dyDescent="0.25">
      <c r="A3773" s="1">
        <v>2016</v>
      </c>
      <c r="B3773" s="1">
        <v>286</v>
      </c>
      <c r="C3773" s="15">
        <v>42655</v>
      </c>
      <c r="D3773" s="16">
        <v>0.5</v>
      </c>
      <c r="E3773" s="1">
        <v>70</v>
      </c>
      <c r="F3773" s="1">
        <v>12</v>
      </c>
      <c r="G3773" s="1">
        <v>0.2898781248146951</v>
      </c>
      <c r="H3773" s="1" t="s">
        <v>144</v>
      </c>
    </row>
    <row r="3774" spans="1:8" x14ac:dyDescent="0.25">
      <c r="A3774" s="1">
        <v>2016</v>
      </c>
      <c r="B3774" s="1">
        <v>286</v>
      </c>
      <c r="C3774" s="15">
        <v>42655</v>
      </c>
      <c r="D3774" s="16">
        <v>0.51388888888888895</v>
      </c>
      <c r="E3774" s="1">
        <v>70</v>
      </c>
      <c r="F3774" s="1">
        <v>13</v>
      </c>
      <c r="G3774" s="1">
        <v>0.28637468454139126</v>
      </c>
      <c r="H3774" s="1" t="s">
        <v>144</v>
      </c>
    </row>
    <row r="3775" spans="1:8" x14ac:dyDescent="0.25">
      <c r="A3775" s="1">
        <v>2016</v>
      </c>
      <c r="B3775" s="1">
        <v>286</v>
      </c>
      <c r="C3775" s="15">
        <v>42655</v>
      </c>
      <c r="D3775" s="16">
        <v>0.50763888888888886</v>
      </c>
      <c r="E3775" s="1">
        <v>70</v>
      </c>
      <c r="F3775" s="1">
        <v>14</v>
      </c>
      <c r="G3775" s="1">
        <v>0.31479147786930012</v>
      </c>
      <c r="H3775" s="1" t="s">
        <v>144</v>
      </c>
    </row>
    <row r="3776" spans="1:8" x14ac:dyDescent="0.25">
      <c r="A3776" s="1">
        <v>2016</v>
      </c>
      <c r="B3776" s="1">
        <v>286</v>
      </c>
      <c r="C3776" s="15">
        <v>42655</v>
      </c>
      <c r="D3776" s="16">
        <v>0.52083333333333337</v>
      </c>
      <c r="E3776" s="1">
        <v>70</v>
      </c>
      <c r="F3776" s="1">
        <v>15</v>
      </c>
      <c r="G3776" s="1">
        <v>0.31843230795724331</v>
      </c>
      <c r="H3776" s="1" t="s">
        <v>1</v>
      </c>
    </row>
    <row r="3777" spans="1:8" x14ac:dyDescent="0.25">
      <c r="A3777" s="1">
        <v>2016</v>
      </c>
      <c r="B3777" s="1">
        <v>286</v>
      </c>
      <c r="C3777" s="15">
        <v>42655</v>
      </c>
      <c r="D3777" s="16">
        <v>0.53125</v>
      </c>
      <c r="E3777" s="1">
        <v>70</v>
      </c>
      <c r="F3777" s="1">
        <v>16</v>
      </c>
      <c r="G3777" s="1">
        <v>0.3153639354302975</v>
      </c>
      <c r="H3777" s="1" t="s">
        <v>1</v>
      </c>
    </row>
    <row r="3778" spans="1:8" x14ac:dyDescent="0.25">
      <c r="A3778" s="1">
        <v>2016</v>
      </c>
      <c r="B3778" s="1">
        <v>286</v>
      </c>
      <c r="C3778" s="15">
        <v>42655</v>
      </c>
      <c r="D3778" s="16">
        <v>0.53680555555555554</v>
      </c>
      <c r="E3778" s="1">
        <v>70</v>
      </c>
      <c r="F3778" s="1">
        <v>17</v>
      </c>
      <c r="G3778" s="1">
        <v>0.32605744266972814</v>
      </c>
      <c r="H3778" s="1" t="s">
        <v>144</v>
      </c>
    </row>
    <row r="3779" spans="1:8" x14ac:dyDescent="0.25">
      <c r="A3779" s="1">
        <v>2016</v>
      </c>
      <c r="B3779" s="1">
        <v>286</v>
      </c>
      <c r="C3779" s="15">
        <v>42655</v>
      </c>
      <c r="D3779" s="16">
        <v>0.54375000000000007</v>
      </c>
      <c r="E3779" s="1">
        <v>70</v>
      </c>
      <c r="F3779" s="1">
        <v>18</v>
      </c>
      <c r="G3779" s="1">
        <v>0.30902110565444679</v>
      </c>
      <c r="H3779" s="1" t="s">
        <v>144</v>
      </c>
    </row>
    <row r="3780" spans="1:8" x14ac:dyDescent="0.25">
      <c r="A3780" s="1">
        <v>2016</v>
      </c>
      <c r="B3780" s="1">
        <v>286</v>
      </c>
      <c r="C3780" s="15">
        <v>42655</v>
      </c>
      <c r="D3780" s="16">
        <v>0.55069444444444449</v>
      </c>
      <c r="E3780" s="1">
        <v>70</v>
      </c>
      <c r="F3780" s="1">
        <v>19</v>
      </c>
      <c r="G3780" s="1">
        <v>0.29977019146872946</v>
      </c>
      <c r="H3780" s="1" t="s">
        <v>144</v>
      </c>
    </row>
    <row r="3781" spans="1:8" x14ac:dyDescent="0.25">
      <c r="A3781" s="1">
        <v>2016</v>
      </c>
      <c r="B3781" s="1">
        <v>286</v>
      </c>
      <c r="C3781" s="15">
        <v>42655</v>
      </c>
      <c r="D3781" s="16">
        <v>0.55763888888888891</v>
      </c>
      <c r="E3781" s="1">
        <v>70</v>
      </c>
      <c r="F3781" s="1">
        <v>20</v>
      </c>
      <c r="G3781" s="1">
        <v>0.31522654561565816</v>
      </c>
      <c r="H3781" s="1" t="s">
        <v>144</v>
      </c>
    </row>
    <row r="3782" spans="1:8" x14ac:dyDescent="0.25">
      <c r="A3782" s="1">
        <v>2016</v>
      </c>
      <c r="B3782" s="1">
        <v>286</v>
      </c>
      <c r="C3782" s="15">
        <v>42655</v>
      </c>
      <c r="D3782" s="16">
        <v>0.35416666666666669</v>
      </c>
      <c r="E3782" s="1">
        <v>50</v>
      </c>
      <c r="F3782" s="1">
        <v>1</v>
      </c>
      <c r="G3782" s="1">
        <v>0.31820332493284442</v>
      </c>
      <c r="H3782" s="1" t="s">
        <v>143</v>
      </c>
    </row>
    <row r="3783" spans="1:8" x14ac:dyDescent="0.25">
      <c r="A3783" s="1">
        <v>2016</v>
      </c>
      <c r="B3783" s="1">
        <v>286</v>
      </c>
      <c r="C3783" s="15">
        <v>42655</v>
      </c>
      <c r="D3783" s="16">
        <v>0.34791666666666665</v>
      </c>
      <c r="E3783" s="1">
        <v>50</v>
      </c>
      <c r="F3783" s="1">
        <v>2</v>
      </c>
      <c r="G3783" s="1">
        <v>0.33633878046524068</v>
      </c>
      <c r="H3783" s="1" t="s">
        <v>143</v>
      </c>
    </row>
    <row r="3784" spans="1:8" x14ac:dyDescent="0.25">
      <c r="A3784" s="1">
        <v>2016</v>
      </c>
      <c r="B3784" s="1">
        <v>286</v>
      </c>
      <c r="C3784" s="15">
        <v>42655</v>
      </c>
      <c r="D3784" s="16">
        <v>0.37222222222222223</v>
      </c>
      <c r="E3784" s="1">
        <v>50</v>
      </c>
      <c r="F3784" s="1">
        <v>3</v>
      </c>
      <c r="G3784" s="1">
        <v>0.33881179712874931</v>
      </c>
      <c r="H3784" s="1" t="s">
        <v>143</v>
      </c>
    </row>
    <row r="3785" spans="1:8" x14ac:dyDescent="0.25">
      <c r="A3785" s="1">
        <v>2016</v>
      </c>
      <c r="B3785" s="1">
        <v>286</v>
      </c>
      <c r="C3785" s="15">
        <v>42655</v>
      </c>
      <c r="D3785" s="16">
        <v>0.3659722222222222</v>
      </c>
      <c r="E3785" s="1">
        <v>50</v>
      </c>
      <c r="F3785" s="1">
        <v>4</v>
      </c>
      <c r="G3785" s="1">
        <v>0.31632566413277308</v>
      </c>
      <c r="H3785" s="1" t="s">
        <v>143</v>
      </c>
    </row>
    <row r="3786" spans="1:8" x14ac:dyDescent="0.25">
      <c r="A3786" s="1">
        <v>2016</v>
      </c>
      <c r="B3786" s="1">
        <v>286</v>
      </c>
      <c r="C3786" s="15">
        <v>42655</v>
      </c>
      <c r="D3786" s="16">
        <v>0.37916666666666665</v>
      </c>
      <c r="E3786" s="1">
        <v>50</v>
      </c>
      <c r="F3786" s="1">
        <v>5</v>
      </c>
      <c r="G3786" s="1">
        <v>0.32317225656230147</v>
      </c>
      <c r="H3786" s="1" t="s">
        <v>0</v>
      </c>
    </row>
    <row r="3787" spans="1:8" x14ac:dyDescent="0.25">
      <c r="A3787" s="1">
        <v>2016</v>
      </c>
      <c r="B3787" s="1">
        <v>286</v>
      </c>
      <c r="C3787" s="15">
        <v>42655</v>
      </c>
      <c r="D3787" s="16">
        <v>0.3840277777777778</v>
      </c>
      <c r="E3787" s="1">
        <v>50</v>
      </c>
      <c r="F3787" s="1">
        <v>6</v>
      </c>
      <c r="G3787" s="1">
        <v>0.33260635716753795</v>
      </c>
      <c r="H3787" s="1" t="s">
        <v>0</v>
      </c>
    </row>
    <row r="3788" spans="1:8" x14ac:dyDescent="0.25">
      <c r="A3788" s="1">
        <v>2016</v>
      </c>
      <c r="B3788" s="1">
        <v>286</v>
      </c>
      <c r="C3788" s="15">
        <v>42655</v>
      </c>
      <c r="D3788" s="16">
        <v>0.38958333333333334</v>
      </c>
      <c r="E3788" s="1">
        <v>50</v>
      </c>
      <c r="F3788" s="1">
        <v>7</v>
      </c>
      <c r="G3788" s="1">
        <v>0.34032308508978232</v>
      </c>
      <c r="H3788" s="1" t="s">
        <v>143</v>
      </c>
    </row>
    <row r="3789" spans="1:8" x14ac:dyDescent="0.25">
      <c r="A3789" s="1">
        <v>2016</v>
      </c>
      <c r="B3789" s="1">
        <v>286</v>
      </c>
      <c r="C3789" s="15">
        <v>42655</v>
      </c>
      <c r="D3789" s="16">
        <v>0.39583333333333331</v>
      </c>
      <c r="E3789" s="1">
        <v>50</v>
      </c>
      <c r="F3789" s="1">
        <v>8</v>
      </c>
      <c r="G3789" s="1">
        <v>0.32115720594759078</v>
      </c>
      <c r="H3789" s="1" t="s">
        <v>143</v>
      </c>
    </row>
    <row r="3790" spans="1:8" x14ac:dyDescent="0.25">
      <c r="A3790" s="1">
        <v>2016</v>
      </c>
      <c r="B3790" s="1">
        <v>286</v>
      </c>
      <c r="C3790" s="15">
        <v>42655</v>
      </c>
      <c r="D3790" s="16">
        <v>0.39652777777777781</v>
      </c>
      <c r="E3790" s="1">
        <v>50</v>
      </c>
      <c r="F3790" s="1">
        <v>9</v>
      </c>
      <c r="G3790" s="1">
        <v>0.33056840825038736</v>
      </c>
      <c r="H3790" s="1" t="s">
        <v>143</v>
      </c>
    </row>
    <row r="3791" spans="1:8" x14ac:dyDescent="0.25">
      <c r="A3791" s="1">
        <v>2016</v>
      </c>
      <c r="B3791" s="1">
        <v>286</v>
      </c>
      <c r="C3791" s="15">
        <v>42655</v>
      </c>
      <c r="D3791" s="16">
        <v>0.40277777777777773</v>
      </c>
      <c r="E3791" s="1">
        <v>50</v>
      </c>
      <c r="F3791" s="1">
        <v>10</v>
      </c>
      <c r="G3791" s="1">
        <v>0.32981276426987083</v>
      </c>
      <c r="H3791" s="1" t="s">
        <v>143</v>
      </c>
    </row>
    <row r="3792" spans="1:8" x14ac:dyDescent="0.25">
      <c r="A3792" s="1">
        <v>2016</v>
      </c>
      <c r="B3792" s="1">
        <v>286</v>
      </c>
      <c r="C3792" s="15">
        <v>42655</v>
      </c>
      <c r="D3792" s="16">
        <v>0.50694444444444442</v>
      </c>
      <c r="E3792" s="1">
        <v>50</v>
      </c>
      <c r="F3792" s="1">
        <v>11</v>
      </c>
      <c r="G3792" s="1">
        <v>0.31089876645451808</v>
      </c>
      <c r="H3792" s="1" t="s">
        <v>144</v>
      </c>
    </row>
    <row r="3793" spans="1:8" x14ac:dyDescent="0.25">
      <c r="A3793" s="1">
        <v>2016</v>
      </c>
      <c r="B3793" s="1">
        <v>286</v>
      </c>
      <c r="C3793" s="15">
        <v>42655</v>
      </c>
      <c r="D3793" s="16">
        <v>0.5</v>
      </c>
      <c r="E3793" s="1">
        <v>50</v>
      </c>
      <c r="F3793" s="1">
        <v>12</v>
      </c>
      <c r="G3793" s="1">
        <v>0.3207450365036727</v>
      </c>
      <c r="H3793" s="1" t="s">
        <v>144</v>
      </c>
    </row>
    <row r="3794" spans="1:8" x14ac:dyDescent="0.25">
      <c r="A3794" s="1">
        <v>2016</v>
      </c>
      <c r="B3794" s="1">
        <v>286</v>
      </c>
      <c r="C3794" s="15">
        <v>42655</v>
      </c>
      <c r="D3794" s="16">
        <v>0.51388888888888895</v>
      </c>
      <c r="E3794" s="1">
        <v>50</v>
      </c>
      <c r="F3794" s="1">
        <v>13</v>
      </c>
      <c r="G3794" s="1">
        <v>0.28163473593633315</v>
      </c>
      <c r="H3794" s="1" t="s">
        <v>144</v>
      </c>
    </row>
    <row r="3795" spans="1:8" x14ac:dyDescent="0.25">
      <c r="A3795" s="1">
        <v>2016</v>
      </c>
      <c r="B3795" s="1">
        <v>286</v>
      </c>
      <c r="C3795" s="15">
        <v>42655</v>
      </c>
      <c r="D3795" s="16">
        <v>0.50763888888888886</v>
      </c>
      <c r="E3795" s="1">
        <v>50</v>
      </c>
      <c r="F3795" s="1">
        <v>14</v>
      </c>
      <c r="G3795" s="1">
        <v>0.2866036675657902</v>
      </c>
      <c r="H3795" s="1" t="s">
        <v>144</v>
      </c>
    </row>
    <row r="3796" spans="1:8" x14ac:dyDescent="0.25">
      <c r="A3796" s="1">
        <v>2016</v>
      </c>
      <c r="B3796" s="1">
        <v>286</v>
      </c>
      <c r="C3796" s="15">
        <v>42655</v>
      </c>
      <c r="D3796" s="16">
        <v>0.52083333333333337</v>
      </c>
      <c r="E3796" s="1">
        <v>50</v>
      </c>
      <c r="F3796" s="1">
        <v>15</v>
      </c>
      <c r="G3796" s="1">
        <v>0.32807249328443888</v>
      </c>
      <c r="H3796" s="1" t="s">
        <v>1</v>
      </c>
    </row>
    <row r="3797" spans="1:8" x14ac:dyDescent="0.25">
      <c r="A3797" s="1">
        <v>2016</v>
      </c>
      <c r="B3797" s="1">
        <v>286</v>
      </c>
      <c r="C3797" s="15">
        <v>42655</v>
      </c>
      <c r="D3797" s="16">
        <v>0.53125</v>
      </c>
      <c r="E3797" s="1">
        <v>50</v>
      </c>
      <c r="F3797" s="1">
        <v>16</v>
      </c>
      <c r="G3797" s="1">
        <v>0.32392790054281795</v>
      </c>
      <c r="H3797" s="1" t="s">
        <v>1</v>
      </c>
    </row>
    <row r="3798" spans="1:8" x14ac:dyDescent="0.25">
      <c r="A3798" s="1">
        <v>2016</v>
      </c>
      <c r="B3798" s="1">
        <v>286</v>
      </c>
      <c r="C3798" s="15">
        <v>42655</v>
      </c>
      <c r="D3798" s="16">
        <v>0.53680555555555554</v>
      </c>
      <c r="E3798" s="1">
        <v>50</v>
      </c>
      <c r="F3798" s="1">
        <v>17</v>
      </c>
      <c r="G3798" s="1">
        <v>0.34375783045576652</v>
      </c>
      <c r="H3798" s="1" t="s">
        <v>144</v>
      </c>
    </row>
    <row r="3799" spans="1:8" x14ac:dyDescent="0.25">
      <c r="A3799" s="1">
        <v>2016</v>
      </c>
      <c r="B3799" s="1">
        <v>286</v>
      </c>
      <c r="C3799" s="15">
        <v>42655</v>
      </c>
      <c r="D3799" s="16">
        <v>0.54375000000000007</v>
      </c>
      <c r="E3799" s="1">
        <v>50</v>
      </c>
      <c r="F3799" s="1">
        <v>18</v>
      </c>
      <c r="G3799" s="1">
        <v>0.33425503494321035</v>
      </c>
      <c r="H3799" s="1" t="s">
        <v>144</v>
      </c>
    </row>
    <row r="3800" spans="1:8" x14ac:dyDescent="0.25">
      <c r="A3800" s="1">
        <v>2016</v>
      </c>
      <c r="B3800" s="1">
        <v>286</v>
      </c>
      <c r="C3800" s="15">
        <v>42655</v>
      </c>
      <c r="D3800" s="16">
        <v>0.55069444444444449</v>
      </c>
      <c r="E3800" s="1">
        <v>50</v>
      </c>
      <c r="F3800" s="1">
        <v>19</v>
      </c>
      <c r="G3800" s="1">
        <v>0.3307057980650267</v>
      </c>
      <c r="H3800" s="1" t="s">
        <v>144</v>
      </c>
    </row>
    <row r="3801" spans="1:8" x14ac:dyDescent="0.25">
      <c r="A3801" s="1">
        <v>2016</v>
      </c>
      <c r="B3801" s="1">
        <v>286</v>
      </c>
      <c r="C3801" s="15">
        <v>42655</v>
      </c>
      <c r="D3801" s="16">
        <v>0.55763888888888891</v>
      </c>
      <c r="E3801" s="1">
        <v>50</v>
      </c>
      <c r="F3801" s="1">
        <v>20</v>
      </c>
      <c r="G3801" s="1">
        <v>0.33446111966516939</v>
      </c>
      <c r="H3801" s="1" t="s">
        <v>144</v>
      </c>
    </row>
    <row r="3802" spans="1:8" x14ac:dyDescent="0.25">
      <c r="A3802" s="1">
        <v>2016</v>
      </c>
      <c r="B3802" s="1">
        <v>286</v>
      </c>
      <c r="C3802" s="15">
        <v>42655</v>
      </c>
      <c r="D3802" s="16">
        <v>0.35416666666666669</v>
      </c>
      <c r="E3802" s="1">
        <v>30</v>
      </c>
      <c r="F3802" s="1">
        <v>1</v>
      </c>
      <c r="G3802" s="1">
        <v>0.27469655029704515</v>
      </c>
      <c r="H3802" s="1" t="s">
        <v>143</v>
      </c>
    </row>
    <row r="3803" spans="1:8" x14ac:dyDescent="0.25">
      <c r="A3803" s="1">
        <v>2016</v>
      </c>
      <c r="B3803" s="1">
        <v>286</v>
      </c>
      <c r="C3803" s="15">
        <v>42655</v>
      </c>
      <c r="D3803" s="16">
        <v>0.34791666666666665</v>
      </c>
      <c r="E3803" s="1">
        <v>30</v>
      </c>
      <c r="F3803" s="1">
        <v>2</v>
      </c>
      <c r="G3803" s="1">
        <v>0.29606066647346657</v>
      </c>
      <c r="H3803" s="1" t="s">
        <v>143</v>
      </c>
    </row>
    <row r="3804" spans="1:8" x14ac:dyDescent="0.25">
      <c r="A3804" s="1">
        <v>2016</v>
      </c>
      <c r="B3804" s="1">
        <v>286</v>
      </c>
      <c r="C3804" s="15">
        <v>42655</v>
      </c>
      <c r="D3804" s="16">
        <v>0.37222222222222223</v>
      </c>
      <c r="E3804" s="1">
        <v>30</v>
      </c>
      <c r="F3804" s="1">
        <v>3</v>
      </c>
      <c r="G3804" s="1">
        <v>0.29063376879521158</v>
      </c>
      <c r="H3804" s="1" t="s">
        <v>143</v>
      </c>
    </row>
    <row r="3805" spans="1:8" x14ac:dyDescent="0.25">
      <c r="A3805" s="1">
        <v>2016</v>
      </c>
      <c r="B3805" s="1">
        <v>286</v>
      </c>
      <c r="C3805" s="15">
        <v>42655</v>
      </c>
      <c r="D3805" s="16">
        <v>0.3659722222222222</v>
      </c>
      <c r="E3805" s="1">
        <v>30</v>
      </c>
      <c r="F3805" s="1">
        <v>4</v>
      </c>
      <c r="G3805" s="1">
        <v>0.27016268641394608</v>
      </c>
      <c r="H3805" s="1" t="s">
        <v>143</v>
      </c>
    </row>
    <row r="3806" spans="1:8" x14ac:dyDescent="0.25">
      <c r="A3806" s="1">
        <v>2016</v>
      </c>
      <c r="B3806" s="1">
        <v>286</v>
      </c>
      <c r="C3806" s="15">
        <v>42655</v>
      </c>
      <c r="D3806" s="16">
        <v>0.37916666666666665</v>
      </c>
      <c r="E3806" s="1">
        <v>30</v>
      </c>
      <c r="F3806" s="1">
        <v>5</v>
      </c>
      <c r="G3806" s="1">
        <v>0.31147122401551547</v>
      </c>
      <c r="H3806" s="1" t="s">
        <v>0</v>
      </c>
    </row>
    <row r="3807" spans="1:8" x14ac:dyDescent="0.25">
      <c r="A3807" s="1">
        <v>2016</v>
      </c>
      <c r="B3807" s="1">
        <v>286</v>
      </c>
      <c r="C3807" s="15">
        <v>42655</v>
      </c>
      <c r="D3807" s="16">
        <v>0.3840277777777778</v>
      </c>
      <c r="E3807" s="1">
        <v>30</v>
      </c>
      <c r="F3807" s="1">
        <v>6</v>
      </c>
      <c r="G3807" s="1">
        <v>0.30771590241537283</v>
      </c>
      <c r="H3807" s="1" t="s">
        <v>0</v>
      </c>
    </row>
    <row r="3808" spans="1:8" x14ac:dyDescent="0.25">
      <c r="A3808" s="1">
        <v>2016</v>
      </c>
      <c r="B3808" s="1">
        <v>286</v>
      </c>
      <c r="C3808" s="15">
        <v>42655</v>
      </c>
      <c r="D3808" s="16">
        <v>0.38958333333333334</v>
      </c>
      <c r="E3808" s="1">
        <v>30</v>
      </c>
      <c r="F3808" s="1">
        <v>7</v>
      </c>
      <c r="G3808" s="1">
        <v>0.30485361461038601</v>
      </c>
      <c r="H3808" s="1" t="s">
        <v>143</v>
      </c>
    </row>
    <row r="3809" spans="1:8" x14ac:dyDescent="0.25">
      <c r="A3809" s="1">
        <v>2016</v>
      </c>
      <c r="B3809" s="1">
        <v>286</v>
      </c>
      <c r="C3809" s="15">
        <v>42655</v>
      </c>
      <c r="D3809" s="16">
        <v>0.39583333333333331</v>
      </c>
      <c r="E3809" s="1">
        <v>30</v>
      </c>
      <c r="F3809" s="1">
        <v>8</v>
      </c>
      <c r="G3809" s="1">
        <v>0.29500734456123145</v>
      </c>
      <c r="H3809" s="1" t="s">
        <v>143</v>
      </c>
    </row>
    <row r="3810" spans="1:8" x14ac:dyDescent="0.25">
      <c r="A3810" s="1">
        <v>2016</v>
      </c>
      <c r="B3810" s="1">
        <v>286</v>
      </c>
      <c r="C3810" s="15">
        <v>42655</v>
      </c>
      <c r="D3810" s="16">
        <v>0.39652777777777781</v>
      </c>
      <c r="E3810" s="1">
        <v>30</v>
      </c>
      <c r="F3810" s="1">
        <v>9</v>
      </c>
      <c r="G3810" s="1">
        <v>0.27558958409220102</v>
      </c>
      <c r="H3810" s="1" t="s">
        <v>143</v>
      </c>
    </row>
    <row r="3811" spans="1:8" x14ac:dyDescent="0.25">
      <c r="A3811" s="1">
        <v>2016</v>
      </c>
      <c r="B3811" s="1">
        <v>286</v>
      </c>
      <c r="C3811" s="15">
        <v>42655</v>
      </c>
      <c r="D3811" s="16">
        <v>0.40277777777777773</v>
      </c>
      <c r="E3811" s="1">
        <v>30</v>
      </c>
      <c r="F3811" s="1">
        <v>10</v>
      </c>
      <c r="G3811" s="1">
        <v>0.30709764824949565</v>
      </c>
      <c r="H3811" s="1" t="s">
        <v>143</v>
      </c>
    </row>
    <row r="3812" spans="1:8" x14ac:dyDescent="0.25">
      <c r="A3812" s="1">
        <v>2016</v>
      </c>
      <c r="B3812" s="1">
        <v>286</v>
      </c>
      <c r="C3812" s="15">
        <v>42655</v>
      </c>
      <c r="D3812" s="16">
        <v>0.50694444444444442</v>
      </c>
      <c r="E3812" s="1">
        <v>30</v>
      </c>
      <c r="F3812" s="1">
        <v>11</v>
      </c>
      <c r="G3812" s="1">
        <v>0.24907334986680341</v>
      </c>
      <c r="H3812" s="1" t="s">
        <v>144</v>
      </c>
    </row>
    <row r="3813" spans="1:8" x14ac:dyDescent="0.25">
      <c r="A3813" s="1">
        <v>2016</v>
      </c>
      <c r="B3813" s="1">
        <v>286</v>
      </c>
      <c r="C3813" s="15">
        <v>42655</v>
      </c>
      <c r="D3813" s="16">
        <v>0.5</v>
      </c>
      <c r="E3813" s="1">
        <v>30</v>
      </c>
      <c r="F3813" s="1">
        <v>12</v>
      </c>
      <c r="G3813" s="1">
        <v>0.2543399594279791</v>
      </c>
      <c r="H3813" s="1" t="s">
        <v>144</v>
      </c>
    </row>
    <row r="3814" spans="1:8" x14ac:dyDescent="0.25">
      <c r="A3814" s="1">
        <v>2016</v>
      </c>
      <c r="B3814" s="1">
        <v>286</v>
      </c>
      <c r="C3814" s="15">
        <v>42655</v>
      </c>
      <c r="D3814" s="16">
        <v>0.51388888888888895</v>
      </c>
      <c r="E3814" s="1">
        <v>30</v>
      </c>
      <c r="F3814" s="1">
        <v>13</v>
      </c>
      <c r="G3814" s="1">
        <v>0.17714978190309527</v>
      </c>
      <c r="H3814" s="1" t="s">
        <v>144</v>
      </c>
    </row>
    <row r="3815" spans="1:8" x14ac:dyDescent="0.25">
      <c r="A3815" s="1">
        <v>2016</v>
      </c>
      <c r="B3815" s="1">
        <v>286</v>
      </c>
      <c r="C3815" s="15">
        <v>42655</v>
      </c>
      <c r="D3815" s="16">
        <v>0.50763888888888886</v>
      </c>
      <c r="E3815" s="1">
        <v>30</v>
      </c>
      <c r="F3815" s="1">
        <v>14</v>
      </c>
      <c r="G3815" s="1">
        <v>0.18454593359118121</v>
      </c>
      <c r="H3815" s="1" t="s">
        <v>144</v>
      </c>
    </row>
    <row r="3816" spans="1:8" x14ac:dyDescent="0.25">
      <c r="A3816" s="1">
        <v>2016</v>
      </c>
      <c r="B3816" s="1">
        <v>286</v>
      </c>
      <c r="C3816" s="15">
        <v>42655</v>
      </c>
      <c r="D3816" s="16">
        <v>0.52083333333333337</v>
      </c>
      <c r="E3816" s="1">
        <v>30</v>
      </c>
      <c r="F3816" s="1">
        <v>15</v>
      </c>
      <c r="G3816" s="1">
        <v>0.32596584945996859</v>
      </c>
      <c r="H3816" s="1" t="s">
        <v>1</v>
      </c>
    </row>
    <row r="3817" spans="1:8" x14ac:dyDescent="0.25">
      <c r="A3817" s="1">
        <v>2016</v>
      </c>
      <c r="B3817" s="1">
        <v>286</v>
      </c>
      <c r="C3817" s="15">
        <v>42655</v>
      </c>
      <c r="D3817" s="16">
        <v>0.53125</v>
      </c>
      <c r="E3817" s="1">
        <v>30</v>
      </c>
      <c r="F3817" s="1">
        <v>16</v>
      </c>
      <c r="G3817" s="1">
        <v>0.30460173328354717</v>
      </c>
      <c r="H3817" s="1" t="s">
        <v>1</v>
      </c>
    </row>
    <row r="3818" spans="1:8" x14ac:dyDescent="0.25">
      <c r="A3818" s="1">
        <v>2016</v>
      </c>
      <c r="B3818" s="1">
        <v>286</v>
      </c>
      <c r="C3818" s="15">
        <v>42655</v>
      </c>
      <c r="D3818" s="16">
        <v>0.53680555555555554</v>
      </c>
      <c r="E3818" s="1">
        <v>30</v>
      </c>
      <c r="F3818" s="1">
        <v>17</v>
      </c>
      <c r="G3818" s="1">
        <v>0.30714344485437545</v>
      </c>
      <c r="H3818" s="1" t="s">
        <v>144</v>
      </c>
    </row>
    <row r="3819" spans="1:8" x14ac:dyDescent="0.25">
      <c r="A3819" s="1">
        <v>2016</v>
      </c>
      <c r="B3819" s="1">
        <v>286</v>
      </c>
      <c r="C3819" s="15">
        <v>42655</v>
      </c>
      <c r="D3819" s="16">
        <v>0.54375000000000007</v>
      </c>
      <c r="E3819" s="1">
        <v>30</v>
      </c>
      <c r="F3819" s="1">
        <v>18</v>
      </c>
      <c r="G3819" s="1">
        <v>0.28312312559492625</v>
      </c>
      <c r="H3819" s="1" t="s">
        <v>144</v>
      </c>
    </row>
    <row r="3820" spans="1:8" x14ac:dyDescent="0.25">
      <c r="A3820" s="1">
        <v>2016</v>
      </c>
      <c r="B3820" s="1">
        <v>286</v>
      </c>
      <c r="C3820" s="15">
        <v>42655</v>
      </c>
      <c r="D3820" s="16">
        <v>0.55069444444444449</v>
      </c>
      <c r="E3820" s="1">
        <v>30</v>
      </c>
      <c r="F3820" s="1">
        <v>19</v>
      </c>
      <c r="G3820" s="1">
        <v>0.28868741308782064</v>
      </c>
      <c r="H3820" s="1" t="s">
        <v>144</v>
      </c>
    </row>
    <row r="3821" spans="1:8" x14ac:dyDescent="0.25">
      <c r="A3821" s="1">
        <v>2016</v>
      </c>
      <c r="B3821" s="1">
        <v>286</v>
      </c>
      <c r="C3821" s="15">
        <v>42655</v>
      </c>
      <c r="D3821" s="16">
        <v>0.55763888888888891</v>
      </c>
      <c r="E3821" s="1">
        <v>30</v>
      </c>
      <c r="F3821" s="1">
        <v>20</v>
      </c>
      <c r="G3821" s="1">
        <v>0.27222353363353657</v>
      </c>
      <c r="H3821" s="1" t="s">
        <v>144</v>
      </c>
    </row>
    <row r="3822" spans="1:8" x14ac:dyDescent="0.25">
      <c r="A3822" s="1">
        <v>2016</v>
      </c>
      <c r="B3822" s="1">
        <v>286</v>
      </c>
      <c r="C3822" s="15">
        <v>42655</v>
      </c>
      <c r="D3822" s="16">
        <v>0.35416666666666669</v>
      </c>
      <c r="E3822" s="1">
        <v>10</v>
      </c>
      <c r="F3822" s="1">
        <v>1</v>
      </c>
      <c r="G3822" s="1">
        <v>0.19827786269045999</v>
      </c>
      <c r="H3822" s="1" t="s">
        <v>143</v>
      </c>
    </row>
    <row r="3823" spans="1:8" x14ac:dyDescent="0.25">
      <c r="A3823" s="1">
        <v>2016</v>
      </c>
      <c r="B3823" s="1">
        <v>286</v>
      </c>
      <c r="C3823" s="15">
        <v>42655</v>
      </c>
      <c r="D3823" s="16">
        <v>0.34791666666666665</v>
      </c>
      <c r="E3823" s="1">
        <v>10</v>
      </c>
      <c r="F3823" s="1">
        <v>2</v>
      </c>
      <c r="G3823" s="1">
        <v>0.18153248748843587</v>
      </c>
      <c r="H3823" s="1" t="s">
        <v>143</v>
      </c>
    </row>
    <row r="3824" spans="1:8" x14ac:dyDescent="0.25">
      <c r="A3824" s="1">
        <v>2016</v>
      </c>
      <c r="B3824" s="1">
        <v>286</v>
      </c>
      <c r="C3824" s="15">
        <v>42655</v>
      </c>
      <c r="D3824" s="16">
        <v>0.37222222222222223</v>
      </c>
      <c r="E3824" s="1">
        <v>10</v>
      </c>
      <c r="F3824" s="1">
        <v>3</v>
      </c>
      <c r="G3824" s="1">
        <v>0.19693516364791513</v>
      </c>
      <c r="H3824" s="1" t="s">
        <v>143</v>
      </c>
    </row>
    <row r="3825" spans="1:8" x14ac:dyDescent="0.25">
      <c r="A3825" s="1">
        <v>2016</v>
      </c>
      <c r="B3825" s="1">
        <v>286</v>
      </c>
      <c r="C3825" s="15">
        <v>42655</v>
      </c>
      <c r="D3825" s="16">
        <v>0.3659722222222222</v>
      </c>
      <c r="E3825" s="1">
        <v>10</v>
      </c>
      <c r="F3825" s="1">
        <v>4</v>
      </c>
      <c r="G3825" s="1">
        <v>0.18740200044584637</v>
      </c>
      <c r="H3825" s="1" t="s">
        <v>143</v>
      </c>
    </row>
    <row r="3826" spans="1:8" x14ac:dyDescent="0.25">
      <c r="A3826" s="1">
        <v>2016</v>
      </c>
      <c r="B3826" s="1">
        <v>286</v>
      </c>
      <c r="C3826" s="15">
        <v>42655</v>
      </c>
      <c r="D3826" s="16">
        <v>0.37916666666666665</v>
      </c>
      <c r="E3826" s="1">
        <v>10</v>
      </c>
      <c r="F3826" s="1">
        <v>5</v>
      </c>
      <c r="G3826" s="1">
        <v>0.21845671115842036</v>
      </c>
      <c r="H3826" s="1" t="s">
        <v>0</v>
      </c>
    </row>
    <row r="3827" spans="1:8" x14ac:dyDescent="0.25">
      <c r="A3827" s="1">
        <v>2016</v>
      </c>
      <c r="B3827" s="1">
        <v>286</v>
      </c>
      <c r="C3827" s="15">
        <v>42655</v>
      </c>
      <c r="D3827" s="16">
        <v>0.3840277777777778</v>
      </c>
      <c r="E3827" s="1">
        <v>10</v>
      </c>
      <c r="F3827" s="1">
        <v>6</v>
      </c>
      <c r="G3827" s="1">
        <v>0.20261286245639065</v>
      </c>
      <c r="H3827" s="1" t="s">
        <v>0</v>
      </c>
    </row>
    <row r="3828" spans="1:8" x14ac:dyDescent="0.25">
      <c r="A3828" s="1">
        <v>2016</v>
      </c>
      <c r="B3828" s="1">
        <v>286</v>
      </c>
      <c r="C3828" s="15">
        <v>42655</v>
      </c>
      <c r="D3828" s="16">
        <v>0.38958333333333334</v>
      </c>
      <c r="E3828" s="1">
        <v>10</v>
      </c>
      <c r="F3828" s="1">
        <v>7</v>
      </c>
      <c r="G3828" s="1">
        <v>0.20489545082871696</v>
      </c>
      <c r="H3828" s="1" t="s">
        <v>143</v>
      </c>
    </row>
    <row r="3829" spans="1:8" x14ac:dyDescent="0.25">
      <c r="A3829" s="1">
        <v>2016</v>
      </c>
      <c r="B3829" s="1">
        <v>286</v>
      </c>
      <c r="C3829" s="15">
        <v>42655</v>
      </c>
      <c r="D3829" s="16">
        <v>0.39583333333333331</v>
      </c>
      <c r="E3829" s="1">
        <v>10</v>
      </c>
      <c r="F3829" s="1">
        <v>8</v>
      </c>
      <c r="G3829" s="1">
        <v>0.17754275319058815</v>
      </c>
      <c r="H3829" s="1" t="s">
        <v>143</v>
      </c>
    </row>
    <row r="3830" spans="1:8" x14ac:dyDescent="0.25">
      <c r="A3830" s="1">
        <v>2016</v>
      </c>
      <c r="B3830" s="1">
        <v>286</v>
      </c>
      <c r="C3830" s="15">
        <v>42655</v>
      </c>
      <c r="D3830" s="16">
        <v>0.39652777777777781</v>
      </c>
      <c r="E3830" s="1">
        <v>10</v>
      </c>
      <c r="F3830" s="1">
        <v>9</v>
      </c>
      <c r="G3830" s="1">
        <v>0.1985272210840755</v>
      </c>
      <c r="H3830" s="1" t="s">
        <v>143</v>
      </c>
    </row>
    <row r="3831" spans="1:8" x14ac:dyDescent="0.25">
      <c r="A3831" s="1">
        <v>2016</v>
      </c>
      <c r="B3831" s="1">
        <v>286</v>
      </c>
      <c r="C3831" s="15">
        <v>42655</v>
      </c>
      <c r="D3831" s="16">
        <v>0.40277777777777773</v>
      </c>
      <c r="E3831" s="1">
        <v>10</v>
      </c>
      <c r="F3831" s="1">
        <v>10</v>
      </c>
      <c r="G3831" s="1">
        <v>0.19710779638195663</v>
      </c>
      <c r="H3831" s="1" t="s">
        <v>143</v>
      </c>
    </row>
    <row r="3832" spans="1:8" x14ac:dyDescent="0.25">
      <c r="A3832" s="1">
        <v>2016</v>
      </c>
      <c r="B3832" s="1">
        <v>286</v>
      </c>
      <c r="C3832" s="15">
        <v>42655</v>
      </c>
      <c r="D3832" s="16">
        <v>0.50694444444444442</v>
      </c>
      <c r="E3832" s="1">
        <v>10</v>
      </c>
      <c r="F3832" s="1">
        <v>11</v>
      </c>
      <c r="G3832" s="1">
        <v>0.15007496706309842</v>
      </c>
      <c r="H3832" s="1" t="s">
        <v>144</v>
      </c>
    </row>
    <row r="3833" spans="1:8" x14ac:dyDescent="0.25">
      <c r="A3833" s="1">
        <v>2016</v>
      </c>
      <c r="B3833" s="1">
        <v>286</v>
      </c>
      <c r="C3833" s="15">
        <v>42655</v>
      </c>
      <c r="D3833" s="16">
        <v>0.5</v>
      </c>
      <c r="E3833" s="1">
        <v>10</v>
      </c>
      <c r="F3833" s="1">
        <v>12</v>
      </c>
      <c r="G3833" s="1">
        <v>0.15972321875452811</v>
      </c>
      <c r="H3833" s="1" t="s">
        <v>144</v>
      </c>
    </row>
    <row r="3834" spans="1:8" x14ac:dyDescent="0.25">
      <c r="A3834" s="1">
        <v>2016</v>
      </c>
      <c r="B3834" s="1">
        <v>286</v>
      </c>
      <c r="C3834" s="15">
        <v>42655</v>
      </c>
      <c r="D3834" s="16">
        <v>0.51388888888888895</v>
      </c>
      <c r="E3834" s="1">
        <v>10</v>
      </c>
      <c r="F3834" s="1">
        <v>13</v>
      </c>
      <c r="G3834" s="1">
        <v>0.18116804060545938</v>
      </c>
      <c r="H3834" s="1" t="s">
        <v>144</v>
      </c>
    </row>
    <row r="3835" spans="1:8" x14ac:dyDescent="0.25">
      <c r="A3835" s="1">
        <v>2016</v>
      </c>
      <c r="B3835" s="1">
        <v>286</v>
      </c>
      <c r="C3835" s="15">
        <v>42655</v>
      </c>
      <c r="D3835" s="16">
        <v>0.50763888888888886</v>
      </c>
      <c r="E3835" s="1">
        <v>10</v>
      </c>
      <c r="F3835" s="1">
        <v>14</v>
      </c>
      <c r="G3835" s="1">
        <v>0.14808009991417459</v>
      </c>
      <c r="H3835" s="1" t="s">
        <v>144</v>
      </c>
    </row>
    <row r="3836" spans="1:8" x14ac:dyDescent="0.25">
      <c r="A3836" s="1">
        <v>2016</v>
      </c>
      <c r="B3836" s="1">
        <v>286</v>
      </c>
      <c r="C3836" s="15">
        <v>42655</v>
      </c>
      <c r="D3836" s="16">
        <v>0.52083333333333337</v>
      </c>
      <c r="E3836" s="1">
        <v>10</v>
      </c>
      <c r="F3836" s="1">
        <v>15</v>
      </c>
      <c r="G3836" s="1">
        <v>0.19639808403089715</v>
      </c>
      <c r="H3836" s="1" t="s">
        <v>1</v>
      </c>
    </row>
    <row r="3837" spans="1:8" x14ac:dyDescent="0.25">
      <c r="A3837" s="1">
        <v>2016</v>
      </c>
      <c r="B3837" s="1">
        <v>286</v>
      </c>
      <c r="C3837" s="15">
        <v>42655</v>
      </c>
      <c r="D3837" s="16">
        <v>0.53125</v>
      </c>
      <c r="E3837" s="1">
        <v>10</v>
      </c>
      <c r="F3837" s="1">
        <v>16</v>
      </c>
      <c r="G3837" s="1">
        <v>0.16862339526511139</v>
      </c>
      <c r="H3837" s="1" t="s">
        <v>1</v>
      </c>
    </row>
    <row r="3838" spans="1:8" x14ac:dyDescent="0.25">
      <c r="A3838" s="1">
        <v>2016</v>
      </c>
      <c r="B3838" s="1">
        <v>286</v>
      </c>
      <c r="C3838" s="15">
        <v>42655</v>
      </c>
      <c r="D3838" s="16">
        <v>0.53680555555555554</v>
      </c>
      <c r="E3838" s="1">
        <v>10</v>
      </c>
      <c r="F3838" s="1">
        <v>17</v>
      </c>
      <c r="G3838" s="1">
        <v>0.1837767130309752</v>
      </c>
      <c r="H3838" s="1" t="s">
        <v>144</v>
      </c>
    </row>
    <row r="3839" spans="1:8" x14ac:dyDescent="0.25">
      <c r="A3839" s="1">
        <v>2016</v>
      </c>
      <c r="B3839" s="1">
        <v>286</v>
      </c>
      <c r="C3839" s="15">
        <v>42655</v>
      </c>
      <c r="D3839" s="16">
        <v>0.54375000000000007</v>
      </c>
      <c r="E3839" s="1">
        <v>10</v>
      </c>
      <c r="F3839" s="1">
        <v>18</v>
      </c>
      <c r="G3839" s="1">
        <v>0.17040726685020674</v>
      </c>
      <c r="H3839" s="1" t="s">
        <v>144</v>
      </c>
    </row>
    <row r="3840" spans="1:8" x14ac:dyDescent="0.25">
      <c r="A3840" s="1">
        <v>2016</v>
      </c>
      <c r="B3840" s="1">
        <v>286</v>
      </c>
      <c r="C3840" s="15">
        <v>42655</v>
      </c>
      <c r="D3840" s="16">
        <v>0.55069444444444449</v>
      </c>
      <c r="E3840" s="1">
        <v>10</v>
      </c>
      <c r="F3840" s="1">
        <v>19</v>
      </c>
      <c r="G3840" s="1">
        <v>0.20038781832874486</v>
      </c>
      <c r="H3840" s="1" t="s">
        <v>144</v>
      </c>
    </row>
    <row r="3841" spans="1:8" x14ac:dyDescent="0.25">
      <c r="A3841" s="1">
        <v>2016</v>
      </c>
      <c r="B3841" s="1">
        <v>286</v>
      </c>
      <c r="C3841" s="15">
        <v>42655</v>
      </c>
      <c r="D3841" s="16">
        <v>0.55763888888888891</v>
      </c>
      <c r="E3841" s="1">
        <v>10</v>
      </c>
      <c r="F3841" s="1">
        <v>20</v>
      </c>
      <c r="G3841" s="1">
        <v>0.18287518653098078</v>
      </c>
      <c r="H3841" s="1" t="s">
        <v>144</v>
      </c>
    </row>
    <row r="3842" spans="1:8" x14ac:dyDescent="0.25">
      <c r="A3842" s="1">
        <v>2016</v>
      </c>
      <c r="B3842" s="1">
        <v>302</v>
      </c>
      <c r="C3842" s="15">
        <v>42671</v>
      </c>
      <c r="D3842" s="16">
        <v>0.34791666666666665</v>
      </c>
      <c r="E3842" s="1">
        <v>230</v>
      </c>
      <c r="F3842" s="1">
        <v>1</v>
      </c>
      <c r="G3842" s="1">
        <v>0.28627537738667141</v>
      </c>
      <c r="H3842" s="1" t="s">
        <v>143</v>
      </c>
    </row>
    <row r="3843" spans="1:8" x14ac:dyDescent="0.25">
      <c r="A3843" s="1">
        <v>2016</v>
      </c>
      <c r="B3843" s="1">
        <v>302</v>
      </c>
      <c r="C3843" s="15">
        <v>42671</v>
      </c>
      <c r="D3843" s="16">
        <v>0.35694444444444445</v>
      </c>
      <c r="E3843" s="1">
        <v>230</v>
      </c>
      <c r="F3843" s="1">
        <v>2</v>
      </c>
      <c r="G3843" s="1">
        <v>0.29390546336814655</v>
      </c>
      <c r="H3843" s="1" t="s">
        <v>143</v>
      </c>
    </row>
    <row r="3844" spans="1:8" x14ac:dyDescent="0.25">
      <c r="A3844" s="1">
        <v>2016</v>
      </c>
      <c r="B3844" s="1">
        <v>302</v>
      </c>
      <c r="C3844" s="15">
        <v>42671</v>
      </c>
      <c r="D3844" s="16">
        <v>0.36319444444444443</v>
      </c>
      <c r="E3844" s="1">
        <v>230</v>
      </c>
      <c r="F3844" s="1">
        <v>3</v>
      </c>
      <c r="G3844" s="1">
        <v>0.25970632798689219</v>
      </c>
      <c r="H3844" s="1" t="s">
        <v>143</v>
      </c>
    </row>
    <row r="3845" spans="1:8" x14ac:dyDescent="0.25">
      <c r="A3845" s="1">
        <v>2016</v>
      </c>
      <c r="B3845" s="1">
        <v>302</v>
      </c>
      <c r="C3845" s="15">
        <v>42671</v>
      </c>
      <c r="D3845" s="16">
        <v>0.36944444444444446</v>
      </c>
      <c r="E3845" s="1">
        <v>230</v>
      </c>
      <c r="F3845" s="1">
        <v>4</v>
      </c>
      <c r="G3845" s="1">
        <v>0.25777934198646857</v>
      </c>
      <c r="H3845" s="1" t="s">
        <v>143</v>
      </c>
    </row>
    <row r="3846" spans="1:8" x14ac:dyDescent="0.25">
      <c r="A3846" s="1">
        <v>2016</v>
      </c>
      <c r="B3846" s="1">
        <v>302</v>
      </c>
      <c r="C3846" s="15">
        <v>42671</v>
      </c>
      <c r="D3846" s="16">
        <v>0.37638888888888888</v>
      </c>
      <c r="E3846" s="1">
        <v>230</v>
      </c>
      <c r="F3846" s="1">
        <v>5</v>
      </c>
      <c r="G3846" s="1" t="e">
        <v>#N/A</v>
      </c>
      <c r="H3846" s="1" t="s">
        <v>0</v>
      </c>
    </row>
    <row r="3847" spans="1:8" x14ac:dyDescent="0.25">
      <c r="A3847" s="1">
        <v>2016</v>
      </c>
      <c r="B3847" s="1">
        <v>302</v>
      </c>
      <c r="C3847" s="15">
        <v>42671</v>
      </c>
      <c r="D3847" s="16">
        <v>0.3756944444444445</v>
      </c>
      <c r="E3847" s="1">
        <v>230</v>
      </c>
      <c r="F3847" s="1">
        <v>6</v>
      </c>
      <c r="G3847" s="1" t="e">
        <v>#N/A</v>
      </c>
      <c r="H3847" s="1" t="s">
        <v>0</v>
      </c>
    </row>
    <row r="3848" spans="1:8" x14ac:dyDescent="0.25">
      <c r="A3848" s="1">
        <v>2016</v>
      </c>
      <c r="B3848" s="1">
        <v>302</v>
      </c>
      <c r="C3848" s="15">
        <v>42671</v>
      </c>
      <c r="D3848" s="16">
        <v>0.38680555555555557</v>
      </c>
      <c r="E3848" s="1">
        <v>230</v>
      </c>
      <c r="F3848" s="1">
        <v>7</v>
      </c>
      <c r="G3848" s="1">
        <v>0.25223195804585535</v>
      </c>
      <c r="H3848" s="1" t="s">
        <v>143</v>
      </c>
    </row>
    <row r="3849" spans="1:8" x14ac:dyDescent="0.25">
      <c r="A3849" s="1">
        <v>2016</v>
      </c>
      <c r="B3849" s="1">
        <v>302</v>
      </c>
      <c r="C3849" s="15">
        <v>42671</v>
      </c>
      <c r="D3849" s="16">
        <v>0.4055555555555555</v>
      </c>
      <c r="E3849" s="1">
        <v>230</v>
      </c>
      <c r="F3849" s="1">
        <v>8</v>
      </c>
      <c r="G3849" s="1">
        <v>0.30354039337026428</v>
      </c>
      <c r="H3849" s="1" t="s">
        <v>143</v>
      </c>
    </row>
    <row r="3850" spans="1:8" x14ac:dyDescent="0.25">
      <c r="A3850" s="1">
        <v>2016</v>
      </c>
      <c r="B3850" s="1">
        <v>302</v>
      </c>
      <c r="C3850" s="15">
        <v>42671</v>
      </c>
      <c r="D3850" s="16">
        <v>0.39930555555555558</v>
      </c>
      <c r="E3850" s="1">
        <v>230</v>
      </c>
      <c r="F3850" s="1">
        <v>9</v>
      </c>
      <c r="G3850" s="1">
        <v>0.29740907427800756</v>
      </c>
      <c r="H3850" s="1" t="s">
        <v>143</v>
      </c>
    </row>
    <row r="3851" spans="1:8" x14ac:dyDescent="0.25">
      <c r="A3851" s="1">
        <v>2016</v>
      </c>
      <c r="B3851" s="1">
        <v>302</v>
      </c>
      <c r="C3851" s="15">
        <v>42671</v>
      </c>
      <c r="D3851" s="16">
        <v>0.39305555555555555</v>
      </c>
      <c r="E3851" s="1">
        <v>230</v>
      </c>
      <c r="F3851" s="1">
        <v>10</v>
      </c>
      <c r="G3851" s="1">
        <v>0.2493512112977474</v>
      </c>
      <c r="H3851" s="1" t="s">
        <v>143</v>
      </c>
    </row>
    <row r="3852" spans="1:8" x14ac:dyDescent="0.25">
      <c r="A3852" s="1">
        <v>2016</v>
      </c>
      <c r="B3852" s="1">
        <v>302</v>
      </c>
      <c r="C3852" s="15">
        <v>42671</v>
      </c>
      <c r="D3852" s="16" t="e">
        <v>#N/A</v>
      </c>
      <c r="E3852" s="1">
        <v>230</v>
      </c>
      <c r="F3852" s="1">
        <v>11</v>
      </c>
      <c r="G3852" s="1" t="e">
        <v>#N/A</v>
      </c>
      <c r="H3852" s="1" t="s">
        <v>144</v>
      </c>
    </row>
    <row r="3853" spans="1:8" x14ac:dyDescent="0.25">
      <c r="A3853" s="1">
        <v>2016</v>
      </c>
      <c r="B3853" s="1">
        <v>302</v>
      </c>
      <c r="C3853" s="15">
        <v>42671</v>
      </c>
      <c r="D3853" s="16" t="e">
        <v>#N/A</v>
      </c>
      <c r="E3853" s="1">
        <v>230</v>
      </c>
      <c r="F3853" s="1">
        <v>12</v>
      </c>
      <c r="G3853" s="1" t="e">
        <v>#N/A</v>
      </c>
      <c r="H3853" s="1" t="s">
        <v>144</v>
      </c>
    </row>
    <row r="3854" spans="1:8" x14ac:dyDescent="0.25">
      <c r="A3854" s="1">
        <v>2016</v>
      </c>
      <c r="B3854" s="1">
        <v>302</v>
      </c>
      <c r="C3854" s="15">
        <v>42671</v>
      </c>
      <c r="D3854" s="16" t="e">
        <v>#N/A</v>
      </c>
      <c r="E3854" s="1">
        <v>230</v>
      </c>
      <c r="F3854" s="1">
        <v>13</v>
      </c>
      <c r="G3854" s="1" t="e">
        <v>#N/A</v>
      </c>
      <c r="H3854" s="1" t="s">
        <v>144</v>
      </c>
    </row>
    <row r="3855" spans="1:8" x14ac:dyDescent="0.25">
      <c r="A3855" s="1">
        <v>2016</v>
      </c>
      <c r="B3855" s="1">
        <v>302</v>
      </c>
      <c r="C3855" s="15">
        <v>42671</v>
      </c>
      <c r="D3855" s="16" t="e">
        <v>#N/A</v>
      </c>
      <c r="E3855" s="1">
        <v>230</v>
      </c>
      <c r="F3855" s="1">
        <v>14</v>
      </c>
      <c r="G3855" s="1" t="e">
        <v>#N/A</v>
      </c>
      <c r="H3855" s="1" t="s">
        <v>144</v>
      </c>
    </row>
    <row r="3856" spans="1:8" x14ac:dyDescent="0.25">
      <c r="A3856" s="1">
        <v>2016</v>
      </c>
      <c r="B3856" s="1">
        <v>302</v>
      </c>
      <c r="C3856" s="15">
        <v>42671</v>
      </c>
      <c r="D3856" s="16" t="e">
        <v>#N/A</v>
      </c>
      <c r="E3856" s="1">
        <v>230</v>
      </c>
      <c r="F3856" s="1">
        <v>15</v>
      </c>
      <c r="G3856" s="1" t="e">
        <v>#N/A</v>
      </c>
      <c r="H3856" s="1" t="s">
        <v>1</v>
      </c>
    </row>
    <row r="3857" spans="1:8" x14ac:dyDescent="0.25">
      <c r="A3857" s="1">
        <v>2016</v>
      </c>
      <c r="B3857" s="1">
        <v>302</v>
      </c>
      <c r="C3857" s="15">
        <v>42671</v>
      </c>
      <c r="D3857" s="16" t="e">
        <v>#N/A</v>
      </c>
      <c r="E3857" s="1">
        <v>230</v>
      </c>
      <c r="F3857" s="1">
        <v>16</v>
      </c>
      <c r="G3857" s="1" t="e">
        <v>#N/A</v>
      </c>
      <c r="H3857" s="1" t="s">
        <v>1</v>
      </c>
    </row>
    <row r="3858" spans="1:8" x14ac:dyDescent="0.25">
      <c r="A3858" s="1">
        <v>2016</v>
      </c>
      <c r="B3858" s="1">
        <v>302</v>
      </c>
      <c r="C3858" s="15">
        <v>42671</v>
      </c>
      <c r="D3858" s="16" t="e">
        <v>#N/A</v>
      </c>
      <c r="E3858" s="1">
        <v>230</v>
      </c>
      <c r="F3858" s="1">
        <v>17</v>
      </c>
      <c r="G3858" s="1" t="e">
        <v>#N/A</v>
      </c>
      <c r="H3858" s="1" t="s">
        <v>144</v>
      </c>
    </row>
    <row r="3859" spans="1:8" x14ac:dyDescent="0.25">
      <c r="A3859" s="1">
        <v>2016</v>
      </c>
      <c r="B3859" s="1">
        <v>302</v>
      </c>
      <c r="C3859" s="15">
        <v>42671</v>
      </c>
      <c r="D3859" s="16" t="e">
        <v>#N/A</v>
      </c>
      <c r="E3859" s="1">
        <v>230</v>
      </c>
      <c r="F3859" s="1">
        <v>18</v>
      </c>
      <c r="G3859" s="1" t="e">
        <v>#N/A</v>
      </c>
      <c r="H3859" s="1" t="s">
        <v>144</v>
      </c>
    </row>
    <row r="3860" spans="1:8" x14ac:dyDescent="0.25">
      <c r="A3860" s="1">
        <v>2016</v>
      </c>
      <c r="B3860" s="1">
        <v>302</v>
      </c>
      <c r="C3860" s="15">
        <v>42671</v>
      </c>
      <c r="D3860" s="16" t="e">
        <v>#N/A</v>
      </c>
      <c r="E3860" s="1">
        <v>230</v>
      </c>
      <c r="F3860" s="1">
        <v>19</v>
      </c>
      <c r="G3860" s="1" t="e">
        <v>#N/A</v>
      </c>
      <c r="H3860" s="1" t="s">
        <v>144</v>
      </c>
    </row>
    <row r="3861" spans="1:8" x14ac:dyDescent="0.25">
      <c r="A3861" s="1">
        <v>2016</v>
      </c>
      <c r="B3861" s="1">
        <v>302</v>
      </c>
      <c r="C3861" s="15">
        <v>42671</v>
      </c>
      <c r="D3861" s="16" t="e">
        <v>#N/A</v>
      </c>
      <c r="E3861" s="1">
        <v>230</v>
      </c>
      <c r="F3861" s="1">
        <v>20</v>
      </c>
      <c r="G3861" s="1" t="e">
        <v>#N/A</v>
      </c>
      <c r="H3861" s="1" t="s">
        <v>144</v>
      </c>
    </row>
    <row r="3862" spans="1:8" x14ac:dyDescent="0.25">
      <c r="A3862" s="1">
        <v>2016</v>
      </c>
      <c r="B3862" s="1">
        <v>302</v>
      </c>
      <c r="C3862" s="15">
        <v>42671</v>
      </c>
      <c r="D3862" s="16">
        <v>0.34791666666666665</v>
      </c>
      <c r="E3862" s="1">
        <v>210</v>
      </c>
      <c r="F3862" s="1">
        <v>1</v>
      </c>
      <c r="G3862" s="1">
        <v>0.28851379546797157</v>
      </c>
      <c r="H3862" s="1" t="s">
        <v>143</v>
      </c>
    </row>
    <row r="3863" spans="1:8" x14ac:dyDescent="0.25">
      <c r="A3863" s="1">
        <v>2016</v>
      </c>
      <c r="B3863" s="1">
        <v>302</v>
      </c>
      <c r="C3863" s="15">
        <v>42671</v>
      </c>
      <c r="D3863" s="16">
        <v>0.35694444444444445</v>
      </c>
      <c r="E3863" s="1">
        <v>210</v>
      </c>
      <c r="F3863" s="1">
        <v>2</v>
      </c>
      <c r="G3863" s="1">
        <v>0.28981791730664203</v>
      </c>
      <c r="H3863" s="1" t="s">
        <v>143</v>
      </c>
    </row>
    <row r="3864" spans="1:8" x14ac:dyDescent="0.25">
      <c r="A3864" s="1">
        <v>2016</v>
      </c>
      <c r="B3864" s="1">
        <v>302</v>
      </c>
      <c r="C3864" s="15">
        <v>42671</v>
      </c>
      <c r="D3864" s="16">
        <v>0.36319444444444443</v>
      </c>
      <c r="E3864" s="1">
        <v>210</v>
      </c>
      <c r="F3864" s="1">
        <v>3</v>
      </c>
      <c r="G3864" s="1">
        <v>0.24662618059007768</v>
      </c>
      <c r="H3864" s="1" t="s">
        <v>143</v>
      </c>
    </row>
    <row r="3865" spans="1:8" x14ac:dyDescent="0.25">
      <c r="A3865" s="1">
        <v>2016</v>
      </c>
      <c r="B3865" s="1">
        <v>302</v>
      </c>
      <c r="C3865" s="15">
        <v>42671</v>
      </c>
      <c r="D3865" s="16">
        <v>0.36944444444444446</v>
      </c>
      <c r="E3865" s="1">
        <v>210</v>
      </c>
      <c r="F3865" s="1">
        <v>4</v>
      </c>
      <c r="G3865" s="1">
        <v>0.26918554194857169</v>
      </c>
      <c r="H3865" s="1" t="s">
        <v>143</v>
      </c>
    </row>
    <row r="3866" spans="1:8" x14ac:dyDescent="0.25">
      <c r="A3866" s="1">
        <v>2016</v>
      </c>
      <c r="B3866" s="1">
        <v>302</v>
      </c>
      <c r="C3866" s="15">
        <v>42671</v>
      </c>
      <c r="D3866" s="16">
        <v>0.37638888888888888</v>
      </c>
      <c r="E3866" s="1">
        <v>210</v>
      </c>
      <c r="F3866" s="1">
        <v>5</v>
      </c>
      <c r="G3866" s="1" t="e">
        <v>#N/A</v>
      </c>
      <c r="H3866" s="1" t="s">
        <v>0</v>
      </c>
    </row>
    <row r="3867" spans="1:8" x14ac:dyDescent="0.25">
      <c r="A3867" s="1">
        <v>2016</v>
      </c>
      <c r="B3867" s="1">
        <v>302</v>
      </c>
      <c r="C3867" s="15">
        <v>42671</v>
      </c>
      <c r="D3867" s="16">
        <v>0.3756944444444445</v>
      </c>
      <c r="E3867" s="1">
        <v>210</v>
      </c>
      <c r="F3867" s="1">
        <v>6</v>
      </c>
      <c r="G3867" s="1" t="e">
        <v>#N/A</v>
      </c>
      <c r="H3867" s="1" t="s">
        <v>0</v>
      </c>
    </row>
    <row r="3868" spans="1:8" x14ac:dyDescent="0.25">
      <c r="A3868" s="1">
        <v>2016</v>
      </c>
      <c r="B3868" s="1">
        <v>302</v>
      </c>
      <c r="C3868" s="15">
        <v>42671</v>
      </c>
      <c r="D3868" s="16">
        <v>0.38680555555555557</v>
      </c>
      <c r="E3868" s="1">
        <v>210</v>
      </c>
      <c r="F3868" s="1">
        <v>7</v>
      </c>
      <c r="G3868" s="1">
        <v>0.24469919458965417</v>
      </c>
      <c r="H3868" s="1" t="s">
        <v>143</v>
      </c>
    </row>
    <row r="3869" spans="1:8" x14ac:dyDescent="0.25">
      <c r="A3869" s="1">
        <v>2016</v>
      </c>
      <c r="B3869" s="1">
        <v>302</v>
      </c>
      <c r="C3869" s="15">
        <v>42671</v>
      </c>
      <c r="D3869" s="16">
        <v>0.4055555555555555</v>
      </c>
      <c r="E3869" s="1">
        <v>210</v>
      </c>
      <c r="F3869" s="1">
        <v>8</v>
      </c>
      <c r="G3869" s="1">
        <v>0.29573512684329617</v>
      </c>
      <c r="H3869" s="1" t="s">
        <v>143</v>
      </c>
    </row>
    <row r="3870" spans="1:8" x14ac:dyDescent="0.25">
      <c r="A3870" s="1">
        <v>2016</v>
      </c>
      <c r="B3870" s="1">
        <v>302</v>
      </c>
      <c r="C3870" s="15">
        <v>42671</v>
      </c>
      <c r="D3870" s="16">
        <v>0.39930555555555558</v>
      </c>
      <c r="E3870" s="1">
        <v>210</v>
      </c>
      <c r="F3870" s="1">
        <v>9</v>
      </c>
      <c r="G3870" s="1">
        <v>0.2755893641115954</v>
      </c>
      <c r="H3870" s="1" t="s">
        <v>143</v>
      </c>
    </row>
    <row r="3871" spans="1:8" x14ac:dyDescent="0.25">
      <c r="A3871" s="1">
        <v>2016</v>
      </c>
      <c r="B3871" s="1">
        <v>302</v>
      </c>
      <c r="C3871" s="15">
        <v>42671</v>
      </c>
      <c r="D3871" s="16">
        <v>0.39305555555555555</v>
      </c>
      <c r="E3871" s="1">
        <v>210</v>
      </c>
      <c r="F3871" s="1">
        <v>10</v>
      </c>
      <c r="G3871" s="1">
        <v>0.24316149869032627</v>
      </c>
      <c r="H3871" s="1" t="s">
        <v>143</v>
      </c>
    </row>
    <row r="3872" spans="1:8" x14ac:dyDescent="0.25">
      <c r="A3872" s="1">
        <v>2016</v>
      </c>
      <c r="B3872" s="1">
        <v>302</v>
      </c>
      <c r="C3872" s="15">
        <v>42671</v>
      </c>
      <c r="D3872" s="16" t="e">
        <v>#N/A</v>
      </c>
      <c r="E3872" s="1">
        <v>210</v>
      </c>
      <c r="F3872" s="1">
        <v>11</v>
      </c>
      <c r="G3872" s="1" t="e">
        <v>#N/A</v>
      </c>
      <c r="H3872" s="1" t="s">
        <v>144</v>
      </c>
    </row>
    <row r="3873" spans="1:8" x14ac:dyDescent="0.25">
      <c r="A3873" s="1">
        <v>2016</v>
      </c>
      <c r="B3873" s="1">
        <v>302</v>
      </c>
      <c r="C3873" s="15">
        <v>42671</v>
      </c>
      <c r="D3873" s="16" t="e">
        <v>#N/A</v>
      </c>
      <c r="E3873" s="1">
        <v>210</v>
      </c>
      <c r="F3873" s="1">
        <v>12</v>
      </c>
      <c r="G3873" s="1" t="e">
        <v>#N/A</v>
      </c>
      <c r="H3873" s="1" t="s">
        <v>144</v>
      </c>
    </row>
    <row r="3874" spans="1:8" x14ac:dyDescent="0.25">
      <c r="A3874" s="1">
        <v>2016</v>
      </c>
      <c r="B3874" s="1">
        <v>302</v>
      </c>
      <c r="C3874" s="15">
        <v>42671</v>
      </c>
      <c r="D3874" s="16" t="e">
        <v>#N/A</v>
      </c>
      <c r="E3874" s="1">
        <v>210</v>
      </c>
      <c r="F3874" s="1">
        <v>13</v>
      </c>
      <c r="G3874" s="1" t="e">
        <v>#N/A</v>
      </c>
      <c r="H3874" s="1" t="s">
        <v>144</v>
      </c>
    </row>
    <row r="3875" spans="1:8" x14ac:dyDescent="0.25">
      <c r="A3875" s="1">
        <v>2016</v>
      </c>
      <c r="B3875" s="1">
        <v>302</v>
      </c>
      <c r="C3875" s="15">
        <v>42671</v>
      </c>
      <c r="D3875" s="16" t="e">
        <v>#N/A</v>
      </c>
      <c r="E3875" s="1">
        <v>210</v>
      </c>
      <c r="F3875" s="1">
        <v>14</v>
      </c>
      <c r="G3875" s="1" t="e">
        <v>#N/A</v>
      </c>
      <c r="H3875" s="1" t="s">
        <v>144</v>
      </c>
    </row>
    <row r="3876" spans="1:8" x14ac:dyDescent="0.25">
      <c r="A3876" s="1">
        <v>2016</v>
      </c>
      <c r="B3876" s="1">
        <v>302</v>
      </c>
      <c r="C3876" s="15">
        <v>42671</v>
      </c>
      <c r="D3876" s="16" t="e">
        <v>#N/A</v>
      </c>
      <c r="E3876" s="1">
        <v>210</v>
      </c>
      <c r="F3876" s="1">
        <v>15</v>
      </c>
      <c r="G3876" s="1" t="e">
        <v>#N/A</v>
      </c>
      <c r="H3876" s="1" t="s">
        <v>1</v>
      </c>
    </row>
    <row r="3877" spans="1:8" x14ac:dyDescent="0.25">
      <c r="A3877" s="1">
        <v>2016</v>
      </c>
      <c r="B3877" s="1">
        <v>302</v>
      </c>
      <c r="C3877" s="15">
        <v>42671</v>
      </c>
      <c r="D3877" s="16" t="e">
        <v>#N/A</v>
      </c>
      <c r="E3877" s="1">
        <v>210</v>
      </c>
      <c r="F3877" s="1">
        <v>16</v>
      </c>
      <c r="G3877" s="1" t="e">
        <v>#N/A</v>
      </c>
      <c r="H3877" s="1" t="s">
        <v>1</v>
      </c>
    </row>
    <row r="3878" spans="1:8" x14ac:dyDescent="0.25">
      <c r="A3878" s="1">
        <v>2016</v>
      </c>
      <c r="B3878" s="1">
        <v>302</v>
      </c>
      <c r="C3878" s="15">
        <v>42671</v>
      </c>
      <c r="D3878" s="16" t="e">
        <v>#N/A</v>
      </c>
      <c r="E3878" s="1">
        <v>210</v>
      </c>
      <c r="F3878" s="1">
        <v>17</v>
      </c>
      <c r="G3878" s="1" t="e">
        <v>#N/A</v>
      </c>
      <c r="H3878" s="1" t="s">
        <v>144</v>
      </c>
    </row>
    <row r="3879" spans="1:8" x14ac:dyDescent="0.25">
      <c r="A3879" s="1">
        <v>2016</v>
      </c>
      <c r="B3879" s="1">
        <v>302</v>
      </c>
      <c r="C3879" s="15">
        <v>42671</v>
      </c>
      <c r="D3879" s="16" t="e">
        <v>#N/A</v>
      </c>
      <c r="E3879" s="1">
        <v>210</v>
      </c>
      <c r="F3879" s="1">
        <v>18</v>
      </c>
      <c r="G3879" s="1" t="e">
        <v>#N/A</v>
      </c>
      <c r="H3879" s="1" t="s">
        <v>144</v>
      </c>
    </row>
    <row r="3880" spans="1:8" x14ac:dyDescent="0.25">
      <c r="A3880" s="1">
        <v>2016</v>
      </c>
      <c r="B3880" s="1">
        <v>302</v>
      </c>
      <c r="C3880" s="15">
        <v>42671</v>
      </c>
      <c r="D3880" s="16" t="e">
        <v>#N/A</v>
      </c>
      <c r="E3880" s="1">
        <v>210</v>
      </c>
      <c r="F3880" s="1">
        <v>19</v>
      </c>
      <c r="G3880" s="1" t="e">
        <v>#N/A</v>
      </c>
      <c r="H3880" s="1" t="s">
        <v>144</v>
      </c>
    </row>
    <row r="3881" spans="1:8" x14ac:dyDescent="0.25">
      <c r="A3881" s="1">
        <v>2016</v>
      </c>
      <c r="B3881" s="1">
        <v>302</v>
      </c>
      <c r="C3881" s="15">
        <v>42671</v>
      </c>
      <c r="D3881" s="16" t="e">
        <v>#N/A</v>
      </c>
      <c r="E3881" s="1">
        <v>210</v>
      </c>
      <c r="F3881" s="1">
        <v>20</v>
      </c>
      <c r="G3881" s="1" t="e">
        <v>#N/A</v>
      </c>
      <c r="H3881" s="1" t="s">
        <v>144</v>
      </c>
    </row>
    <row r="3882" spans="1:8" x14ac:dyDescent="0.25">
      <c r="A3882" s="1">
        <v>2016</v>
      </c>
      <c r="B3882" s="1">
        <v>302</v>
      </c>
      <c r="C3882" s="15">
        <v>42671</v>
      </c>
      <c r="D3882" s="16">
        <v>0.34791666666666665</v>
      </c>
      <c r="E3882" s="1">
        <v>190</v>
      </c>
      <c r="F3882" s="1">
        <v>1</v>
      </c>
      <c r="G3882" s="1">
        <v>0.26274279077543833</v>
      </c>
      <c r="H3882" s="1" t="s">
        <v>143</v>
      </c>
    </row>
    <row r="3883" spans="1:8" x14ac:dyDescent="0.25">
      <c r="A3883" s="1">
        <v>2016</v>
      </c>
      <c r="B3883" s="1">
        <v>302</v>
      </c>
      <c r="C3883" s="15">
        <v>42671</v>
      </c>
      <c r="D3883" s="16">
        <v>0.35694444444444445</v>
      </c>
      <c r="E3883" s="1">
        <v>190</v>
      </c>
      <c r="F3883" s="1">
        <v>2</v>
      </c>
      <c r="G3883" s="1">
        <v>0.2689908968980238</v>
      </c>
      <c r="H3883" s="1" t="s">
        <v>143</v>
      </c>
    </row>
    <row r="3884" spans="1:8" x14ac:dyDescent="0.25">
      <c r="A3884" s="1">
        <v>2016</v>
      </c>
      <c r="B3884" s="1">
        <v>302</v>
      </c>
      <c r="C3884" s="15">
        <v>42671</v>
      </c>
      <c r="D3884" s="16">
        <v>0.36319444444444443</v>
      </c>
      <c r="E3884" s="1">
        <v>190</v>
      </c>
      <c r="F3884" s="1">
        <v>3</v>
      </c>
      <c r="G3884" s="1">
        <v>0.27619276376829371</v>
      </c>
      <c r="H3884" s="1" t="s">
        <v>143</v>
      </c>
    </row>
    <row r="3885" spans="1:8" x14ac:dyDescent="0.25">
      <c r="A3885" s="1">
        <v>2016</v>
      </c>
      <c r="B3885" s="1">
        <v>302</v>
      </c>
      <c r="C3885" s="15">
        <v>42671</v>
      </c>
      <c r="D3885" s="16">
        <v>0.36944444444444446</v>
      </c>
      <c r="E3885" s="1">
        <v>190</v>
      </c>
      <c r="F3885" s="1">
        <v>4</v>
      </c>
      <c r="G3885" s="1">
        <v>0.27586186718236233</v>
      </c>
      <c r="H3885" s="1" t="s">
        <v>143</v>
      </c>
    </row>
    <row r="3886" spans="1:8" x14ac:dyDescent="0.25">
      <c r="A3886" s="1">
        <v>2016</v>
      </c>
      <c r="B3886" s="1">
        <v>302</v>
      </c>
      <c r="C3886" s="15">
        <v>42671</v>
      </c>
      <c r="D3886" s="16">
        <v>0.37638888888888888</v>
      </c>
      <c r="E3886" s="1">
        <v>190</v>
      </c>
      <c r="F3886" s="1">
        <v>5</v>
      </c>
      <c r="G3886" s="1">
        <v>0.3216229185661581</v>
      </c>
      <c r="H3886" s="1" t="s">
        <v>0</v>
      </c>
    </row>
    <row r="3887" spans="1:8" x14ac:dyDescent="0.25">
      <c r="A3887" s="1">
        <v>2016</v>
      </c>
      <c r="B3887" s="1">
        <v>302</v>
      </c>
      <c r="C3887" s="15">
        <v>42671</v>
      </c>
      <c r="D3887" s="16">
        <v>0.3756944444444445</v>
      </c>
      <c r="E3887" s="1">
        <v>190</v>
      </c>
      <c r="F3887" s="1">
        <v>6</v>
      </c>
      <c r="G3887" s="1">
        <v>0.33635754889262909</v>
      </c>
      <c r="H3887" s="1" t="s">
        <v>0</v>
      </c>
    </row>
    <row r="3888" spans="1:8" x14ac:dyDescent="0.25">
      <c r="A3888" s="1">
        <v>2016</v>
      </c>
      <c r="B3888" s="1">
        <v>302</v>
      </c>
      <c r="C3888" s="15">
        <v>42671</v>
      </c>
      <c r="D3888" s="16">
        <v>0.38680555555555557</v>
      </c>
      <c r="E3888" s="1">
        <v>190</v>
      </c>
      <c r="F3888" s="1">
        <v>7</v>
      </c>
      <c r="G3888" s="1">
        <v>0.26595443410947761</v>
      </c>
      <c r="H3888" s="1" t="s">
        <v>143</v>
      </c>
    </row>
    <row r="3889" spans="1:8" x14ac:dyDescent="0.25">
      <c r="A3889" s="1">
        <v>2016</v>
      </c>
      <c r="B3889" s="1">
        <v>302</v>
      </c>
      <c r="C3889" s="15">
        <v>42671</v>
      </c>
      <c r="D3889" s="16">
        <v>0.4055555555555555</v>
      </c>
      <c r="E3889" s="1">
        <v>190</v>
      </c>
      <c r="F3889" s="1">
        <v>8</v>
      </c>
      <c r="G3889" s="1">
        <v>0.27728277605136153</v>
      </c>
      <c r="H3889" s="1" t="s">
        <v>143</v>
      </c>
    </row>
    <row r="3890" spans="1:8" x14ac:dyDescent="0.25">
      <c r="A3890" s="1">
        <v>2016</v>
      </c>
      <c r="B3890" s="1">
        <v>302</v>
      </c>
      <c r="C3890" s="15">
        <v>42671</v>
      </c>
      <c r="D3890" s="16">
        <v>0.39930555555555558</v>
      </c>
      <c r="E3890" s="1">
        <v>190</v>
      </c>
      <c r="F3890" s="1">
        <v>9</v>
      </c>
      <c r="G3890" s="1">
        <v>0.26881571635253076</v>
      </c>
      <c r="H3890" s="1" t="s">
        <v>143</v>
      </c>
    </row>
    <row r="3891" spans="1:8" x14ac:dyDescent="0.25">
      <c r="A3891" s="1">
        <v>2016</v>
      </c>
      <c r="B3891" s="1">
        <v>302</v>
      </c>
      <c r="C3891" s="15">
        <v>42671</v>
      </c>
      <c r="D3891" s="16">
        <v>0.39305555555555555</v>
      </c>
      <c r="E3891" s="1">
        <v>190</v>
      </c>
      <c r="F3891" s="1">
        <v>10</v>
      </c>
      <c r="G3891" s="1">
        <v>0.27514168049533538</v>
      </c>
      <c r="H3891" s="1" t="s">
        <v>143</v>
      </c>
    </row>
    <row r="3892" spans="1:8" x14ac:dyDescent="0.25">
      <c r="A3892" s="1">
        <v>2016</v>
      </c>
      <c r="B3892" s="1">
        <v>302</v>
      </c>
      <c r="C3892" s="15">
        <v>42671</v>
      </c>
      <c r="D3892" s="16" t="e">
        <v>#N/A</v>
      </c>
      <c r="E3892" s="1">
        <v>190</v>
      </c>
      <c r="F3892" s="1">
        <v>11</v>
      </c>
      <c r="G3892" s="1" t="e">
        <v>#N/A</v>
      </c>
      <c r="H3892" s="1" t="s">
        <v>144</v>
      </c>
    </row>
    <row r="3893" spans="1:8" x14ac:dyDescent="0.25">
      <c r="A3893" s="1">
        <v>2016</v>
      </c>
      <c r="B3893" s="1">
        <v>302</v>
      </c>
      <c r="C3893" s="15">
        <v>42671</v>
      </c>
      <c r="D3893" s="16" t="e">
        <v>#N/A</v>
      </c>
      <c r="E3893" s="1">
        <v>190</v>
      </c>
      <c r="F3893" s="1">
        <v>12</v>
      </c>
      <c r="G3893" s="1" t="e">
        <v>#N/A</v>
      </c>
      <c r="H3893" s="1" t="s">
        <v>144</v>
      </c>
    </row>
    <row r="3894" spans="1:8" x14ac:dyDescent="0.25">
      <c r="A3894" s="1">
        <v>2016</v>
      </c>
      <c r="B3894" s="1">
        <v>302</v>
      </c>
      <c r="C3894" s="15">
        <v>42671</v>
      </c>
      <c r="D3894" s="16" t="e">
        <v>#N/A</v>
      </c>
      <c r="E3894" s="1">
        <v>190</v>
      </c>
      <c r="F3894" s="1">
        <v>13</v>
      </c>
      <c r="G3894" s="1" t="e">
        <v>#N/A</v>
      </c>
      <c r="H3894" s="1" t="s">
        <v>144</v>
      </c>
    </row>
    <row r="3895" spans="1:8" x14ac:dyDescent="0.25">
      <c r="A3895" s="1">
        <v>2016</v>
      </c>
      <c r="B3895" s="1">
        <v>302</v>
      </c>
      <c r="C3895" s="15">
        <v>42671</v>
      </c>
      <c r="D3895" s="16" t="e">
        <v>#N/A</v>
      </c>
      <c r="E3895" s="1">
        <v>190</v>
      </c>
      <c r="F3895" s="1">
        <v>14</v>
      </c>
      <c r="G3895" s="1" t="e">
        <v>#N/A</v>
      </c>
      <c r="H3895" s="1" t="s">
        <v>144</v>
      </c>
    </row>
    <row r="3896" spans="1:8" x14ac:dyDescent="0.25">
      <c r="A3896" s="1">
        <v>2016</v>
      </c>
      <c r="B3896" s="1">
        <v>302</v>
      </c>
      <c r="C3896" s="15">
        <v>42671</v>
      </c>
      <c r="D3896" s="16" t="e">
        <v>#N/A</v>
      </c>
      <c r="E3896" s="1">
        <v>190</v>
      </c>
      <c r="F3896" s="1">
        <v>15</v>
      </c>
      <c r="G3896" s="1" t="e">
        <v>#N/A</v>
      </c>
      <c r="H3896" s="1" t="s">
        <v>1</v>
      </c>
    </row>
    <row r="3897" spans="1:8" x14ac:dyDescent="0.25">
      <c r="A3897" s="1">
        <v>2016</v>
      </c>
      <c r="B3897" s="1">
        <v>302</v>
      </c>
      <c r="C3897" s="15">
        <v>42671</v>
      </c>
      <c r="D3897" s="16" t="e">
        <v>#N/A</v>
      </c>
      <c r="E3897" s="1">
        <v>190</v>
      </c>
      <c r="F3897" s="1">
        <v>16</v>
      </c>
      <c r="G3897" s="1" t="e">
        <v>#N/A</v>
      </c>
      <c r="H3897" s="1" t="s">
        <v>1</v>
      </c>
    </row>
    <row r="3898" spans="1:8" x14ac:dyDescent="0.25">
      <c r="A3898" s="1">
        <v>2016</v>
      </c>
      <c r="B3898" s="1">
        <v>302</v>
      </c>
      <c r="C3898" s="15">
        <v>42671</v>
      </c>
      <c r="D3898" s="16" t="e">
        <v>#N/A</v>
      </c>
      <c r="E3898" s="1">
        <v>190</v>
      </c>
      <c r="F3898" s="1">
        <v>17</v>
      </c>
      <c r="G3898" s="1" t="e">
        <v>#N/A</v>
      </c>
      <c r="H3898" s="1" t="s">
        <v>144</v>
      </c>
    </row>
    <row r="3899" spans="1:8" x14ac:dyDescent="0.25">
      <c r="A3899" s="1">
        <v>2016</v>
      </c>
      <c r="B3899" s="1">
        <v>302</v>
      </c>
      <c r="C3899" s="15">
        <v>42671</v>
      </c>
      <c r="D3899" s="16" t="e">
        <v>#N/A</v>
      </c>
      <c r="E3899" s="1">
        <v>190</v>
      </c>
      <c r="F3899" s="1">
        <v>18</v>
      </c>
      <c r="G3899" s="1" t="e">
        <v>#N/A</v>
      </c>
      <c r="H3899" s="1" t="s">
        <v>144</v>
      </c>
    </row>
    <row r="3900" spans="1:8" x14ac:dyDescent="0.25">
      <c r="A3900" s="1">
        <v>2016</v>
      </c>
      <c r="B3900" s="1">
        <v>302</v>
      </c>
      <c r="C3900" s="15">
        <v>42671</v>
      </c>
      <c r="D3900" s="16" t="e">
        <v>#N/A</v>
      </c>
      <c r="E3900" s="1">
        <v>190</v>
      </c>
      <c r="F3900" s="1">
        <v>19</v>
      </c>
      <c r="G3900" s="1" t="e">
        <v>#N/A</v>
      </c>
      <c r="H3900" s="1" t="s">
        <v>144</v>
      </c>
    </row>
    <row r="3901" spans="1:8" x14ac:dyDescent="0.25">
      <c r="A3901" s="1">
        <v>2016</v>
      </c>
      <c r="B3901" s="1">
        <v>302</v>
      </c>
      <c r="C3901" s="15">
        <v>42671</v>
      </c>
      <c r="D3901" s="16" t="e">
        <v>#N/A</v>
      </c>
      <c r="E3901" s="1">
        <v>190</v>
      </c>
      <c r="F3901" s="1">
        <v>20</v>
      </c>
      <c r="G3901" s="1" t="e">
        <v>#N/A</v>
      </c>
      <c r="H3901" s="1" t="s">
        <v>144</v>
      </c>
    </row>
    <row r="3902" spans="1:8" x14ac:dyDescent="0.25">
      <c r="A3902" s="1">
        <v>2016</v>
      </c>
      <c r="B3902" s="1">
        <v>302</v>
      </c>
      <c r="C3902" s="15">
        <v>42671</v>
      </c>
      <c r="D3902" s="16">
        <v>0.34791666666666665</v>
      </c>
      <c r="E3902" s="1">
        <v>170</v>
      </c>
      <c r="F3902" s="1">
        <v>1</v>
      </c>
      <c r="G3902" s="1">
        <v>0.25487913073330587</v>
      </c>
      <c r="H3902" s="1" t="s">
        <v>143</v>
      </c>
    </row>
    <row r="3903" spans="1:8" x14ac:dyDescent="0.25">
      <c r="A3903" s="1">
        <v>2016</v>
      </c>
      <c r="B3903" s="1">
        <v>302</v>
      </c>
      <c r="C3903" s="15">
        <v>42671</v>
      </c>
      <c r="D3903" s="16">
        <v>0.35694444444444445</v>
      </c>
      <c r="E3903" s="1">
        <v>170</v>
      </c>
      <c r="F3903" s="1">
        <v>2</v>
      </c>
      <c r="G3903" s="1">
        <v>0.2543535890968267</v>
      </c>
      <c r="H3903" s="1" t="s">
        <v>143</v>
      </c>
    </row>
    <row r="3904" spans="1:8" x14ac:dyDescent="0.25">
      <c r="A3904" s="1">
        <v>2016</v>
      </c>
      <c r="B3904" s="1">
        <v>302</v>
      </c>
      <c r="C3904" s="15">
        <v>42671</v>
      </c>
      <c r="D3904" s="16">
        <v>0.36319444444444443</v>
      </c>
      <c r="E3904" s="1">
        <v>170</v>
      </c>
      <c r="F3904" s="1">
        <v>3</v>
      </c>
      <c r="G3904" s="1">
        <v>0.26285957780576708</v>
      </c>
      <c r="H3904" s="1" t="s">
        <v>143</v>
      </c>
    </row>
    <row r="3905" spans="1:8" x14ac:dyDescent="0.25">
      <c r="A3905" s="1">
        <v>2016</v>
      </c>
      <c r="B3905" s="1">
        <v>302</v>
      </c>
      <c r="C3905" s="15">
        <v>42671</v>
      </c>
      <c r="D3905" s="16">
        <v>0.36944444444444446</v>
      </c>
      <c r="E3905" s="1">
        <v>170</v>
      </c>
      <c r="F3905" s="1">
        <v>4</v>
      </c>
      <c r="G3905" s="1">
        <v>0.27159914057536477</v>
      </c>
      <c r="H3905" s="1" t="s">
        <v>143</v>
      </c>
    </row>
    <row r="3906" spans="1:8" x14ac:dyDescent="0.25">
      <c r="A3906" s="1">
        <v>2016</v>
      </c>
      <c r="B3906" s="1">
        <v>302</v>
      </c>
      <c r="C3906" s="15">
        <v>42671</v>
      </c>
      <c r="D3906" s="16">
        <v>0.37638888888888888</v>
      </c>
      <c r="E3906" s="1">
        <v>170</v>
      </c>
      <c r="F3906" s="1">
        <v>5</v>
      </c>
      <c r="G3906" s="1">
        <v>0.32275185985933552</v>
      </c>
      <c r="H3906" s="1" t="s">
        <v>0</v>
      </c>
    </row>
    <row r="3907" spans="1:8" x14ac:dyDescent="0.25">
      <c r="A3907" s="1">
        <v>2016</v>
      </c>
      <c r="B3907" s="1">
        <v>302</v>
      </c>
      <c r="C3907" s="15">
        <v>42671</v>
      </c>
      <c r="D3907" s="16">
        <v>0.3756944444444445</v>
      </c>
      <c r="E3907" s="1">
        <v>170</v>
      </c>
      <c r="F3907" s="1">
        <v>6</v>
      </c>
      <c r="G3907" s="1">
        <v>0.32419223323338947</v>
      </c>
      <c r="H3907" s="1" t="s">
        <v>0</v>
      </c>
    </row>
    <row r="3908" spans="1:8" x14ac:dyDescent="0.25">
      <c r="A3908" s="1">
        <v>2016</v>
      </c>
      <c r="B3908" s="1">
        <v>302</v>
      </c>
      <c r="C3908" s="15">
        <v>42671</v>
      </c>
      <c r="D3908" s="16">
        <v>0.38680555555555557</v>
      </c>
      <c r="E3908" s="1">
        <v>170</v>
      </c>
      <c r="F3908" s="1">
        <v>7</v>
      </c>
      <c r="G3908" s="1">
        <v>0.28395910128515228</v>
      </c>
      <c r="H3908" s="1" t="s">
        <v>143</v>
      </c>
    </row>
    <row r="3909" spans="1:8" x14ac:dyDescent="0.25">
      <c r="A3909" s="1">
        <v>2016</v>
      </c>
      <c r="B3909" s="1">
        <v>302</v>
      </c>
      <c r="C3909" s="15">
        <v>42671</v>
      </c>
      <c r="D3909" s="16">
        <v>0.4055555555555555</v>
      </c>
      <c r="E3909" s="1">
        <v>170</v>
      </c>
      <c r="F3909" s="1">
        <v>8</v>
      </c>
      <c r="G3909" s="1">
        <v>0.29390546336814655</v>
      </c>
      <c r="H3909" s="1" t="s">
        <v>143</v>
      </c>
    </row>
    <row r="3910" spans="1:8" x14ac:dyDescent="0.25">
      <c r="A3910" s="1">
        <v>2016</v>
      </c>
      <c r="B3910" s="1">
        <v>302</v>
      </c>
      <c r="C3910" s="15">
        <v>42671</v>
      </c>
      <c r="D3910" s="16">
        <v>0.39930555555555558</v>
      </c>
      <c r="E3910" s="1">
        <v>170</v>
      </c>
      <c r="F3910" s="1">
        <v>9</v>
      </c>
      <c r="G3910" s="1">
        <v>0.2850101845581105</v>
      </c>
      <c r="H3910" s="1" t="s">
        <v>143</v>
      </c>
    </row>
    <row r="3911" spans="1:8" x14ac:dyDescent="0.25">
      <c r="A3911" s="1">
        <v>2016</v>
      </c>
      <c r="B3911" s="1">
        <v>302</v>
      </c>
      <c r="C3911" s="15">
        <v>42671</v>
      </c>
      <c r="D3911" s="16">
        <v>0.39305555555555555</v>
      </c>
      <c r="E3911" s="1">
        <v>170</v>
      </c>
      <c r="F3911" s="1">
        <v>10</v>
      </c>
      <c r="G3911" s="1">
        <v>0.29413903742880393</v>
      </c>
      <c r="H3911" s="1" t="s">
        <v>143</v>
      </c>
    </row>
    <row r="3912" spans="1:8" x14ac:dyDescent="0.25">
      <c r="A3912" s="1">
        <v>2016</v>
      </c>
      <c r="B3912" s="1">
        <v>302</v>
      </c>
      <c r="C3912" s="15">
        <v>42671</v>
      </c>
      <c r="D3912" s="16" t="e">
        <v>#N/A</v>
      </c>
      <c r="E3912" s="1">
        <v>170</v>
      </c>
      <c r="F3912" s="1">
        <v>11</v>
      </c>
      <c r="G3912" s="1" t="e">
        <v>#N/A</v>
      </c>
      <c r="H3912" s="1" t="s">
        <v>144</v>
      </c>
    </row>
    <row r="3913" spans="1:8" x14ac:dyDescent="0.25">
      <c r="A3913" s="1">
        <v>2016</v>
      </c>
      <c r="B3913" s="1">
        <v>302</v>
      </c>
      <c r="C3913" s="15">
        <v>42671</v>
      </c>
      <c r="D3913" s="16" t="e">
        <v>#N/A</v>
      </c>
      <c r="E3913" s="1">
        <v>170</v>
      </c>
      <c r="F3913" s="1">
        <v>12</v>
      </c>
      <c r="G3913" s="1" t="e">
        <v>#N/A</v>
      </c>
      <c r="H3913" s="1" t="s">
        <v>144</v>
      </c>
    </row>
    <row r="3914" spans="1:8" x14ac:dyDescent="0.25">
      <c r="A3914" s="1">
        <v>2016</v>
      </c>
      <c r="B3914" s="1">
        <v>302</v>
      </c>
      <c r="C3914" s="15">
        <v>42671</v>
      </c>
      <c r="D3914" s="16" t="e">
        <v>#N/A</v>
      </c>
      <c r="E3914" s="1">
        <v>170</v>
      </c>
      <c r="F3914" s="1">
        <v>13</v>
      </c>
      <c r="G3914" s="1" t="e">
        <v>#N/A</v>
      </c>
      <c r="H3914" s="1" t="s">
        <v>144</v>
      </c>
    </row>
    <row r="3915" spans="1:8" x14ac:dyDescent="0.25">
      <c r="A3915" s="1">
        <v>2016</v>
      </c>
      <c r="B3915" s="1">
        <v>302</v>
      </c>
      <c r="C3915" s="15">
        <v>42671</v>
      </c>
      <c r="D3915" s="16" t="e">
        <v>#N/A</v>
      </c>
      <c r="E3915" s="1">
        <v>170</v>
      </c>
      <c r="F3915" s="1">
        <v>14</v>
      </c>
      <c r="G3915" s="1" t="e">
        <v>#N/A</v>
      </c>
      <c r="H3915" s="1" t="s">
        <v>144</v>
      </c>
    </row>
    <row r="3916" spans="1:8" x14ac:dyDescent="0.25">
      <c r="A3916" s="1">
        <v>2016</v>
      </c>
      <c r="B3916" s="1">
        <v>302</v>
      </c>
      <c r="C3916" s="15">
        <v>42671</v>
      </c>
      <c r="D3916" s="16" t="e">
        <v>#N/A</v>
      </c>
      <c r="E3916" s="1">
        <v>170</v>
      </c>
      <c r="F3916" s="1">
        <v>15</v>
      </c>
      <c r="G3916" s="1" t="e">
        <v>#N/A</v>
      </c>
      <c r="H3916" s="1" t="s">
        <v>1</v>
      </c>
    </row>
    <row r="3917" spans="1:8" x14ac:dyDescent="0.25">
      <c r="A3917" s="1">
        <v>2016</v>
      </c>
      <c r="B3917" s="1">
        <v>302</v>
      </c>
      <c r="C3917" s="15">
        <v>42671</v>
      </c>
      <c r="D3917" s="16" t="e">
        <v>#N/A</v>
      </c>
      <c r="E3917" s="1">
        <v>170</v>
      </c>
      <c r="F3917" s="1">
        <v>16</v>
      </c>
      <c r="G3917" s="1" t="e">
        <v>#N/A</v>
      </c>
      <c r="H3917" s="1" t="s">
        <v>1</v>
      </c>
    </row>
    <row r="3918" spans="1:8" x14ac:dyDescent="0.25">
      <c r="A3918" s="1">
        <v>2016</v>
      </c>
      <c r="B3918" s="1">
        <v>302</v>
      </c>
      <c r="C3918" s="15">
        <v>42671</v>
      </c>
      <c r="D3918" s="16" t="e">
        <v>#N/A</v>
      </c>
      <c r="E3918" s="1">
        <v>170</v>
      </c>
      <c r="F3918" s="1">
        <v>17</v>
      </c>
      <c r="G3918" s="1" t="e">
        <v>#N/A</v>
      </c>
      <c r="H3918" s="1" t="s">
        <v>144</v>
      </c>
    </row>
    <row r="3919" spans="1:8" x14ac:dyDescent="0.25">
      <c r="A3919" s="1">
        <v>2016</v>
      </c>
      <c r="B3919" s="1">
        <v>302</v>
      </c>
      <c r="C3919" s="15">
        <v>42671</v>
      </c>
      <c r="D3919" s="16" t="e">
        <v>#N/A</v>
      </c>
      <c r="E3919" s="1">
        <v>170</v>
      </c>
      <c r="F3919" s="1">
        <v>18</v>
      </c>
      <c r="G3919" s="1" t="e">
        <v>#N/A</v>
      </c>
      <c r="H3919" s="1" t="s">
        <v>144</v>
      </c>
    </row>
    <row r="3920" spans="1:8" x14ac:dyDescent="0.25">
      <c r="A3920" s="1">
        <v>2016</v>
      </c>
      <c r="B3920" s="1">
        <v>302</v>
      </c>
      <c r="C3920" s="15">
        <v>42671</v>
      </c>
      <c r="D3920" s="16" t="e">
        <v>#N/A</v>
      </c>
      <c r="E3920" s="1">
        <v>170</v>
      </c>
      <c r="F3920" s="1">
        <v>19</v>
      </c>
      <c r="G3920" s="1" t="e">
        <v>#N/A</v>
      </c>
      <c r="H3920" s="1" t="s">
        <v>144</v>
      </c>
    </row>
    <row r="3921" spans="1:8" x14ac:dyDescent="0.25">
      <c r="A3921" s="1">
        <v>2016</v>
      </c>
      <c r="B3921" s="1">
        <v>302</v>
      </c>
      <c r="C3921" s="15">
        <v>42671</v>
      </c>
      <c r="D3921" s="16" t="e">
        <v>#N/A</v>
      </c>
      <c r="E3921" s="1">
        <v>170</v>
      </c>
      <c r="F3921" s="1">
        <v>20</v>
      </c>
      <c r="G3921" s="1" t="e">
        <v>#N/A</v>
      </c>
      <c r="H3921" s="1" t="s">
        <v>144</v>
      </c>
    </row>
    <row r="3922" spans="1:8" x14ac:dyDescent="0.25">
      <c r="A3922" s="1">
        <v>2016</v>
      </c>
      <c r="B3922" s="1">
        <v>302</v>
      </c>
      <c r="C3922" s="15">
        <v>42671</v>
      </c>
      <c r="D3922" s="16">
        <v>0.34791666666666665</v>
      </c>
      <c r="E3922" s="1">
        <v>150</v>
      </c>
      <c r="F3922" s="1">
        <v>1</v>
      </c>
      <c r="G3922" s="1">
        <v>0.31780787557542051</v>
      </c>
      <c r="H3922" s="1" t="s">
        <v>143</v>
      </c>
    </row>
    <row r="3923" spans="1:8" x14ac:dyDescent="0.25">
      <c r="A3923" s="1">
        <v>2016</v>
      </c>
      <c r="B3923" s="1">
        <v>302</v>
      </c>
      <c r="C3923" s="15">
        <v>42671</v>
      </c>
      <c r="D3923" s="16">
        <v>0.35694444444444445</v>
      </c>
      <c r="E3923" s="1">
        <v>150</v>
      </c>
      <c r="F3923" s="1">
        <v>2</v>
      </c>
      <c r="G3923" s="1">
        <v>0.31453783872621693</v>
      </c>
      <c r="H3923" s="1" t="s">
        <v>143</v>
      </c>
    </row>
    <row r="3924" spans="1:8" x14ac:dyDescent="0.25">
      <c r="A3924" s="1">
        <v>2016</v>
      </c>
      <c r="B3924" s="1">
        <v>302</v>
      </c>
      <c r="C3924" s="15">
        <v>42671</v>
      </c>
      <c r="D3924" s="16">
        <v>0.36319444444444443</v>
      </c>
      <c r="E3924" s="1">
        <v>150</v>
      </c>
      <c r="F3924" s="1">
        <v>3</v>
      </c>
      <c r="G3924" s="1">
        <v>0.29104418112509339</v>
      </c>
      <c r="H3924" s="1" t="s">
        <v>143</v>
      </c>
    </row>
    <row r="3925" spans="1:8" x14ac:dyDescent="0.25">
      <c r="A3925" s="1">
        <v>2016</v>
      </c>
      <c r="B3925" s="1">
        <v>302</v>
      </c>
      <c r="C3925" s="15">
        <v>42671</v>
      </c>
      <c r="D3925" s="16">
        <v>0.36944444444444446</v>
      </c>
      <c r="E3925" s="1">
        <v>150</v>
      </c>
      <c r="F3925" s="1">
        <v>4</v>
      </c>
      <c r="G3925" s="1">
        <v>0.27008090918109168</v>
      </c>
      <c r="H3925" s="1" t="s">
        <v>143</v>
      </c>
    </row>
    <row r="3926" spans="1:8" x14ac:dyDescent="0.25">
      <c r="A3926" s="1">
        <v>2016</v>
      </c>
      <c r="B3926" s="1">
        <v>302</v>
      </c>
      <c r="C3926" s="15">
        <v>42671</v>
      </c>
      <c r="D3926" s="16">
        <v>0.37638888888888888</v>
      </c>
      <c r="E3926" s="1">
        <v>150</v>
      </c>
      <c r="F3926" s="1">
        <v>5</v>
      </c>
      <c r="G3926" s="1">
        <v>0.35418703552281067</v>
      </c>
      <c r="H3926" s="1" t="s">
        <v>0</v>
      </c>
    </row>
    <row r="3927" spans="1:8" x14ac:dyDescent="0.25">
      <c r="A3927" s="1">
        <v>2016</v>
      </c>
      <c r="B3927" s="1">
        <v>302</v>
      </c>
      <c r="C3927" s="15">
        <v>42671</v>
      </c>
      <c r="D3927" s="16">
        <v>0.3756944444444445</v>
      </c>
      <c r="E3927" s="1">
        <v>150</v>
      </c>
      <c r="F3927" s="1">
        <v>6</v>
      </c>
      <c r="G3927" s="1">
        <v>0.34297548061125543</v>
      </c>
      <c r="H3927" s="1" t="s">
        <v>0</v>
      </c>
    </row>
    <row r="3928" spans="1:8" x14ac:dyDescent="0.25">
      <c r="A3928" s="1">
        <v>2016</v>
      </c>
      <c r="B3928" s="1">
        <v>302</v>
      </c>
      <c r="C3928" s="15">
        <v>42671</v>
      </c>
      <c r="D3928" s="16">
        <v>0.38680555555555557</v>
      </c>
      <c r="E3928" s="1">
        <v>150</v>
      </c>
      <c r="F3928" s="1">
        <v>7</v>
      </c>
      <c r="G3928" s="1">
        <v>0.3135062199583134</v>
      </c>
      <c r="H3928" s="1" t="s">
        <v>143</v>
      </c>
    </row>
    <row r="3929" spans="1:8" x14ac:dyDescent="0.25">
      <c r="A3929" s="1">
        <v>2016</v>
      </c>
      <c r="B3929" s="1">
        <v>302</v>
      </c>
      <c r="C3929" s="15">
        <v>42671</v>
      </c>
      <c r="D3929" s="16">
        <v>0.4055555555555555</v>
      </c>
      <c r="E3929" s="1">
        <v>150</v>
      </c>
      <c r="F3929" s="1">
        <v>8</v>
      </c>
      <c r="G3929" s="1">
        <v>0.32972015266894794</v>
      </c>
      <c r="H3929" s="1" t="s">
        <v>143</v>
      </c>
    </row>
    <row r="3930" spans="1:8" x14ac:dyDescent="0.25">
      <c r="A3930" s="1">
        <v>2016</v>
      </c>
      <c r="B3930" s="1">
        <v>302</v>
      </c>
      <c r="C3930" s="15">
        <v>42671</v>
      </c>
      <c r="D3930" s="16">
        <v>0.39930555555555558</v>
      </c>
      <c r="E3930" s="1">
        <v>150</v>
      </c>
      <c r="F3930" s="1">
        <v>9</v>
      </c>
      <c r="G3930" s="1">
        <v>0.3143626581807239</v>
      </c>
      <c r="H3930" s="1" t="s">
        <v>143</v>
      </c>
    </row>
    <row r="3931" spans="1:8" x14ac:dyDescent="0.25">
      <c r="A3931" s="1">
        <v>2016</v>
      </c>
      <c r="B3931" s="1">
        <v>302</v>
      </c>
      <c r="C3931" s="15">
        <v>42671</v>
      </c>
      <c r="D3931" s="16">
        <v>0.39305555555555555</v>
      </c>
      <c r="E3931" s="1">
        <v>150</v>
      </c>
      <c r="F3931" s="1">
        <v>10</v>
      </c>
      <c r="G3931" s="1">
        <v>0.32080540935385715</v>
      </c>
      <c r="H3931" s="1" t="s">
        <v>143</v>
      </c>
    </row>
    <row r="3932" spans="1:8" x14ac:dyDescent="0.25">
      <c r="A3932" s="1">
        <v>2016</v>
      </c>
      <c r="B3932" s="1">
        <v>302</v>
      </c>
      <c r="C3932" s="15">
        <v>42671</v>
      </c>
      <c r="D3932" s="16" t="e">
        <v>#N/A</v>
      </c>
      <c r="E3932" s="1">
        <v>150</v>
      </c>
      <c r="F3932" s="1">
        <v>11</v>
      </c>
      <c r="G3932" s="1" t="e">
        <v>#N/A</v>
      </c>
      <c r="H3932" s="1" t="s">
        <v>144</v>
      </c>
    </row>
    <row r="3933" spans="1:8" x14ac:dyDescent="0.25">
      <c r="A3933" s="1">
        <v>2016</v>
      </c>
      <c r="B3933" s="1">
        <v>302</v>
      </c>
      <c r="C3933" s="15">
        <v>42671</v>
      </c>
      <c r="D3933" s="16" t="e">
        <v>#N/A</v>
      </c>
      <c r="E3933" s="1">
        <v>150</v>
      </c>
      <c r="F3933" s="1">
        <v>12</v>
      </c>
      <c r="G3933" s="1" t="e">
        <v>#N/A</v>
      </c>
      <c r="H3933" s="1" t="s">
        <v>144</v>
      </c>
    </row>
    <row r="3934" spans="1:8" x14ac:dyDescent="0.25">
      <c r="A3934" s="1">
        <v>2016</v>
      </c>
      <c r="B3934" s="1">
        <v>302</v>
      </c>
      <c r="C3934" s="15">
        <v>42671</v>
      </c>
      <c r="D3934" s="16" t="e">
        <v>#N/A</v>
      </c>
      <c r="E3934" s="1">
        <v>150</v>
      </c>
      <c r="F3934" s="1">
        <v>13</v>
      </c>
      <c r="G3934" s="1" t="e">
        <v>#N/A</v>
      </c>
      <c r="H3934" s="1" t="s">
        <v>144</v>
      </c>
    </row>
    <row r="3935" spans="1:8" x14ac:dyDescent="0.25">
      <c r="A3935" s="1">
        <v>2016</v>
      </c>
      <c r="B3935" s="1">
        <v>302</v>
      </c>
      <c r="C3935" s="15">
        <v>42671</v>
      </c>
      <c r="D3935" s="16" t="e">
        <v>#N/A</v>
      </c>
      <c r="E3935" s="1">
        <v>150</v>
      </c>
      <c r="F3935" s="1">
        <v>14</v>
      </c>
      <c r="G3935" s="1" t="e">
        <v>#N/A</v>
      </c>
      <c r="H3935" s="1" t="s">
        <v>144</v>
      </c>
    </row>
    <row r="3936" spans="1:8" x14ac:dyDescent="0.25">
      <c r="A3936" s="1">
        <v>2016</v>
      </c>
      <c r="B3936" s="1">
        <v>302</v>
      </c>
      <c r="C3936" s="15">
        <v>42671</v>
      </c>
      <c r="D3936" s="16" t="e">
        <v>#N/A</v>
      </c>
      <c r="E3936" s="1">
        <v>150</v>
      </c>
      <c r="F3936" s="1">
        <v>15</v>
      </c>
      <c r="G3936" s="1" t="e">
        <v>#N/A</v>
      </c>
      <c r="H3936" s="1" t="s">
        <v>1</v>
      </c>
    </row>
    <row r="3937" spans="1:8" x14ac:dyDescent="0.25">
      <c r="A3937" s="1">
        <v>2016</v>
      </c>
      <c r="B3937" s="1">
        <v>302</v>
      </c>
      <c r="C3937" s="15">
        <v>42671</v>
      </c>
      <c r="D3937" s="16" t="e">
        <v>#N/A</v>
      </c>
      <c r="E3937" s="1">
        <v>150</v>
      </c>
      <c r="F3937" s="1">
        <v>16</v>
      </c>
      <c r="G3937" s="1" t="e">
        <v>#N/A</v>
      </c>
      <c r="H3937" s="1" t="s">
        <v>1</v>
      </c>
    </row>
    <row r="3938" spans="1:8" x14ac:dyDescent="0.25">
      <c r="A3938" s="1">
        <v>2016</v>
      </c>
      <c r="B3938" s="1">
        <v>302</v>
      </c>
      <c r="C3938" s="15">
        <v>42671</v>
      </c>
      <c r="D3938" s="16" t="e">
        <v>#N/A</v>
      </c>
      <c r="E3938" s="1">
        <v>150</v>
      </c>
      <c r="F3938" s="1">
        <v>17</v>
      </c>
      <c r="G3938" s="1" t="e">
        <v>#N/A</v>
      </c>
      <c r="H3938" s="1" t="s">
        <v>144</v>
      </c>
    </row>
    <row r="3939" spans="1:8" x14ac:dyDescent="0.25">
      <c r="A3939" s="1">
        <v>2016</v>
      </c>
      <c r="B3939" s="1">
        <v>302</v>
      </c>
      <c r="C3939" s="15">
        <v>42671</v>
      </c>
      <c r="D3939" s="16" t="e">
        <v>#N/A</v>
      </c>
      <c r="E3939" s="1">
        <v>150</v>
      </c>
      <c r="F3939" s="1">
        <v>18</v>
      </c>
      <c r="G3939" s="1" t="e">
        <v>#N/A</v>
      </c>
      <c r="H3939" s="1" t="s">
        <v>144</v>
      </c>
    </row>
    <row r="3940" spans="1:8" x14ac:dyDescent="0.25">
      <c r="A3940" s="1">
        <v>2016</v>
      </c>
      <c r="B3940" s="1">
        <v>302</v>
      </c>
      <c r="C3940" s="15">
        <v>42671</v>
      </c>
      <c r="D3940" s="16" t="e">
        <v>#N/A</v>
      </c>
      <c r="E3940" s="1">
        <v>150</v>
      </c>
      <c r="F3940" s="1">
        <v>19</v>
      </c>
      <c r="G3940" s="1" t="e">
        <v>#N/A</v>
      </c>
      <c r="H3940" s="1" t="s">
        <v>144</v>
      </c>
    </row>
    <row r="3941" spans="1:8" x14ac:dyDescent="0.25">
      <c r="A3941" s="1">
        <v>2016</v>
      </c>
      <c r="B3941" s="1">
        <v>302</v>
      </c>
      <c r="C3941" s="15">
        <v>42671</v>
      </c>
      <c r="D3941" s="16" t="e">
        <v>#N/A</v>
      </c>
      <c r="E3941" s="1">
        <v>150</v>
      </c>
      <c r="F3941" s="1">
        <v>20</v>
      </c>
      <c r="G3941" s="1" t="e">
        <v>#N/A</v>
      </c>
      <c r="H3941" s="1" t="s">
        <v>144</v>
      </c>
    </row>
    <row r="3942" spans="1:8" x14ac:dyDescent="0.25">
      <c r="A3942" s="1">
        <v>2016</v>
      </c>
      <c r="B3942" s="1">
        <v>302</v>
      </c>
      <c r="C3942" s="15">
        <v>42671</v>
      </c>
      <c r="D3942" s="16">
        <v>0.34791666666666665</v>
      </c>
      <c r="E3942" s="1">
        <v>130</v>
      </c>
      <c r="F3942" s="1">
        <v>1</v>
      </c>
      <c r="G3942" s="1">
        <v>0.30116572375358075</v>
      </c>
      <c r="H3942" s="1" t="s">
        <v>143</v>
      </c>
    </row>
    <row r="3943" spans="1:8" x14ac:dyDescent="0.25">
      <c r="A3943" s="1">
        <v>2016</v>
      </c>
      <c r="B3943" s="1">
        <v>302</v>
      </c>
      <c r="C3943" s="15">
        <v>42671</v>
      </c>
      <c r="D3943" s="16">
        <v>0.35694444444444445</v>
      </c>
      <c r="E3943" s="1">
        <v>130</v>
      </c>
      <c r="F3943" s="1">
        <v>2</v>
      </c>
      <c r="G3943" s="1">
        <v>0.29028506542795685</v>
      </c>
      <c r="H3943" s="1" t="s">
        <v>143</v>
      </c>
    </row>
    <row r="3944" spans="1:8" x14ac:dyDescent="0.25">
      <c r="A3944" s="1">
        <v>2016</v>
      </c>
      <c r="B3944" s="1">
        <v>302</v>
      </c>
      <c r="C3944" s="15">
        <v>42671</v>
      </c>
      <c r="D3944" s="16">
        <v>0.36319444444444443</v>
      </c>
      <c r="E3944" s="1">
        <v>130</v>
      </c>
      <c r="F3944" s="1">
        <v>3</v>
      </c>
      <c r="G3944" s="1">
        <v>0.29147240023629861</v>
      </c>
      <c r="H3944" s="1" t="s">
        <v>143</v>
      </c>
    </row>
    <row r="3945" spans="1:8" x14ac:dyDescent="0.25">
      <c r="A3945" s="1">
        <v>2016</v>
      </c>
      <c r="B3945" s="1">
        <v>302</v>
      </c>
      <c r="C3945" s="15">
        <v>42671</v>
      </c>
      <c r="D3945" s="16">
        <v>0.36944444444444446</v>
      </c>
      <c r="E3945" s="1">
        <v>130</v>
      </c>
      <c r="F3945" s="1">
        <v>4</v>
      </c>
      <c r="G3945" s="1">
        <v>0.28974005928642294</v>
      </c>
      <c r="H3945" s="1" t="s">
        <v>143</v>
      </c>
    </row>
    <row r="3946" spans="1:8" x14ac:dyDescent="0.25">
      <c r="A3946" s="1">
        <v>2016</v>
      </c>
      <c r="B3946" s="1">
        <v>302</v>
      </c>
      <c r="C3946" s="15">
        <v>42671</v>
      </c>
      <c r="D3946" s="16">
        <v>0.37638888888888888</v>
      </c>
      <c r="E3946" s="1">
        <v>130</v>
      </c>
      <c r="F3946" s="1">
        <v>5</v>
      </c>
      <c r="G3946" s="1">
        <v>0.3048445152089348</v>
      </c>
      <c r="H3946" s="1" t="s">
        <v>0</v>
      </c>
    </row>
    <row r="3947" spans="1:8" x14ac:dyDescent="0.25">
      <c r="A3947" s="1">
        <v>2016</v>
      </c>
      <c r="B3947" s="1">
        <v>302</v>
      </c>
      <c r="C3947" s="15">
        <v>42671</v>
      </c>
      <c r="D3947" s="16">
        <v>0.3756944444444445</v>
      </c>
      <c r="E3947" s="1">
        <v>130</v>
      </c>
      <c r="F3947" s="1">
        <v>6</v>
      </c>
      <c r="G3947" s="1">
        <v>0.30137983330918339</v>
      </c>
      <c r="H3947" s="1" t="s">
        <v>0</v>
      </c>
    </row>
    <row r="3948" spans="1:8" x14ac:dyDescent="0.25">
      <c r="A3948" s="1">
        <v>2016</v>
      </c>
      <c r="B3948" s="1">
        <v>302</v>
      </c>
      <c r="C3948" s="15">
        <v>42671</v>
      </c>
      <c r="D3948" s="16">
        <v>0.38680555555555557</v>
      </c>
      <c r="E3948" s="1">
        <v>130</v>
      </c>
      <c r="F3948" s="1">
        <v>7</v>
      </c>
      <c r="G3948" s="1">
        <v>0.29721442922745972</v>
      </c>
      <c r="H3948" s="1" t="s">
        <v>143</v>
      </c>
    </row>
    <row r="3949" spans="1:8" x14ac:dyDescent="0.25">
      <c r="A3949" s="1">
        <v>2016</v>
      </c>
      <c r="B3949" s="1">
        <v>302</v>
      </c>
      <c r="C3949" s="15">
        <v>42671</v>
      </c>
      <c r="D3949" s="16">
        <v>0.4055555555555555</v>
      </c>
      <c r="E3949" s="1">
        <v>130</v>
      </c>
      <c r="F3949" s="1">
        <v>8</v>
      </c>
      <c r="G3949" s="1">
        <v>0.30957438993724717</v>
      </c>
      <c r="H3949" s="1" t="s">
        <v>143</v>
      </c>
    </row>
    <row r="3950" spans="1:8" x14ac:dyDescent="0.25">
      <c r="A3950" s="1">
        <v>2016</v>
      </c>
      <c r="B3950" s="1">
        <v>302</v>
      </c>
      <c r="C3950" s="15">
        <v>42671</v>
      </c>
      <c r="D3950" s="16">
        <v>0.39930555555555558</v>
      </c>
      <c r="E3950" s="1">
        <v>130</v>
      </c>
      <c r="F3950" s="1">
        <v>9</v>
      </c>
      <c r="G3950" s="1">
        <v>0.28892255007412199</v>
      </c>
      <c r="H3950" s="1" t="s">
        <v>143</v>
      </c>
    </row>
    <row r="3951" spans="1:8" x14ac:dyDescent="0.25">
      <c r="A3951" s="1">
        <v>2016</v>
      </c>
      <c r="B3951" s="1">
        <v>302</v>
      </c>
      <c r="C3951" s="15">
        <v>42671</v>
      </c>
      <c r="D3951" s="16">
        <v>0.39305555555555555</v>
      </c>
      <c r="E3951" s="1">
        <v>130</v>
      </c>
      <c r="F3951" s="1">
        <v>10</v>
      </c>
      <c r="G3951" s="1">
        <v>0.29873266062173282</v>
      </c>
      <c r="H3951" s="1" t="s">
        <v>143</v>
      </c>
    </row>
    <row r="3952" spans="1:8" x14ac:dyDescent="0.25">
      <c r="A3952" s="1">
        <v>2016</v>
      </c>
      <c r="B3952" s="1">
        <v>302</v>
      </c>
      <c r="C3952" s="15">
        <v>42671</v>
      </c>
      <c r="D3952" s="16" t="e">
        <v>#N/A</v>
      </c>
      <c r="E3952" s="1">
        <v>130</v>
      </c>
      <c r="F3952" s="1">
        <v>11</v>
      </c>
      <c r="G3952" s="1" t="e">
        <v>#N/A</v>
      </c>
      <c r="H3952" s="1" t="s">
        <v>144</v>
      </c>
    </row>
    <row r="3953" spans="1:8" x14ac:dyDescent="0.25">
      <c r="A3953" s="1">
        <v>2016</v>
      </c>
      <c r="B3953" s="1">
        <v>302</v>
      </c>
      <c r="C3953" s="15">
        <v>42671</v>
      </c>
      <c r="D3953" s="16" t="e">
        <v>#N/A</v>
      </c>
      <c r="E3953" s="1">
        <v>130</v>
      </c>
      <c r="F3953" s="1">
        <v>12</v>
      </c>
      <c r="G3953" s="1" t="e">
        <v>#N/A</v>
      </c>
      <c r="H3953" s="1" t="s">
        <v>144</v>
      </c>
    </row>
    <row r="3954" spans="1:8" x14ac:dyDescent="0.25">
      <c r="A3954" s="1">
        <v>2016</v>
      </c>
      <c r="B3954" s="1">
        <v>302</v>
      </c>
      <c r="C3954" s="15">
        <v>42671</v>
      </c>
      <c r="D3954" s="16" t="e">
        <v>#N/A</v>
      </c>
      <c r="E3954" s="1">
        <v>130</v>
      </c>
      <c r="F3954" s="1">
        <v>13</v>
      </c>
      <c r="G3954" s="1" t="e">
        <v>#N/A</v>
      </c>
      <c r="H3954" s="1" t="s">
        <v>144</v>
      </c>
    </row>
    <row r="3955" spans="1:8" x14ac:dyDescent="0.25">
      <c r="A3955" s="1">
        <v>2016</v>
      </c>
      <c r="B3955" s="1">
        <v>302</v>
      </c>
      <c r="C3955" s="15">
        <v>42671</v>
      </c>
      <c r="D3955" s="16" t="e">
        <v>#N/A</v>
      </c>
      <c r="E3955" s="1">
        <v>130</v>
      </c>
      <c r="F3955" s="1">
        <v>14</v>
      </c>
      <c r="G3955" s="1" t="e">
        <v>#N/A</v>
      </c>
      <c r="H3955" s="1" t="s">
        <v>144</v>
      </c>
    </row>
    <row r="3956" spans="1:8" x14ac:dyDescent="0.25">
      <c r="A3956" s="1">
        <v>2016</v>
      </c>
      <c r="B3956" s="1">
        <v>302</v>
      </c>
      <c r="C3956" s="15">
        <v>42671</v>
      </c>
      <c r="D3956" s="16" t="e">
        <v>#N/A</v>
      </c>
      <c r="E3956" s="1">
        <v>130</v>
      </c>
      <c r="F3956" s="1">
        <v>15</v>
      </c>
      <c r="G3956" s="1" t="e">
        <v>#N/A</v>
      </c>
      <c r="H3956" s="1" t="s">
        <v>1</v>
      </c>
    </row>
    <row r="3957" spans="1:8" x14ac:dyDescent="0.25">
      <c r="A3957" s="1">
        <v>2016</v>
      </c>
      <c r="B3957" s="1">
        <v>302</v>
      </c>
      <c r="C3957" s="15">
        <v>42671</v>
      </c>
      <c r="D3957" s="16" t="e">
        <v>#N/A</v>
      </c>
      <c r="E3957" s="1">
        <v>130</v>
      </c>
      <c r="F3957" s="1">
        <v>16</v>
      </c>
      <c r="G3957" s="1" t="e">
        <v>#N/A</v>
      </c>
      <c r="H3957" s="1" t="s">
        <v>1</v>
      </c>
    </row>
    <row r="3958" spans="1:8" x14ac:dyDescent="0.25">
      <c r="A3958" s="1">
        <v>2016</v>
      </c>
      <c r="B3958" s="1">
        <v>302</v>
      </c>
      <c r="C3958" s="15">
        <v>42671</v>
      </c>
      <c r="D3958" s="16" t="e">
        <v>#N/A</v>
      </c>
      <c r="E3958" s="1">
        <v>130</v>
      </c>
      <c r="F3958" s="1">
        <v>17</v>
      </c>
      <c r="G3958" s="1" t="e">
        <v>#N/A</v>
      </c>
      <c r="H3958" s="1" t="s">
        <v>144</v>
      </c>
    </row>
    <row r="3959" spans="1:8" x14ac:dyDescent="0.25">
      <c r="A3959" s="1">
        <v>2016</v>
      </c>
      <c r="B3959" s="1">
        <v>302</v>
      </c>
      <c r="C3959" s="15">
        <v>42671</v>
      </c>
      <c r="D3959" s="16" t="e">
        <v>#N/A</v>
      </c>
      <c r="E3959" s="1">
        <v>130</v>
      </c>
      <c r="F3959" s="1">
        <v>18</v>
      </c>
      <c r="G3959" s="1" t="e">
        <v>#N/A</v>
      </c>
      <c r="H3959" s="1" t="s">
        <v>144</v>
      </c>
    </row>
    <row r="3960" spans="1:8" x14ac:dyDescent="0.25">
      <c r="A3960" s="1">
        <v>2016</v>
      </c>
      <c r="B3960" s="1">
        <v>302</v>
      </c>
      <c r="C3960" s="15">
        <v>42671</v>
      </c>
      <c r="D3960" s="16" t="e">
        <v>#N/A</v>
      </c>
      <c r="E3960" s="1">
        <v>130</v>
      </c>
      <c r="F3960" s="1">
        <v>19</v>
      </c>
      <c r="G3960" s="1" t="e">
        <v>#N/A</v>
      </c>
      <c r="H3960" s="1" t="s">
        <v>144</v>
      </c>
    </row>
    <row r="3961" spans="1:8" x14ac:dyDescent="0.25">
      <c r="A3961" s="1">
        <v>2016</v>
      </c>
      <c r="B3961" s="1">
        <v>302</v>
      </c>
      <c r="C3961" s="15">
        <v>42671</v>
      </c>
      <c r="D3961" s="16" t="e">
        <v>#N/A</v>
      </c>
      <c r="E3961" s="1">
        <v>130</v>
      </c>
      <c r="F3961" s="1">
        <v>20</v>
      </c>
      <c r="G3961" s="1" t="e">
        <v>#N/A</v>
      </c>
      <c r="H3961" s="1" t="s">
        <v>144</v>
      </c>
    </row>
    <row r="3962" spans="1:8" x14ac:dyDescent="0.25">
      <c r="A3962" s="1">
        <v>2016</v>
      </c>
      <c r="B3962" s="1">
        <v>302</v>
      </c>
      <c r="C3962" s="15">
        <v>42671</v>
      </c>
      <c r="D3962" s="16">
        <v>0.34791666666666665</v>
      </c>
      <c r="E3962" s="1">
        <v>110</v>
      </c>
      <c r="F3962" s="1">
        <v>1</v>
      </c>
      <c r="G3962" s="1">
        <v>0.31834071474748377</v>
      </c>
      <c r="H3962" s="1" t="s">
        <v>143</v>
      </c>
    </row>
    <row r="3963" spans="1:8" x14ac:dyDescent="0.25">
      <c r="A3963" s="1">
        <v>2016</v>
      </c>
      <c r="B3963" s="1">
        <v>302</v>
      </c>
      <c r="C3963" s="15">
        <v>42671</v>
      </c>
      <c r="D3963" s="16">
        <v>0.35694444444444445</v>
      </c>
      <c r="E3963" s="1">
        <v>110</v>
      </c>
      <c r="F3963" s="1">
        <v>2</v>
      </c>
      <c r="G3963" s="1">
        <v>0.31476857956686022</v>
      </c>
      <c r="H3963" s="1" t="s">
        <v>143</v>
      </c>
    </row>
    <row r="3964" spans="1:8" x14ac:dyDescent="0.25">
      <c r="A3964" s="1">
        <v>2016</v>
      </c>
      <c r="B3964" s="1">
        <v>302</v>
      </c>
      <c r="C3964" s="15">
        <v>42671</v>
      </c>
      <c r="D3964" s="16">
        <v>0.36319444444444443</v>
      </c>
      <c r="E3964" s="1">
        <v>110</v>
      </c>
      <c r="F3964" s="1">
        <v>3</v>
      </c>
      <c r="G3964" s="1">
        <v>0.31263903743995008</v>
      </c>
      <c r="H3964" s="1" t="s">
        <v>143</v>
      </c>
    </row>
    <row r="3965" spans="1:8" x14ac:dyDescent="0.25">
      <c r="A3965" s="1">
        <v>2016</v>
      </c>
      <c r="B3965" s="1">
        <v>302</v>
      </c>
      <c r="C3965" s="15">
        <v>42671</v>
      </c>
      <c r="D3965" s="16">
        <v>0.36944444444444446</v>
      </c>
      <c r="E3965" s="1">
        <v>110</v>
      </c>
      <c r="F3965" s="1">
        <v>4</v>
      </c>
      <c r="G3965" s="1">
        <v>0.30810517355685102</v>
      </c>
      <c r="H3965" s="1" t="s">
        <v>143</v>
      </c>
    </row>
    <row r="3966" spans="1:8" x14ac:dyDescent="0.25">
      <c r="A3966" s="1">
        <v>2016</v>
      </c>
      <c r="B3966" s="1">
        <v>302</v>
      </c>
      <c r="C3966" s="15">
        <v>42671</v>
      </c>
      <c r="D3966" s="16">
        <v>0.37638888888888888</v>
      </c>
      <c r="E3966" s="1">
        <v>110</v>
      </c>
      <c r="F3966" s="1">
        <v>5</v>
      </c>
      <c r="G3966" s="1">
        <v>0.32786640856247984</v>
      </c>
      <c r="H3966" s="1" t="s">
        <v>0</v>
      </c>
    </row>
    <row r="3967" spans="1:8" x14ac:dyDescent="0.25">
      <c r="A3967" s="1">
        <v>2016</v>
      </c>
      <c r="B3967" s="1">
        <v>302</v>
      </c>
      <c r="C3967" s="15">
        <v>42671</v>
      </c>
      <c r="D3967" s="16">
        <v>0.3756944444444445</v>
      </c>
      <c r="E3967" s="1">
        <v>110</v>
      </c>
      <c r="F3967" s="1">
        <v>6</v>
      </c>
      <c r="G3967" s="1">
        <v>0.3122039696935921</v>
      </c>
      <c r="H3967" s="1" t="s">
        <v>0</v>
      </c>
    </row>
    <row r="3968" spans="1:8" x14ac:dyDescent="0.25">
      <c r="A3968" s="1">
        <v>2016</v>
      </c>
      <c r="B3968" s="1">
        <v>302</v>
      </c>
      <c r="C3968" s="15">
        <v>42671</v>
      </c>
      <c r="D3968" s="16">
        <v>0.38680555555555557</v>
      </c>
      <c r="E3968" s="1">
        <v>110</v>
      </c>
      <c r="F3968" s="1">
        <v>7</v>
      </c>
      <c r="G3968" s="1">
        <v>0.31916505363531994</v>
      </c>
      <c r="H3968" s="1" t="s">
        <v>143</v>
      </c>
    </row>
    <row r="3969" spans="1:8" x14ac:dyDescent="0.25">
      <c r="A3969" s="1">
        <v>2016</v>
      </c>
      <c r="B3969" s="1">
        <v>302</v>
      </c>
      <c r="C3969" s="15">
        <v>42671</v>
      </c>
      <c r="D3969" s="16">
        <v>0.4055555555555555</v>
      </c>
      <c r="E3969" s="1">
        <v>110</v>
      </c>
      <c r="F3969" s="1">
        <v>8</v>
      </c>
      <c r="G3969" s="1">
        <v>0.32344703619158022</v>
      </c>
      <c r="H3969" s="1" t="s">
        <v>143</v>
      </c>
    </row>
    <row r="3970" spans="1:8" x14ac:dyDescent="0.25">
      <c r="A3970" s="1">
        <v>2016</v>
      </c>
      <c r="B3970" s="1">
        <v>302</v>
      </c>
      <c r="C3970" s="15">
        <v>42671</v>
      </c>
      <c r="D3970" s="16">
        <v>0.39930555555555558</v>
      </c>
      <c r="E3970" s="1">
        <v>110</v>
      </c>
      <c r="F3970" s="1">
        <v>9</v>
      </c>
      <c r="G3970" s="1">
        <v>0.31859259607432261</v>
      </c>
      <c r="H3970" s="1" t="s">
        <v>143</v>
      </c>
    </row>
    <row r="3971" spans="1:8" x14ac:dyDescent="0.25">
      <c r="A3971" s="1">
        <v>2016</v>
      </c>
      <c r="B3971" s="1">
        <v>302</v>
      </c>
      <c r="C3971" s="15">
        <v>42671</v>
      </c>
      <c r="D3971" s="16">
        <v>0.39305555555555555</v>
      </c>
      <c r="E3971" s="1">
        <v>110</v>
      </c>
      <c r="F3971" s="1">
        <v>10</v>
      </c>
      <c r="G3971" s="1">
        <v>0.31605088450349433</v>
      </c>
      <c r="H3971" s="1" t="s">
        <v>143</v>
      </c>
    </row>
    <row r="3972" spans="1:8" x14ac:dyDescent="0.25">
      <c r="A3972" s="1">
        <v>2016</v>
      </c>
      <c r="B3972" s="1">
        <v>302</v>
      </c>
      <c r="C3972" s="15">
        <v>42671</v>
      </c>
      <c r="D3972" s="16" t="e">
        <v>#N/A</v>
      </c>
      <c r="E3972" s="1">
        <v>110</v>
      </c>
      <c r="F3972" s="1">
        <v>11</v>
      </c>
      <c r="G3972" s="1" t="e">
        <v>#N/A</v>
      </c>
      <c r="H3972" s="1" t="s">
        <v>144</v>
      </c>
    </row>
    <row r="3973" spans="1:8" x14ac:dyDescent="0.25">
      <c r="A3973" s="1">
        <v>2016</v>
      </c>
      <c r="B3973" s="1">
        <v>302</v>
      </c>
      <c r="C3973" s="15">
        <v>42671</v>
      </c>
      <c r="D3973" s="16" t="e">
        <v>#N/A</v>
      </c>
      <c r="E3973" s="1">
        <v>110</v>
      </c>
      <c r="F3973" s="1">
        <v>12</v>
      </c>
      <c r="G3973" s="1" t="e">
        <v>#N/A</v>
      </c>
      <c r="H3973" s="1" t="s">
        <v>144</v>
      </c>
    </row>
    <row r="3974" spans="1:8" x14ac:dyDescent="0.25">
      <c r="A3974" s="1">
        <v>2016</v>
      </c>
      <c r="B3974" s="1">
        <v>302</v>
      </c>
      <c r="C3974" s="15">
        <v>42671</v>
      </c>
      <c r="D3974" s="16" t="e">
        <v>#N/A</v>
      </c>
      <c r="E3974" s="1">
        <v>110</v>
      </c>
      <c r="F3974" s="1">
        <v>13</v>
      </c>
      <c r="G3974" s="1" t="e">
        <v>#N/A</v>
      </c>
      <c r="H3974" s="1" t="s">
        <v>144</v>
      </c>
    </row>
    <row r="3975" spans="1:8" x14ac:dyDescent="0.25">
      <c r="A3975" s="1">
        <v>2016</v>
      </c>
      <c r="B3975" s="1">
        <v>302</v>
      </c>
      <c r="C3975" s="15">
        <v>42671</v>
      </c>
      <c r="D3975" s="16" t="e">
        <v>#N/A</v>
      </c>
      <c r="E3975" s="1">
        <v>110</v>
      </c>
      <c r="F3975" s="1">
        <v>14</v>
      </c>
      <c r="G3975" s="1" t="e">
        <v>#N/A</v>
      </c>
      <c r="H3975" s="1" t="s">
        <v>144</v>
      </c>
    </row>
    <row r="3976" spans="1:8" x14ac:dyDescent="0.25">
      <c r="A3976" s="1">
        <v>2016</v>
      </c>
      <c r="B3976" s="1">
        <v>302</v>
      </c>
      <c r="C3976" s="15">
        <v>42671</v>
      </c>
      <c r="D3976" s="16" t="e">
        <v>#N/A</v>
      </c>
      <c r="E3976" s="1">
        <v>110</v>
      </c>
      <c r="F3976" s="1">
        <v>15</v>
      </c>
      <c r="G3976" s="1" t="e">
        <v>#N/A</v>
      </c>
      <c r="H3976" s="1" t="s">
        <v>1</v>
      </c>
    </row>
    <row r="3977" spans="1:8" x14ac:dyDescent="0.25">
      <c r="A3977" s="1">
        <v>2016</v>
      </c>
      <c r="B3977" s="1">
        <v>302</v>
      </c>
      <c r="C3977" s="15">
        <v>42671</v>
      </c>
      <c r="D3977" s="16" t="e">
        <v>#N/A</v>
      </c>
      <c r="E3977" s="1">
        <v>110</v>
      </c>
      <c r="F3977" s="1">
        <v>16</v>
      </c>
      <c r="G3977" s="1" t="e">
        <v>#N/A</v>
      </c>
      <c r="H3977" s="1" t="s">
        <v>1</v>
      </c>
    </row>
    <row r="3978" spans="1:8" x14ac:dyDescent="0.25">
      <c r="A3978" s="1">
        <v>2016</v>
      </c>
      <c r="B3978" s="1">
        <v>302</v>
      </c>
      <c r="C3978" s="15">
        <v>42671</v>
      </c>
      <c r="D3978" s="16" t="e">
        <v>#N/A</v>
      </c>
      <c r="E3978" s="1">
        <v>110</v>
      </c>
      <c r="F3978" s="1">
        <v>17</v>
      </c>
      <c r="G3978" s="1" t="e">
        <v>#N/A</v>
      </c>
      <c r="H3978" s="1" t="s">
        <v>144</v>
      </c>
    </row>
    <row r="3979" spans="1:8" x14ac:dyDescent="0.25">
      <c r="A3979" s="1">
        <v>2016</v>
      </c>
      <c r="B3979" s="1">
        <v>302</v>
      </c>
      <c r="C3979" s="15">
        <v>42671</v>
      </c>
      <c r="D3979" s="16" t="e">
        <v>#N/A</v>
      </c>
      <c r="E3979" s="1">
        <v>110</v>
      </c>
      <c r="F3979" s="1">
        <v>18</v>
      </c>
      <c r="G3979" s="1" t="e">
        <v>#N/A</v>
      </c>
      <c r="H3979" s="1" t="s">
        <v>144</v>
      </c>
    </row>
    <row r="3980" spans="1:8" x14ac:dyDescent="0.25">
      <c r="A3980" s="1">
        <v>2016</v>
      </c>
      <c r="B3980" s="1">
        <v>302</v>
      </c>
      <c r="C3980" s="15">
        <v>42671</v>
      </c>
      <c r="D3980" s="16" t="e">
        <v>#N/A</v>
      </c>
      <c r="E3980" s="1">
        <v>110</v>
      </c>
      <c r="F3980" s="1">
        <v>19</v>
      </c>
      <c r="G3980" s="1" t="e">
        <v>#N/A</v>
      </c>
      <c r="H3980" s="1" t="s">
        <v>144</v>
      </c>
    </row>
    <row r="3981" spans="1:8" x14ac:dyDescent="0.25">
      <c r="A3981" s="1">
        <v>2016</v>
      </c>
      <c r="B3981" s="1">
        <v>302</v>
      </c>
      <c r="C3981" s="15">
        <v>42671</v>
      </c>
      <c r="D3981" s="16" t="e">
        <v>#N/A</v>
      </c>
      <c r="E3981" s="1">
        <v>110</v>
      </c>
      <c r="F3981" s="1">
        <v>20</v>
      </c>
      <c r="G3981" s="1" t="e">
        <v>#N/A</v>
      </c>
      <c r="H3981" s="1" t="s">
        <v>144</v>
      </c>
    </row>
    <row r="3982" spans="1:8" x14ac:dyDescent="0.25">
      <c r="A3982" s="1">
        <v>2016</v>
      </c>
      <c r="B3982" s="1">
        <v>302</v>
      </c>
      <c r="C3982" s="15">
        <v>42671</v>
      </c>
      <c r="D3982" s="16">
        <v>0.34791666666666665</v>
      </c>
      <c r="E3982" s="1">
        <v>90</v>
      </c>
      <c r="F3982" s="1">
        <v>1</v>
      </c>
      <c r="G3982" s="1">
        <v>0.30153336075660131</v>
      </c>
      <c r="H3982" s="1" t="s">
        <v>143</v>
      </c>
    </row>
    <row r="3983" spans="1:8" x14ac:dyDescent="0.25">
      <c r="A3983" s="1">
        <v>2016</v>
      </c>
      <c r="B3983" s="1">
        <v>302</v>
      </c>
      <c r="C3983" s="15">
        <v>42671</v>
      </c>
      <c r="D3983" s="16">
        <v>0.35694444444444445</v>
      </c>
      <c r="E3983" s="1">
        <v>90</v>
      </c>
      <c r="F3983" s="1">
        <v>2</v>
      </c>
      <c r="G3983" s="1">
        <v>0.3068915635275366</v>
      </c>
      <c r="H3983" s="1" t="s">
        <v>143</v>
      </c>
    </row>
    <row r="3984" spans="1:8" x14ac:dyDescent="0.25">
      <c r="A3984" s="1">
        <v>2016</v>
      </c>
      <c r="B3984" s="1">
        <v>302</v>
      </c>
      <c r="C3984" s="15">
        <v>42671</v>
      </c>
      <c r="D3984" s="16">
        <v>0.36319444444444443</v>
      </c>
      <c r="E3984" s="1">
        <v>90</v>
      </c>
      <c r="F3984" s="1">
        <v>3</v>
      </c>
      <c r="G3984" s="1">
        <v>0.30897530904956699</v>
      </c>
      <c r="H3984" s="1" t="s">
        <v>143</v>
      </c>
    </row>
    <row r="3985" spans="1:8" x14ac:dyDescent="0.25">
      <c r="A3985" s="1">
        <v>2016</v>
      </c>
      <c r="B3985" s="1">
        <v>302</v>
      </c>
      <c r="C3985" s="15">
        <v>42671</v>
      </c>
      <c r="D3985" s="16">
        <v>0.36944444444444446</v>
      </c>
      <c r="E3985" s="1">
        <v>90</v>
      </c>
      <c r="F3985" s="1">
        <v>4</v>
      </c>
      <c r="G3985" s="1">
        <v>0.29500734456123145</v>
      </c>
      <c r="H3985" s="1" t="s">
        <v>143</v>
      </c>
    </row>
    <row r="3986" spans="1:8" x14ac:dyDescent="0.25">
      <c r="A3986" s="1">
        <v>2016</v>
      </c>
      <c r="B3986" s="1">
        <v>302</v>
      </c>
      <c r="C3986" s="15">
        <v>42671</v>
      </c>
      <c r="D3986" s="16">
        <v>0.37638888888888888</v>
      </c>
      <c r="E3986" s="1">
        <v>90</v>
      </c>
      <c r="F3986" s="1">
        <v>5</v>
      </c>
      <c r="G3986" s="1">
        <v>0.3238134090306185</v>
      </c>
      <c r="H3986" s="1" t="s">
        <v>0</v>
      </c>
    </row>
    <row r="3987" spans="1:8" x14ac:dyDescent="0.25">
      <c r="A3987" s="1">
        <v>2016</v>
      </c>
      <c r="B3987" s="1">
        <v>302</v>
      </c>
      <c r="C3987" s="15">
        <v>42671</v>
      </c>
      <c r="D3987" s="16">
        <v>0.3756944444444445</v>
      </c>
      <c r="E3987" s="1">
        <v>90</v>
      </c>
      <c r="F3987" s="1">
        <v>6</v>
      </c>
      <c r="G3987" s="1">
        <v>0.31073847833743884</v>
      </c>
      <c r="H3987" s="1" t="s">
        <v>0</v>
      </c>
    </row>
    <row r="3988" spans="1:8" x14ac:dyDescent="0.25">
      <c r="A3988" s="1">
        <v>2016</v>
      </c>
      <c r="B3988" s="1">
        <v>302</v>
      </c>
      <c r="C3988" s="15">
        <v>42671</v>
      </c>
      <c r="D3988" s="16">
        <v>0.38680555555555557</v>
      </c>
      <c r="E3988" s="1">
        <v>90</v>
      </c>
      <c r="F3988" s="1">
        <v>7</v>
      </c>
      <c r="G3988" s="1">
        <v>0.30647939408361852</v>
      </c>
      <c r="H3988" s="1" t="s">
        <v>143</v>
      </c>
    </row>
    <row r="3989" spans="1:8" x14ac:dyDescent="0.25">
      <c r="A3989" s="1">
        <v>2016</v>
      </c>
      <c r="B3989" s="1">
        <v>302</v>
      </c>
      <c r="C3989" s="15">
        <v>42671</v>
      </c>
      <c r="D3989" s="16">
        <v>0.4055555555555555</v>
      </c>
      <c r="E3989" s="1">
        <v>90</v>
      </c>
      <c r="F3989" s="1">
        <v>8</v>
      </c>
      <c r="G3989" s="1">
        <v>0.30299885211275457</v>
      </c>
      <c r="H3989" s="1" t="s">
        <v>143</v>
      </c>
    </row>
    <row r="3990" spans="1:8" x14ac:dyDescent="0.25">
      <c r="A3990" s="1">
        <v>2016</v>
      </c>
      <c r="B3990" s="1">
        <v>302</v>
      </c>
      <c r="C3990" s="15">
        <v>42671</v>
      </c>
      <c r="D3990" s="16">
        <v>0.39930555555555558</v>
      </c>
      <c r="E3990" s="1">
        <v>90</v>
      </c>
      <c r="F3990" s="1">
        <v>9</v>
      </c>
      <c r="G3990" s="1">
        <v>0.30629620766409937</v>
      </c>
      <c r="H3990" s="1" t="s">
        <v>143</v>
      </c>
    </row>
    <row r="3991" spans="1:8" x14ac:dyDescent="0.25">
      <c r="A3991" s="1">
        <v>2016</v>
      </c>
      <c r="B3991" s="1">
        <v>302</v>
      </c>
      <c r="C3991" s="15">
        <v>42671</v>
      </c>
      <c r="D3991" s="16">
        <v>0.39305555555555555</v>
      </c>
      <c r="E3991" s="1">
        <v>90</v>
      </c>
      <c r="F3991" s="1">
        <v>10</v>
      </c>
      <c r="G3991" s="1">
        <v>0.30451014007378757</v>
      </c>
      <c r="H3991" s="1" t="s">
        <v>143</v>
      </c>
    </row>
    <row r="3992" spans="1:8" x14ac:dyDescent="0.25">
      <c r="A3992" s="1">
        <v>2016</v>
      </c>
      <c r="B3992" s="1">
        <v>302</v>
      </c>
      <c r="C3992" s="15">
        <v>42671</v>
      </c>
      <c r="D3992" s="16" t="e">
        <v>#N/A</v>
      </c>
      <c r="E3992" s="1">
        <v>90</v>
      </c>
      <c r="F3992" s="1">
        <v>11</v>
      </c>
      <c r="G3992" s="1" t="e">
        <v>#N/A</v>
      </c>
      <c r="H3992" s="1" t="s">
        <v>144</v>
      </c>
    </row>
    <row r="3993" spans="1:8" x14ac:dyDescent="0.25">
      <c r="A3993" s="1">
        <v>2016</v>
      </c>
      <c r="B3993" s="1">
        <v>302</v>
      </c>
      <c r="C3993" s="15">
        <v>42671</v>
      </c>
      <c r="D3993" s="16" t="e">
        <v>#N/A</v>
      </c>
      <c r="E3993" s="1">
        <v>90</v>
      </c>
      <c r="F3993" s="1">
        <v>12</v>
      </c>
      <c r="G3993" s="1" t="e">
        <v>#N/A</v>
      </c>
      <c r="H3993" s="1" t="s">
        <v>144</v>
      </c>
    </row>
    <row r="3994" spans="1:8" x14ac:dyDescent="0.25">
      <c r="A3994" s="1">
        <v>2016</v>
      </c>
      <c r="B3994" s="1">
        <v>302</v>
      </c>
      <c r="C3994" s="15">
        <v>42671</v>
      </c>
      <c r="D3994" s="16" t="e">
        <v>#N/A</v>
      </c>
      <c r="E3994" s="1">
        <v>90</v>
      </c>
      <c r="F3994" s="1">
        <v>13</v>
      </c>
      <c r="G3994" s="1" t="e">
        <v>#N/A</v>
      </c>
      <c r="H3994" s="1" t="s">
        <v>144</v>
      </c>
    </row>
    <row r="3995" spans="1:8" x14ac:dyDescent="0.25">
      <c r="A3995" s="1">
        <v>2016</v>
      </c>
      <c r="B3995" s="1">
        <v>302</v>
      </c>
      <c r="C3995" s="15">
        <v>42671</v>
      </c>
      <c r="D3995" s="16" t="e">
        <v>#N/A</v>
      </c>
      <c r="E3995" s="1">
        <v>90</v>
      </c>
      <c r="F3995" s="1">
        <v>14</v>
      </c>
      <c r="G3995" s="1" t="e">
        <v>#N/A</v>
      </c>
      <c r="H3995" s="1" t="s">
        <v>144</v>
      </c>
    </row>
    <row r="3996" spans="1:8" x14ac:dyDescent="0.25">
      <c r="A3996" s="1">
        <v>2016</v>
      </c>
      <c r="B3996" s="1">
        <v>302</v>
      </c>
      <c r="C3996" s="15">
        <v>42671</v>
      </c>
      <c r="D3996" s="16" t="e">
        <v>#N/A</v>
      </c>
      <c r="E3996" s="1">
        <v>90</v>
      </c>
      <c r="F3996" s="1">
        <v>15</v>
      </c>
      <c r="G3996" s="1" t="e">
        <v>#N/A</v>
      </c>
      <c r="H3996" s="1" t="s">
        <v>1</v>
      </c>
    </row>
    <row r="3997" spans="1:8" x14ac:dyDescent="0.25">
      <c r="A3997" s="1">
        <v>2016</v>
      </c>
      <c r="B3997" s="1">
        <v>302</v>
      </c>
      <c r="C3997" s="15">
        <v>42671</v>
      </c>
      <c r="D3997" s="16" t="e">
        <v>#N/A</v>
      </c>
      <c r="E3997" s="1">
        <v>90</v>
      </c>
      <c r="F3997" s="1">
        <v>16</v>
      </c>
      <c r="G3997" s="1" t="e">
        <v>#N/A</v>
      </c>
      <c r="H3997" s="1" t="s">
        <v>1</v>
      </c>
    </row>
    <row r="3998" spans="1:8" x14ac:dyDescent="0.25">
      <c r="A3998" s="1">
        <v>2016</v>
      </c>
      <c r="B3998" s="1">
        <v>302</v>
      </c>
      <c r="C3998" s="15">
        <v>42671</v>
      </c>
      <c r="D3998" s="16" t="e">
        <v>#N/A</v>
      </c>
      <c r="E3998" s="1">
        <v>90</v>
      </c>
      <c r="F3998" s="1">
        <v>17</v>
      </c>
      <c r="G3998" s="1" t="e">
        <v>#N/A</v>
      </c>
      <c r="H3998" s="1" t="s">
        <v>144</v>
      </c>
    </row>
    <row r="3999" spans="1:8" x14ac:dyDescent="0.25">
      <c r="A3999" s="1">
        <v>2016</v>
      </c>
      <c r="B3999" s="1">
        <v>302</v>
      </c>
      <c r="C3999" s="15">
        <v>42671</v>
      </c>
      <c r="D3999" s="16" t="e">
        <v>#N/A</v>
      </c>
      <c r="E3999" s="1">
        <v>90</v>
      </c>
      <c r="F3999" s="1">
        <v>18</v>
      </c>
      <c r="G3999" s="1" t="e">
        <v>#N/A</v>
      </c>
      <c r="H3999" s="1" t="s">
        <v>144</v>
      </c>
    </row>
    <row r="4000" spans="1:8" x14ac:dyDescent="0.25">
      <c r="A4000" s="1">
        <v>2016</v>
      </c>
      <c r="B4000" s="1">
        <v>302</v>
      </c>
      <c r="C4000" s="15">
        <v>42671</v>
      </c>
      <c r="D4000" s="16" t="e">
        <v>#N/A</v>
      </c>
      <c r="E4000" s="1">
        <v>90</v>
      </c>
      <c r="F4000" s="1">
        <v>19</v>
      </c>
      <c r="G4000" s="1" t="e">
        <v>#N/A</v>
      </c>
      <c r="H4000" s="1" t="s">
        <v>144</v>
      </c>
    </row>
    <row r="4001" spans="1:8" x14ac:dyDescent="0.25">
      <c r="A4001" s="1">
        <v>2016</v>
      </c>
      <c r="B4001" s="1">
        <v>302</v>
      </c>
      <c r="C4001" s="15">
        <v>42671</v>
      </c>
      <c r="D4001" s="16" t="e">
        <v>#N/A</v>
      </c>
      <c r="E4001" s="1">
        <v>90</v>
      </c>
      <c r="F4001" s="1">
        <v>20</v>
      </c>
      <c r="G4001" s="1" t="e">
        <v>#N/A</v>
      </c>
      <c r="H4001" s="1" t="s">
        <v>144</v>
      </c>
    </row>
    <row r="4002" spans="1:8" x14ac:dyDescent="0.25">
      <c r="A4002" s="1">
        <v>2016</v>
      </c>
      <c r="B4002" s="1">
        <v>302</v>
      </c>
      <c r="C4002" s="15">
        <v>42671</v>
      </c>
      <c r="D4002" s="16">
        <v>0.34791666666666665</v>
      </c>
      <c r="E4002" s="1">
        <v>70</v>
      </c>
      <c r="F4002" s="1">
        <v>1</v>
      </c>
      <c r="G4002" s="1">
        <v>0.31431061351806239</v>
      </c>
      <c r="H4002" s="1" t="s">
        <v>143</v>
      </c>
    </row>
    <row r="4003" spans="1:8" x14ac:dyDescent="0.25">
      <c r="A4003" s="1">
        <v>2016</v>
      </c>
      <c r="B4003" s="1">
        <v>302</v>
      </c>
      <c r="C4003" s="15">
        <v>42671</v>
      </c>
      <c r="D4003" s="16">
        <v>0.35694444444444445</v>
      </c>
      <c r="E4003" s="1">
        <v>70</v>
      </c>
      <c r="F4003" s="1">
        <v>2</v>
      </c>
      <c r="G4003" s="1">
        <v>0.3223479176744653</v>
      </c>
      <c r="H4003" s="1" t="s">
        <v>143</v>
      </c>
    </row>
    <row r="4004" spans="1:8" x14ac:dyDescent="0.25">
      <c r="A4004" s="1">
        <v>2016</v>
      </c>
      <c r="B4004" s="1">
        <v>302</v>
      </c>
      <c r="C4004" s="15">
        <v>42671</v>
      </c>
      <c r="D4004" s="16">
        <v>0.36319444444444443</v>
      </c>
      <c r="E4004" s="1">
        <v>70</v>
      </c>
      <c r="F4004" s="1">
        <v>3</v>
      </c>
      <c r="G4004" s="1">
        <v>0.3207221382012328</v>
      </c>
      <c r="H4004" s="1" t="s">
        <v>143</v>
      </c>
    </row>
    <row r="4005" spans="1:8" x14ac:dyDescent="0.25">
      <c r="A4005" s="1">
        <v>2016</v>
      </c>
      <c r="B4005" s="1">
        <v>302</v>
      </c>
      <c r="C4005" s="15">
        <v>42671</v>
      </c>
      <c r="D4005" s="16">
        <v>0.36944444444444446</v>
      </c>
      <c r="E4005" s="1">
        <v>70</v>
      </c>
      <c r="F4005" s="1">
        <v>4</v>
      </c>
      <c r="G4005" s="1">
        <v>0.31073847833743884</v>
      </c>
      <c r="H4005" s="1" t="s">
        <v>143</v>
      </c>
    </row>
    <row r="4006" spans="1:8" x14ac:dyDescent="0.25">
      <c r="A4006" s="1">
        <v>2016</v>
      </c>
      <c r="B4006" s="1">
        <v>302</v>
      </c>
      <c r="C4006" s="15">
        <v>42671</v>
      </c>
      <c r="D4006" s="16">
        <v>0.37638888888888888</v>
      </c>
      <c r="E4006" s="1">
        <v>70</v>
      </c>
      <c r="F4006" s="1">
        <v>5</v>
      </c>
      <c r="G4006" s="1">
        <v>0.32504991736237282</v>
      </c>
      <c r="H4006" s="1" t="s">
        <v>0</v>
      </c>
    </row>
    <row r="4007" spans="1:8" x14ac:dyDescent="0.25">
      <c r="A4007" s="1">
        <v>2016</v>
      </c>
      <c r="B4007" s="1">
        <v>302</v>
      </c>
      <c r="C4007" s="15">
        <v>42671</v>
      </c>
      <c r="D4007" s="16">
        <v>0.3756944444444445</v>
      </c>
      <c r="E4007" s="1">
        <v>70</v>
      </c>
      <c r="F4007" s="1">
        <v>6</v>
      </c>
      <c r="G4007" s="1">
        <v>0.31987490101095667</v>
      </c>
      <c r="H4007" s="1" t="s">
        <v>0</v>
      </c>
    </row>
    <row r="4008" spans="1:8" x14ac:dyDescent="0.25">
      <c r="A4008" s="1">
        <v>2016</v>
      </c>
      <c r="B4008" s="1">
        <v>302</v>
      </c>
      <c r="C4008" s="15">
        <v>42671</v>
      </c>
      <c r="D4008" s="16">
        <v>0.38680555555555557</v>
      </c>
      <c r="E4008" s="1">
        <v>70</v>
      </c>
      <c r="F4008" s="1">
        <v>7</v>
      </c>
      <c r="G4008" s="1">
        <v>0.32319515486474137</v>
      </c>
      <c r="H4008" s="1" t="s">
        <v>143</v>
      </c>
    </row>
    <row r="4009" spans="1:8" x14ac:dyDescent="0.25">
      <c r="A4009" s="1">
        <v>2016</v>
      </c>
      <c r="B4009" s="1">
        <v>302</v>
      </c>
      <c r="C4009" s="15">
        <v>42671</v>
      </c>
      <c r="D4009" s="16">
        <v>0.4055555555555555</v>
      </c>
      <c r="E4009" s="1">
        <v>70</v>
      </c>
      <c r="F4009" s="1">
        <v>8</v>
      </c>
      <c r="G4009" s="1">
        <v>0.31447090163514163</v>
      </c>
      <c r="H4009" s="1" t="s">
        <v>143</v>
      </c>
    </row>
    <row r="4010" spans="1:8" x14ac:dyDescent="0.25">
      <c r="A4010" s="1">
        <v>2016</v>
      </c>
      <c r="B4010" s="1">
        <v>302</v>
      </c>
      <c r="C4010" s="15">
        <v>42671</v>
      </c>
      <c r="D4010" s="16">
        <v>0.39930555555555558</v>
      </c>
      <c r="E4010" s="1">
        <v>70</v>
      </c>
      <c r="F4010" s="1">
        <v>9</v>
      </c>
      <c r="G4010" s="1">
        <v>0.31687522339133056</v>
      </c>
      <c r="H4010" s="1" t="s">
        <v>143</v>
      </c>
    </row>
    <row r="4011" spans="1:8" x14ac:dyDescent="0.25">
      <c r="A4011" s="1">
        <v>2016</v>
      </c>
      <c r="B4011" s="1">
        <v>302</v>
      </c>
      <c r="C4011" s="15">
        <v>42671</v>
      </c>
      <c r="D4011" s="16">
        <v>0.39305555555555555</v>
      </c>
      <c r="E4011" s="1">
        <v>70</v>
      </c>
      <c r="F4011" s="1">
        <v>10</v>
      </c>
      <c r="G4011" s="1">
        <v>0.31563871505957625</v>
      </c>
      <c r="H4011" s="1" t="s">
        <v>143</v>
      </c>
    </row>
    <row r="4012" spans="1:8" x14ac:dyDescent="0.25">
      <c r="A4012" s="1">
        <v>2016</v>
      </c>
      <c r="B4012" s="1">
        <v>302</v>
      </c>
      <c r="C4012" s="15">
        <v>42671</v>
      </c>
      <c r="D4012" s="16" t="e">
        <v>#N/A</v>
      </c>
      <c r="E4012" s="1">
        <v>70</v>
      </c>
      <c r="F4012" s="1">
        <v>11</v>
      </c>
      <c r="G4012" s="1" t="e">
        <v>#N/A</v>
      </c>
      <c r="H4012" s="1" t="s">
        <v>144</v>
      </c>
    </row>
    <row r="4013" spans="1:8" x14ac:dyDescent="0.25">
      <c r="A4013" s="1">
        <v>2016</v>
      </c>
      <c r="B4013" s="1">
        <v>302</v>
      </c>
      <c r="C4013" s="15">
        <v>42671</v>
      </c>
      <c r="D4013" s="16" t="e">
        <v>#N/A</v>
      </c>
      <c r="E4013" s="1">
        <v>70</v>
      </c>
      <c r="F4013" s="1">
        <v>12</v>
      </c>
      <c r="G4013" s="1" t="e">
        <v>#N/A</v>
      </c>
      <c r="H4013" s="1" t="s">
        <v>144</v>
      </c>
    </row>
    <row r="4014" spans="1:8" x14ac:dyDescent="0.25">
      <c r="A4014" s="1">
        <v>2016</v>
      </c>
      <c r="B4014" s="1">
        <v>302</v>
      </c>
      <c r="C4014" s="15">
        <v>42671</v>
      </c>
      <c r="D4014" s="16" t="e">
        <v>#N/A</v>
      </c>
      <c r="E4014" s="1">
        <v>70</v>
      </c>
      <c r="F4014" s="1">
        <v>13</v>
      </c>
      <c r="G4014" s="1" t="e">
        <v>#N/A</v>
      </c>
      <c r="H4014" s="1" t="s">
        <v>144</v>
      </c>
    </row>
    <row r="4015" spans="1:8" x14ac:dyDescent="0.25">
      <c r="A4015" s="1">
        <v>2016</v>
      </c>
      <c r="B4015" s="1">
        <v>302</v>
      </c>
      <c r="C4015" s="15">
        <v>42671</v>
      </c>
      <c r="D4015" s="16" t="e">
        <v>#N/A</v>
      </c>
      <c r="E4015" s="1">
        <v>70</v>
      </c>
      <c r="F4015" s="1">
        <v>14</v>
      </c>
      <c r="G4015" s="1" t="e">
        <v>#N/A</v>
      </c>
      <c r="H4015" s="1" t="s">
        <v>144</v>
      </c>
    </row>
    <row r="4016" spans="1:8" x14ac:dyDescent="0.25">
      <c r="A4016" s="1">
        <v>2016</v>
      </c>
      <c r="B4016" s="1">
        <v>302</v>
      </c>
      <c r="C4016" s="15">
        <v>42671</v>
      </c>
      <c r="D4016" s="16" t="e">
        <v>#N/A</v>
      </c>
      <c r="E4016" s="1">
        <v>70</v>
      </c>
      <c r="F4016" s="1">
        <v>15</v>
      </c>
      <c r="G4016" s="1" t="e">
        <v>#N/A</v>
      </c>
      <c r="H4016" s="1" t="s">
        <v>1</v>
      </c>
    </row>
    <row r="4017" spans="1:8" x14ac:dyDescent="0.25">
      <c r="A4017" s="1">
        <v>2016</v>
      </c>
      <c r="B4017" s="1">
        <v>302</v>
      </c>
      <c r="C4017" s="15">
        <v>42671</v>
      </c>
      <c r="D4017" s="16" t="e">
        <v>#N/A</v>
      </c>
      <c r="E4017" s="1">
        <v>70</v>
      </c>
      <c r="F4017" s="1">
        <v>16</v>
      </c>
      <c r="G4017" s="1" t="e">
        <v>#N/A</v>
      </c>
      <c r="H4017" s="1" t="s">
        <v>1</v>
      </c>
    </row>
    <row r="4018" spans="1:8" x14ac:dyDescent="0.25">
      <c r="A4018" s="1">
        <v>2016</v>
      </c>
      <c r="B4018" s="1">
        <v>302</v>
      </c>
      <c r="C4018" s="15">
        <v>42671</v>
      </c>
      <c r="D4018" s="16" t="e">
        <v>#N/A</v>
      </c>
      <c r="E4018" s="1">
        <v>70</v>
      </c>
      <c r="F4018" s="1">
        <v>17</v>
      </c>
      <c r="G4018" s="1" t="e">
        <v>#N/A</v>
      </c>
      <c r="H4018" s="1" t="s">
        <v>144</v>
      </c>
    </row>
    <row r="4019" spans="1:8" x14ac:dyDescent="0.25">
      <c r="A4019" s="1">
        <v>2016</v>
      </c>
      <c r="B4019" s="1">
        <v>302</v>
      </c>
      <c r="C4019" s="15">
        <v>42671</v>
      </c>
      <c r="D4019" s="16" t="e">
        <v>#N/A</v>
      </c>
      <c r="E4019" s="1">
        <v>70</v>
      </c>
      <c r="F4019" s="1">
        <v>18</v>
      </c>
      <c r="G4019" s="1" t="e">
        <v>#N/A</v>
      </c>
      <c r="H4019" s="1" t="s">
        <v>144</v>
      </c>
    </row>
    <row r="4020" spans="1:8" x14ac:dyDescent="0.25">
      <c r="A4020" s="1">
        <v>2016</v>
      </c>
      <c r="B4020" s="1">
        <v>302</v>
      </c>
      <c r="C4020" s="15">
        <v>42671</v>
      </c>
      <c r="D4020" s="16" t="e">
        <v>#N/A</v>
      </c>
      <c r="E4020" s="1">
        <v>70</v>
      </c>
      <c r="F4020" s="1">
        <v>19</v>
      </c>
      <c r="G4020" s="1" t="e">
        <v>#N/A</v>
      </c>
      <c r="H4020" s="1" t="s">
        <v>144</v>
      </c>
    </row>
    <row r="4021" spans="1:8" x14ac:dyDescent="0.25">
      <c r="A4021" s="1">
        <v>2016</v>
      </c>
      <c r="B4021" s="1">
        <v>302</v>
      </c>
      <c r="C4021" s="15">
        <v>42671</v>
      </c>
      <c r="D4021" s="16" t="e">
        <v>#N/A</v>
      </c>
      <c r="E4021" s="1">
        <v>70</v>
      </c>
      <c r="F4021" s="1">
        <v>20</v>
      </c>
      <c r="G4021" s="1" t="e">
        <v>#N/A</v>
      </c>
      <c r="H4021" s="1" t="s">
        <v>144</v>
      </c>
    </row>
    <row r="4022" spans="1:8" x14ac:dyDescent="0.25">
      <c r="A4022" s="1">
        <v>2016</v>
      </c>
      <c r="B4022" s="1">
        <v>302</v>
      </c>
      <c r="C4022" s="15">
        <v>42671</v>
      </c>
      <c r="D4022" s="16">
        <v>0.34791666666666665</v>
      </c>
      <c r="E4022" s="1">
        <v>50</v>
      </c>
      <c r="F4022" s="1">
        <v>1</v>
      </c>
      <c r="G4022" s="1">
        <v>0.31671493527425126</v>
      </c>
      <c r="H4022" s="1" t="s">
        <v>143</v>
      </c>
    </row>
    <row r="4023" spans="1:8" x14ac:dyDescent="0.25">
      <c r="A4023" s="1">
        <v>2016</v>
      </c>
      <c r="B4023" s="1">
        <v>302</v>
      </c>
      <c r="C4023" s="15">
        <v>42671</v>
      </c>
      <c r="D4023" s="16">
        <v>0.35694444444444445</v>
      </c>
      <c r="E4023" s="1">
        <v>50</v>
      </c>
      <c r="F4023" s="1">
        <v>2</v>
      </c>
      <c r="G4023" s="1">
        <v>0.33695703463111787</v>
      </c>
      <c r="H4023" s="1" t="s">
        <v>143</v>
      </c>
    </row>
    <row r="4024" spans="1:8" x14ac:dyDescent="0.25">
      <c r="A4024" s="1">
        <v>2016</v>
      </c>
      <c r="B4024" s="1">
        <v>302</v>
      </c>
      <c r="C4024" s="15">
        <v>42671</v>
      </c>
      <c r="D4024" s="16">
        <v>0.36319444444444443</v>
      </c>
      <c r="E4024" s="1">
        <v>50</v>
      </c>
      <c r="F4024" s="1">
        <v>3</v>
      </c>
      <c r="G4024" s="1">
        <v>0.33656776348963963</v>
      </c>
      <c r="H4024" s="1" t="s">
        <v>143</v>
      </c>
    </row>
    <row r="4025" spans="1:8" x14ac:dyDescent="0.25">
      <c r="A4025" s="1">
        <v>2016</v>
      </c>
      <c r="B4025" s="1">
        <v>302</v>
      </c>
      <c r="C4025" s="15">
        <v>42671</v>
      </c>
      <c r="D4025" s="16">
        <v>0.36944444444444446</v>
      </c>
      <c r="E4025" s="1">
        <v>50</v>
      </c>
      <c r="F4025" s="1">
        <v>4</v>
      </c>
      <c r="G4025" s="1">
        <v>0.31866129098164231</v>
      </c>
      <c r="H4025" s="1" t="s">
        <v>143</v>
      </c>
    </row>
    <row r="4026" spans="1:8" x14ac:dyDescent="0.25">
      <c r="A4026" s="1">
        <v>2016</v>
      </c>
      <c r="B4026" s="1">
        <v>302</v>
      </c>
      <c r="C4026" s="15">
        <v>42671</v>
      </c>
      <c r="D4026" s="16">
        <v>0.37638888888888888</v>
      </c>
      <c r="E4026" s="1">
        <v>50</v>
      </c>
      <c r="F4026" s="1">
        <v>5</v>
      </c>
      <c r="G4026" s="1">
        <v>0.3238821039379382</v>
      </c>
      <c r="H4026" s="1" t="s">
        <v>0</v>
      </c>
    </row>
    <row r="4027" spans="1:8" x14ac:dyDescent="0.25">
      <c r="A4027" s="1">
        <v>2016</v>
      </c>
      <c r="B4027" s="1">
        <v>302</v>
      </c>
      <c r="C4027" s="15">
        <v>42671</v>
      </c>
      <c r="D4027" s="16">
        <v>0.3756944444444445</v>
      </c>
      <c r="E4027" s="1">
        <v>50</v>
      </c>
      <c r="F4027" s="1">
        <v>6</v>
      </c>
      <c r="G4027" s="1">
        <v>0.32958378124547189</v>
      </c>
      <c r="H4027" s="1" t="s">
        <v>0</v>
      </c>
    </row>
    <row r="4028" spans="1:8" x14ac:dyDescent="0.25">
      <c r="A4028" s="1">
        <v>2016</v>
      </c>
      <c r="B4028" s="1">
        <v>302</v>
      </c>
      <c r="C4028" s="15">
        <v>42671</v>
      </c>
      <c r="D4028" s="16">
        <v>0.38680555555555557</v>
      </c>
      <c r="E4028" s="1">
        <v>50</v>
      </c>
      <c r="F4028" s="1">
        <v>7</v>
      </c>
      <c r="G4028" s="1">
        <v>0.3375981870994349</v>
      </c>
      <c r="H4028" s="1" t="s">
        <v>143</v>
      </c>
    </row>
    <row r="4029" spans="1:8" x14ac:dyDescent="0.25">
      <c r="A4029" s="1">
        <v>2016</v>
      </c>
      <c r="B4029" s="1">
        <v>302</v>
      </c>
      <c r="C4029" s="15">
        <v>42671</v>
      </c>
      <c r="D4029" s="16">
        <v>0.4055555555555555</v>
      </c>
      <c r="E4029" s="1">
        <v>50</v>
      </c>
      <c r="F4029" s="1">
        <v>8</v>
      </c>
      <c r="G4029" s="1">
        <v>0.33544574667008481</v>
      </c>
      <c r="H4029" s="1" t="s">
        <v>143</v>
      </c>
    </row>
    <row r="4030" spans="1:8" x14ac:dyDescent="0.25">
      <c r="A4030" s="1">
        <v>2016</v>
      </c>
      <c r="B4030" s="1">
        <v>302</v>
      </c>
      <c r="C4030" s="15">
        <v>42671</v>
      </c>
      <c r="D4030" s="16">
        <v>0.39930555555555558</v>
      </c>
      <c r="E4030" s="1">
        <v>50</v>
      </c>
      <c r="F4030" s="1">
        <v>9</v>
      </c>
      <c r="G4030" s="1">
        <v>0.32837017121615752</v>
      </c>
      <c r="H4030" s="1" t="s">
        <v>143</v>
      </c>
    </row>
    <row r="4031" spans="1:8" x14ac:dyDescent="0.25">
      <c r="A4031" s="1">
        <v>2016</v>
      </c>
      <c r="B4031" s="1">
        <v>302</v>
      </c>
      <c r="C4031" s="15">
        <v>42671</v>
      </c>
      <c r="D4031" s="16">
        <v>0.39305555555555555</v>
      </c>
      <c r="E4031" s="1">
        <v>50</v>
      </c>
      <c r="F4031" s="1">
        <v>10</v>
      </c>
      <c r="G4031" s="1">
        <v>0.33011044220158947</v>
      </c>
      <c r="H4031" s="1" t="s">
        <v>143</v>
      </c>
    </row>
    <row r="4032" spans="1:8" x14ac:dyDescent="0.25">
      <c r="A4032" s="1">
        <v>2016</v>
      </c>
      <c r="B4032" s="1">
        <v>302</v>
      </c>
      <c r="C4032" s="15">
        <v>42671</v>
      </c>
      <c r="D4032" s="16" t="e">
        <v>#N/A</v>
      </c>
      <c r="E4032" s="1">
        <v>50</v>
      </c>
      <c r="F4032" s="1">
        <v>11</v>
      </c>
      <c r="G4032" s="1" t="e">
        <v>#N/A</v>
      </c>
      <c r="H4032" s="1" t="s">
        <v>144</v>
      </c>
    </row>
    <row r="4033" spans="1:8" x14ac:dyDescent="0.25">
      <c r="A4033" s="1">
        <v>2016</v>
      </c>
      <c r="B4033" s="1">
        <v>302</v>
      </c>
      <c r="C4033" s="15">
        <v>42671</v>
      </c>
      <c r="D4033" s="16" t="e">
        <v>#N/A</v>
      </c>
      <c r="E4033" s="1">
        <v>50</v>
      </c>
      <c r="F4033" s="1">
        <v>12</v>
      </c>
      <c r="G4033" s="1" t="e">
        <v>#N/A</v>
      </c>
      <c r="H4033" s="1" t="s">
        <v>144</v>
      </c>
    </row>
    <row r="4034" spans="1:8" x14ac:dyDescent="0.25">
      <c r="A4034" s="1">
        <v>2016</v>
      </c>
      <c r="B4034" s="1">
        <v>302</v>
      </c>
      <c r="C4034" s="15">
        <v>42671</v>
      </c>
      <c r="D4034" s="16" t="e">
        <v>#N/A</v>
      </c>
      <c r="E4034" s="1">
        <v>50</v>
      </c>
      <c r="F4034" s="1">
        <v>13</v>
      </c>
      <c r="G4034" s="1" t="e">
        <v>#N/A</v>
      </c>
      <c r="H4034" s="1" t="s">
        <v>144</v>
      </c>
    </row>
    <row r="4035" spans="1:8" x14ac:dyDescent="0.25">
      <c r="A4035" s="1">
        <v>2016</v>
      </c>
      <c r="B4035" s="1">
        <v>302</v>
      </c>
      <c r="C4035" s="15">
        <v>42671</v>
      </c>
      <c r="D4035" s="16" t="e">
        <v>#N/A</v>
      </c>
      <c r="E4035" s="1">
        <v>50</v>
      </c>
      <c r="F4035" s="1">
        <v>14</v>
      </c>
      <c r="G4035" s="1" t="e">
        <v>#N/A</v>
      </c>
      <c r="H4035" s="1" t="s">
        <v>144</v>
      </c>
    </row>
    <row r="4036" spans="1:8" x14ac:dyDescent="0.25">
      <c r="A4036" s="1">
        <v>2016</v>
      </c>
      <c r="B4036" s="1">
        <v>302</v>
      </c>
      <c r="C4036" s="15">
        <v>42671</v>
      </c>
      <c r="D4036" s="16" t="e">
        <v>#N/A</v>
      </c>
      <c r="E4036" s="1">
        <v>50</v>
      </c>
      <c r="F4036" s="1">
        <v>15</v>
      </c>
      <c r="G4036" s="1" t="e">
        <v>#N/A</v>
      </c>
      <c r="H4036" s="1" t="s">
        <v>1</v>
      </c>
    </row>
    <row r="4037" spans="1:8" x14ac:dyDescent="0.25">
      <c r="A4037" s="1">
        <v>2016</v>
      </c>
      <c r="B4037" s="1">
        <v>302</v>
      </c>
      <c r="C4037" s="15">
        <v>42671</v>
      </c>
      <c r="D4037" s="16" t="e">
        <v>#N/A</v>
      </c>
      <c r="E4037" s="1">
        <v>50</v>
      </c>
      <c r="F4037" s="1">
        <v>16</v>
      </c>
      <c r="G4037" s="1" t="e">
        <v>#N/A</v>
      </c>
      <c r="H4037" s="1" t="s">
        <v>1</v>
      </c>
    </row>
    <row r="4038" spans="1:8" x14ac:dyDescent="0.25">
      <c r="A4038" s="1">
        <v>2016</v>
      </c>
      <c r="B4038" s="1">
        <v>302</v>
      </c>
      <c r="C4038" s="15">
        <v>42671</v>
      </c>
      <c r="D4038" s="16" t="e">
        <v>#N/A</v>
      </c>
      <c r="E4038" s="1">
        <v>50</v>
      </c>
      <c r="F4038" s="1">
        <v>17</v>
      </c>
      <c r="G4038" s="1" t="e">
        <v>#N/A</v>
      </c>
      <c r="H4038" s="1" t="s">
        <v>144</v>
      </c>
    </row>
    <row r="4039" spans="1:8" x14ac:dyDescent="0.25">
      <c r="A4039" s="1">
        <v>2016</v>
      </c>
      <c r="B4039" s="1">
        <v>302</v>
      </c>
      <c r="C4039" s="15">
        <v>42671</v>
      </c>
      <c r="D4039" s="16" t="e">
        <v>#N/A</v>
      </c>
      <c r="E4039" s="1">
        <v>50</v>
      </c>
      <c r="F4039" s="1">
        <v>18</v>
      </c>
      <c r="G4039" s="1" t="e">
        <v>#N/A</v>
      </c>
      <c r="H4039" s="1" t="s">
        <v>144</v>
      </c>
    </row>
    <row r="4040" spans="1:8" x14ac:dyDescent="0.25">
      <c r="A4040" s="1">
        <v>2016</v>
      </c>
      <c r="B4040" s="1">
        <v>302</v>
      </c>
      <c r="C4040" s="15">
        <v>42671</v>
      </c>
      <c r="D4040" s="16" t="e">
        <v>#N/A</v>
      </c>
      <c r="E4040" s="1">
        <v>50</v>
      </c>
      <c r="F4040" s="1">
        <v>19</v>
      </c>
      <c r="G4040" s="1" t="e">
        <v>#N/A</v>
      </c>
      <c r="H4040" s="1" t="s">
        <v>144</v>
      </c>
    </row>
    <row r="4041" spans="1:8" x14ac:dyDescent="0.25">
      <c r="A4041" s="1">
        <v>2016</v>
      </c>
      <c r="B4041" s="1">
        <v>302</v>
      </c>
      <c r="C4041" s="15">
        <v>42671</v>
      </c>
      <c r="D4041" s="16" t="e">
        <v>#N/A</v>
      </c>
      <c r="E4041" s="1">
        <v>50</v>
      </c>
      <c r="F4041" s="1">
        <v>20</v>
      </c>
      <c r="G4041" s="1" t="e">
        <v>#N/A</v>
      </c>
      <c r="H4041" s="1" t="s">
        <v>144</v>
      </c>
    </row>
    <row r="4042" spans="1:8" x14ac:dyDescent="0.25">
      <c r="A4042" s="1">
        <v>2016</v>
      </c>
      <c r="B4042" s="1">
        <v>302</v>
      </c>
      <c r="C4042" s="15">
        <v>42671</v>
      </c>
      <c r="D4042" s="16">
        <v>0.34791666666666665</v>
      </c>
      <c r="E4042" s="1">
        <v>30</v>
      </c>
      <c r="F4042" s="1">
        <v>1</v>
      </c>
      <c r="G4042" s="1">
        <v>0.27194875400425783</v>
      </c>
      <c r="H4042" s="1" t="s">
        <v>143</v>
      </c>
    </row>
    <row r="4043" spans="1:8" x14ac:dyDescent="0.25">
      <c r="A4043" s="1">
        <v>2016</v>
      </c>
      <c r="B4043" s="1">
        <v>302</v>
      </c>
      <c r="C4043" s="15">
        <v>42671</v>
      </c>
      <c r="D4043" s="16">
        <v>0.35694444444444445</v>
      </c>
      <c r="E4043" s="1">
        <v>30</v>
      </c>
      <c r="F4043" s="1">
        <v>2</v>
      </c>
      <c r="G4043" s="1">
        <v>0.28371848145836354</v>
      </c>
      <c r="H4043" s="1" t="s">
        <v>143</v>
      </c>
    </row>
    <row r="4044" spans="1:8" x14ac:dyDescent="0.25">
      <c r="A4044" s="1">
        <v>2016</v>
      </c>
      <c r="B4044" s="1">
        <v>302</v>
      </c>
      <c r="C4044" s="15">
        <v>42671</v>
      </c>
      <c r="D4044" s="16">
        <v>0.36319444444444443</v>
      </c>
      <c r="E4044" s="1">
        <v>30</v>
      </c>
      <c r="F4044" s="1">
        <v>3</v>
      </c>
      <c r="G4044" s="1">
        <v>0.28706163361458814</v>
      </c>
      <c r="H4044" s="1" t="s">
        <v>143</v>
      </c>
    </row>
    <row r="4045" spans="1:8" x14ac:dyDescent="0.25">
      <c r="A4045" s="1">
        <v>2016</v>
      </c>
      <c r="B4045" s="1">
        <v>302</v>
      </c>
      <c r="C4045" s="15">
        <v>42671</v>
      </c>
      <c r="D4045" s="16">
        <v>0.36944444444444446</v>
      </c>
      <c r="E4045" s="1">
        <v>30</v>
      </c>
      <c r="F4045" s="1">
        <v>4</v>
      </c>
      <c r="G4045" s="1">
        <v>0.26691112746748108</v>
      </c>
      <c r="H4045" s="1" t="s">
        <v>143</v>
      </c>
    </row>
    <row r="4046" spans="1:8" x14ac:dyDescent="0.25">
      <c r="A4046" s="1">
        <v>2016</v>
      </c>
      <c r="B4046" s="1">
        <v>302</v>
      </c>
      <c r="C4046" s="15">
        <v>42671</v>
      </c>
      <c r="D4046" s="16">
        <v>0.37638888888888888</v>
      </c>
      <c r="E4046" s="1">
        <v>30</v>
      </c>
      <c r="F4046" s="1">
        <v>5</v>
      </c>
      <c r="G4046" s="1">
        <v>0.31408163049366344</v>
      </c>
      <c r="H4046" s="1" t="s">
        <v>0</v>
      </c>
    </row>
    <row r="4047" spans="1:8" x14ac:dyDescent="0.25">
      <c r="A4047" s="1">
        <v>2016</v>
      </c>
      <c r="B4047" s="1">
        <v>302</v>
      </c>
      <c r="C4047" s="15">
        <v>42671</v>
      </c>
      <c r="D4047" s="16">
        <v>0.3756944444444445</v>
      </c>
      <c r="E4047" s="1">
        <v>30</v>
      </c>
      <c r="F4047" s="1">
        <v>6</v>
      </c>
      <c r="G4047" s="1">
        <v>0.31307410518630807</v>
      </c>
      <c r="H4047" s="1" t="s">
        <v>0</v>
      </c>
    </row>
    <row r="4048" spans="1:8" x14ac:dyDescent="0.25">
      <c r="A4048" s="1">
        <v>2016</v>
      </c>
      <c r="B4048" s="1">
        <v>302</v>
      </c>
      <c r="C4048" s="15">
        <v>42671</v>
      </c>
      <c r="D4048" s="16">
        <v>0.38680555555555557</v>
      </c>
      <c r="E4048" s="1">
        <v>30</v>
      </c>
      <c r="F4048" s="1">
        <v>7</v>
      </c>
      <c r="G4048" s="1">
        <v>0.30382319100059074</v>
      </c>
      <c r="H4048" s="1" t="s">
        <v>143</v>
      </c>
    </row>
    <row r="4049" spans="1:8" x14ac:dyDescent="0.25">
      <c r="A4049" s="1">
        <v>2016</v>
      </c>
      <c r="B4049" s="1">
        <v>302</v>
      </c>
      <c r="C4049" s="15">
        <v>42671</v>
      </c>
      <c r="D4049" s="16">
        <v>0.4055555555555555</v>
      </c>
      <c r="E4049" s="1">
        <v>30</v>
      </c>
      <c r="F4049" s="1">
        <v>8</v>
      </c>
      <c r="G4049" s="1">
        <v>0.28348949843396459</v>
      </c>
      <c r="H4049" s="1" t="s">
        <v>143</v>
      </c>
    </row>
    <row r="4050" spans="1:8" x14ac:dyDescent="0.25">
      <c r="A4050" s="1">
        <v>2016</v>
      </c>
      <c r="B4050" s="1">
        <v>302</v>
      </c>
      <c r="C4050" s="15">
        <v>42671</v>
      </c>
      <c r="D4050" s="16">
        <v>0.39930555555555558</v>
      </c>
      <c r="E4050" s="1">
        <v>30</v>
      </c>
      <c r="F4050" s="1">
        <v>9</v>
      </c>
      <c r="G4050" s="1">
        <v>0.25253099353522745</v>
      </c>
      <c r="H4050" s="1" t="s">
        <v>143</v>
      </c>
    </row>
    <row r="4051" spans="1:8" x14ac:dyDescent="0.25">
      <c r="A4051" s="1">
        <v>2016</v>
      </c>
      <c r="B4051" s="1">
        <v>302</v>
      </c>
      <c r="C4051" s="15">
        <v>42671</v>
      </c>
      <c r="D4051" s="16">
        <v>0.39305555555555555</v>
      </c>
      <c r="E4051" s="1">
        <v>30</v>
      </c>
      <c r="F4051" s="1">
        <v>10</v>
      </c>
      <c r="G4051" s="1">
        <v>0.29404561585875588</v>
      </c>
      <c r="H4051" s="1" t="s">
        <v>143</v>
      </c>
    </row>
    <row r="4052" spans="1:8" x14ac:dyDescent="0.25">
      <c r="A4052" s="1">
        <v>2016</v>
      </c>
      <c r="B4052" s="1">
        <v>302</v>
      </c>
      <c r="C4052" s="15">
        <v>42671</v>
      </c>
      <c r="D4052" s="16" t="e">
        <v>#N/A</v>
      </c>
      <c r="E4052" s="1">
        <v>30</v>
      </c>
      <c r="F4052" s="1">
        <v>11</v>
      </c>
      <c r="G4052" s="1" t="e">
        <v>#N/A</v>
      </c>
      <c r="H4052" s="1" t="s">
        <v>144</v>
      </c>
    </row>
    <row r="4053" spans="1:8" x14ac:dyDescent="0.25">
      <c r="A4053" s="1">
        <v>2016</v>
      </c>
      <c r="B4053" s="1">
        <v>302</v>
      </c>
      <c r="C4053" s="15">
        <v>42671</v>
      </c>
      <c r="D4053" s="16" t="e">
        <v>#N/A</v>
      </c>
      <c r="E4053" s="1">
        <v>30</v>
      </c>
      <c r="F4053" s="1">
        <v>12</v>
      </c>
      <c r="G4053" s="1" t="e">
        <v>#N/A</v>
      </c>
      <c r="H4053" s="1" t="s">
        <v>144</v>
      </c>
    </row>
    <row r="4054" spans="1:8" x14ac:dyDescent="0.25">
      <c r="A4054" s="1">
        <v>2016</v>
      </c>
      <c r="B4054" s="1">
        <v>302</v>
      </c>
      <c r="C4054" s="15">
        <v>42671</v>
      </c>
      <c r="D4054" s="16" t="e">
        <v>#N/A</v>
      </c>
      <c r="E4054" s="1">
        <v>30</v>
      </c>
      <c r="F4054" s="1">
        <v>13</v>
      </c>
      <c r="G4054" s="1" t="e">
        <v>#N/A</v>
      </c>
      <c r="H4054" s="1" t="s">
        <v>144</v>
      </c>
    </row>
    <row r="4055" spans="1:8" x14ac:dyDescent="0.25">
      <c r="A4055" s="1">
        <v>2016</v>
      </c>
      <c r="B4055" s="1">
        <v>302</v>
      </c>
      <c r="C4055" s="15">
        <v>42671</v>
      </c>
      <c r="D4055" s="16" t="e">
        <v>#N/A</v>
      </c>
      <c r="E4055" s="1">
        <v>30</v>
      </c>
      <c r="F4055" s="1">
        <v>14</v>
      </c>
      <c r="G4055" s="1" t="e">
        <v>#N/A</v>
      </c>
      <c r="H4055" s="1" t="s">
        <v>144</v>
      </c>
    </row>
    <row r="4056" spans="1:8" x14ac:dyDescent="0.25">
      <c r="A4056" s="1">
        <v>2016</v>
      </c>
      <c r="B4056" s="1">
        <v>302</v>
      </c>
      <c r="C4056" s="15">
        <v>42671</v>
      </c>
      <c r="D4056" s="16" t="e">
        <v>#N/A</v>
      </c>
      <c r="E4056" s="1">
        <v>30</v>
      </c>
      <c r="F4056" s="1">
        <v>15</v>
      </c>
      <c r="G4056" s="1" t="e">
        <v>#N/A</v>
      </c>
      <c r="H4056" s="1" t="s">
        <v>1</v>
      </c>
    </row>
    <row r="4057" spans="1:8" x14ac:dyDescent="0.25">
      <c r="A4057" s="1">
        <v>2016</v>
      </c>
      <c r="B4057" s="1">
        <v>302</v>
      </c>
      <c r="C4057" s="15">
        <v>42671</v>
      </c>
      <c r="D4057" s="16" t="e">
        <v>#N/A</v>
      </c>
      <c r="E4057" s="1">
        <v>30</v>
      </c>
      <c r="F4057" s="1">
        <v>16</v>
      </c>
      <c r="G4057" s="1" t="e">
        <v>#N/A</v>
      </c>
      <c r="H4057" s="1" t="s">
        <v>1</v>
      </c>
    </row>
    <row r="4058" spans="1:8" x14ac:dyDescent="0.25">
      <c r="A4058" s="1">
        <v>2016</v>
      </c>
      <c r="B4058" s="1">
        <v>302</v>
      </c>
      <c r="C4058" s="15">
        <v>42671</v>
      </c>
      <c r="D4058" s="16" t="e">
        <v>#N/A</v>
      </c>
      <c r="E4058" s="1">
        <v>30</v>
      </c>
      <c r="F4058" s="1">
        <v>17</v>
      </c>
      <c r="G4058" s="1" t="e">
        <v>#N/A</v>
      </c>
      <c r="H4058" s="1" t="s">
        <v>144</v>
      </c>
    </row>
    <row r="4059" spans="1:8" x14ac:dyDescent="0.25">
      <c r="A4059" s="1">
        <v>2016</v>
      </c>
      <c r="B4059" s="1">
        <v>302</v>
      </c>
      <c r="C4059" s="15">
        <v>42671</v>
      </c>
      <c r="D4059" s="16" t="e">
        <v>#N/A</v>
      </c>
      <c r="E4059" s="1">
        <v>30</v>
      </c>
      <c r="F4059" s="1">
        <v>18</v>
      </c>
      <c r="G4059" s="1" t="e">
        <v>#N/A</v>
      </c>
      <c r="H4059" s="1" t="s">
        <v>144</v>
      </c>
    </row>
    <row r="4060" spans="1:8" x14ac:dyDescent="0.25">
      <c r="A4060" s="1">
        <v>2016</v>
      </c>
      <c r="B4060" s="1">
        <v>302</v>
      </c>
      <c r="C4060" s="15">
        <v>42671</v>
      </c>
      <c r="D4060" s="16" t="e">
        <v>#N/A</v>
      </c>
      <c r="E4060" s="1">
        <v>30</v>
      </c>
      <c r="F4060" s="1">
        <v>19</v>
      </c>
      <c r="G4060" s="1" t="e">
        <v>#N/A</v>
      </c>
      <c r="H4060" s="1" t="s">
        <v>144</v>
      </c>
    </row>
    <row r="4061" spans="1:8" x14ac:dyDescent="0.25">
      <c r="A4061" s="1">
        <v>2016</v>
      </c>
      <c r="B4061" s="1">
        <v>302</v>
      </c>
      <c r="C4061" s="15">
        <v>42671</v>
      </c>
      <c r="D4061" s="16" t="e">
        <v>#N/A</v>
      </c>
      <c r="E4061" s="1">
        <v>30</v>
      </c>
      <c r="F4061" s="1">
        <v>20</v>
      </c>
      <c r="G4061" s="1" t="e">
        <v>#N/A</v>
      </c>
      <c r="H4061" s="1" t="s">
        <v>144</v>
      </c>
    </row>
    <row r="4062" spans="1:8" x14ac:dyDescent="0.25">
      <c r="A4062" s="1">
        <v>2016</v>
      </c>
      <c r="B4062" s="1">
        <v>302</v>
      </c>
      <c r="C4062" s="15">
        <v>42671</v>
      </c>
      <c r="D4062" s="16">
        <v>0.34791666666666665</v>
      </c>
      <c r="E4062" s="1">
        <v>10</v>
      </c>
      <c r="F4062" s="1">
        <v>1</v>
      </c>
      <c r="G4062" s="1">
        <v>0.1735530188927405</v>
      </c>
      <c r="H4062" s="1" t="s">
        <v>143</v>
      </c>
    </row>
    <row r="4063" spans="1:8" x14ac:dyDescent="0.25">
      <c r="A4063" s="1">
        <v>2016</v>
      </c>
      <c r="B4063" s="1">
        <v>302</v>
      </c>
      <c r="C4063" s="15">
        <v>42671</v>
      </c>
      <c r="D4063" s="16">
        <v>0.35694444444444445</v>
      </c>
      <c r="E4063" s="1">
        <v>10</v>
      </c>
      <c r="F4063" s="1">
        <v>2</v>
      </c>
      <c r="G4063" s="1">
        <v>0.14871308660566002</v>
      </c>
      <c r="H4063" s="1" t="s">
        <v>143</v>
      </c>
    </row>
    <row r="4064" spans="1:8" x14ac:dyDescent="0.25">
      <c r="A4064" s="1">
        <v>2016</v>
      </c>
      <c r="B4064" s="1">
        <v>302</v>
      </c>
      <c r="C4064" s="15">
        <v>42671</v>
      </c>
      <c r="D4064" s="16">
        <v>0.36319444444444443</v>
      </c>
      <c r="E4064" s="1">
        <v>10</v>
      </c>
      <c r="F4064" s="1">
        <v>3</v>
      </c>
      <c r="G4064" s="1">
        <v>0.16887275365872689</v>
      </c>
      <c r="H4064" s="1" t="s">
        <v>143</v>
      </c>
    </row>
    <row r="4065" spans="1:8" x14ac:dyDescent="0.25">
      <c r="A4065" s="1">
        <v>2016</v>
      </c>
      <c r="B4065" s="1">
        <v>302</v>
      </c>
      <c r="C4065" s="15">
        <v>42671</v>
      </c>
      <c r="D4065" s="16">
        <v>0.36944444444444446</v>
      </c>
      <c r="E4065" s="1">
        <v>10</v>
      </c>
      <c r="F4065" s="1">
        <v>4</v>
      </c>
      <c r="G4065" s="1">
        <v>0.16557355029704518</v>
      </c>
      <c r="H4065" s="1" t="s">
        <v>143</v>
      </c>
    </row>
    <row r="4066" spans="1:8" x14ac:dyDescent="0.25">
      <c r="A4066" s="1">
        <v>2016</v>
      </c>
      <c r="B4066" s="1">
        <v>302</v>
      </c>
      <c r="C4066" s="15">
        <v>42671</v>
      </c>
      <c r="D4066" s="16">
        <v>0.37638888888888888</v>
      </c>
      <c r="E4066" s="1">
        <v>10</v>
      </c>
      <c r="F4066" s="1">
        <v>5</v>
      </c>
      <c r="G4066" s="1">
        <v>0.20412819423297701</v>
      </c>
      <c r="H4066" s="1" t="s">
        <v>0</v>
      </c>
    </row>
    <row r="4067" spans="1:8" x14ac:dyDescent="0.25">
      <c r="A4067" s="1">
        <v>2016</v>
      </c>
      <c r="B4067" s="1">
        <v>302</v>
      </c>
      <c r="C4067" s="15">
        <v>42671</v>
      </c>
      <c r="D4067" s="16">
        <v>0.3756944444444445</v>
      </c>
      <c r="E4067" s="1">
        <v>10</v>
      </c>
      <c r="F4067" s="1">
        <v>6</v>
      </c>
      <c r="G4067" s="1">
        <v>0.20196069435001168</v>
      </c>
      <c r="H4067" s="1" t="s">
        <v>0</v>
      </c>
    </row>
    <row r="4068" spans="1:8" x14ac:dyDescent="0.25">
      <c r="A4068" s="1">
        <v>2016</v>
      </c>
      <c r="B4068" s="1">
        <v>302</v>
      </c>
      <c r="C4068" s="15">
        <v>42671</v>
      </c>
      <c r="D4068" s="16">
        <v>0.38680555555555557</v>
      </c>
      <c r="E4068" s="1">
        <v>10</v>
      </c>
      <c r="F4068" s="1">
        <v>7</v>
      </c>
      <c r="G4068" s="1">
        <v>0.19622545129685565</v>
      </c>
      <c r="H4068" s="1" t="s">
        <v>143</v>
      </c>
    </row>
    <row r="4069" spans="1:8" x14ac:dyDescent="0.25">
      <c r="A4069" s="1">
        <v>2016</v>
      </c>
      <c r="B4069" s="1">
        <v>302</v>
      </c>
      <c r="C4069" s="15">
        <v>42671</v>
      </c>
      <c r="D4069" s="16">
        <v>0.4055555555555555</v>
      </c>
      <c r="E4069" s="1">
        <v>10</v>
      </c>
      <c r="F4069" s="1">
        <v>8</v>
      </c>
      <c r="G4069" s="1">
        <v>0.15118748912692132</v>
      </c>
      <c r="H4069" s="1" t="s">
        <v>143</v>
      </c>
    </row>
    <row r="4070" spans="1:8" x14ac:dyDescent="0.25">
      <c r="A4070" s="1">
        <v>2016</v>
      </c>
      <c r="B4070" s="1">
        <v>302</v>
      </c>
      <c r="C4070" s="15">
        <v>42671</v>
      </c>
      <c r="D4070" s="16">
        <v>0.39930555555555558</v>
      </c>
      <c r="E4070" s="1">
        <v>10</v>
      </c>
      <c r="F4070" s="1">
        <v>9</v>
      </c>
      <c r="G4070" s="1">
        <v>0.15157111742479129</v>
      </c>
      <c r="H4070" s="1" t="s">
        <v>143</v>
      </c>
    </row>
    <row r="4071" spans="1:8" x14ac:dyDescent="0.25">
      <c r="A4071" s="1">
        <v>2016</v>
      </c>
      <c r="B4071" s="1">
        <v>302</v>
      </c>
      <c r="C4071" s="15">
        <v>42671</v>
      </c>
      <c r="D4071" s="16">
        <v>0.39305555555555555</v>
      </c>
      <c r="E4071" s="1">
        <v>10</v>
      </c>
      <c r="F4071" s="1">
        <v>10</v>
      </c>
      <c r="G4071" s="1">
        <v>0.20299649075426063</v>
      </c>
      <c r="H4071" s="1" t="s">
        <v>143</v>
      </c>
    </row>
    <row r="4072" spans="1:8" x14ac:dyDescent="0.25">
      <c r="A4072" s="1">
        <v>2016</v>
      </c>
      <c r="B4072" s="1">
        <v>302</v>
      </c>
      <c r="C4072" s="15">
        <v>42671</v>
      </c>
      <c r="D4072" s="16" t="e">
        <v>#N/A</v>
      </c>
      <c r="E4072" s="1">
        <v>10</v>
      </c>
      <c r="F4072" s="1">
        <v>11</v>
      </c>
      <c r="G4072" s="1" t="e">
        <v>#N/A</v>
      </c>
      <c r="H4072" s="1" t="s">
        <v>144</v>
      </c>
    </row>
    <row r="4073" spans="1:8" x14ac:dyDescent="0.25">
      <c r="A4073" s="1">
        <v>2016</v>
      </c>
      <c r="B4073" s="1">
        <v>302</v>
      </c>
      <c r="C4073" s="15">
        <v>42671</v>
      </c>
      <c r="D4073" s="16" t="e">
        <v>#N/A</v>
      </c>
      <c r="E4073" s="1">
        <v>10</v>
      </c>
      <c r="F4073" s="1">
        <v>12</v>
      </c>
      <c r="G4073" s="1" t="e">
        <v>#N/A</v>
      </c>
      <c r="H4073" s="1" t="s">
        <v>144</v>
      </c>
    </row>
    <row r="4074" spans="1:8" x14ac:dyDescent="0.25">
      <c r="A4074" s="1">
        <v>2016</v>
      </c>
      <c r="B4074" s="1">
        <v>302</v>
      </c>
      <c r="C4074" s="15">
        <v>42671</v>
      </c>
      <c r="D4074" s="16" t="e">
        <v>#N/A</v>
      </c>
      <c r="E4074" s="1">
        <v>10</v>
      </c>
      <c r="F4074" s="1">
        <v>13</v>
      </c>
      <c r="G4074" s="1" t="e">
        <v>#N/A</v>
      </c>
      <c r="H4074" s="1" t="s">
        <v>144</v>
      </c>
    </row>
    <row r="4075" spans="1:8" x14ac:dyDescent="0.25">
      <c r="A4075" s="1">
        <v>2016</v>
      </c>
      <c r="B4075" s="1">
        <v>302</v>
      </c>
      <c r="C4075" s="15">
        <v>42671</v>
      </c>
      <c r="D4075" s="16" t="e">
        <v>#N/A</v>
      </c>
      <c r="E4075" s="1">
        <v>10</v>
      </c>
      <c r="F4075" s="1">
        <v>14</v>
      </c>
      <c r="G4075" s="1" t="e">
        <v>#N/A</v>
      </c>
      <c r="H4075" s="1" t="s">
        <v>144</v>
      </c>
    </row>
    <row r="4076" spans="1:8" x14ac:dyDescent="0.25">
      <c r="A4076" s="1">
        <v>2016</v>
      </c>
      <c r="B4076" s="1">
        <v>302</v>
      </c>
      <c r="C4076" s="15">
        <v>42671</v>
      </c>
      <c r="D4076" s="16" t="e">
        <v>#N/A</v>
      </c>
      <c r="E4076" s="1">
        <v>10</v>
      </c>
      <c r="F4076" s="1">
        <v>15</v>
      </c>
      <c r="G4076" s="1" t="e">
        <v>#N/A</v>
      </c>
      <c r="H4076" s="1" t="s">
        <v>1</v>
      </c>
    </row>
    <row r="4077" spans="1:8" x14ac:dyDescent="0.25">
      <c r="A4077" s="1">
        <v>2016</v>
      </c>
      <c r="B4077" s="1">
        <v>302</v>
      </c>
      <c r="C4077" s="15">
        <v>42671</v>
      </c>
      <c r="D4077" s="16" t="e">
        <v>#N/A</v>
      </c>
      <c r="E4077" s="1">
        <v>10</v>
      </c>
      <c r="F4077" s="1">
        <v>16</v>
      </c>
      <c r="G4077" s="1" t="e">
        <v>#N/A</v>
      </c>
      <c r="H4077" s="1" t="s">
        <v>1</v>
      </c>
    </row>
    <row r="4078" spans="1:8" x14ac:dyDescent="0.25">
      <c r="A4078" s="1">
        <v>2016</v>
      </c>
      <c r="B4078" s="1">
        <v>302</v>
      </c>
      <c r="C4078" s="15">
        <v>42671</v>
      </c>
      <c r="D4078" s="16" t="e">
        <v>#N/A</v>
      </c>
      <c r="E4078" s="1">
        <v>10</v>
      </c>
      <c r="F4078" s="1">
        <v>17</v>
      </c>
      <c r="G4078" s="1" t="e">
        <v>#N/A</v>
      </c>
      <c r="H4078" s="1" t="s">
        <v>144</v>
      </c>
    </row>
    <row r="4079" spans="1:8" x14ac:dyDescent="0.25">
      <c r="A4079" s="1">
        <v>2016</v>
      </c>
      <c r="B4079" s="1">
        <v>302</v>
      </c>
      <c r="C4079" s="15">
        <v>42671</v>
      </c>
      <c r="D4079" s="16" t="e">
        <v>#N/A</v>
      </c>
      <c r="E4079" s="1">
        <v>10</v>
      </c>
      <c r="F4079" s="1">
        <v>18</v>
      </c>
      <c r="G4079" s="1" t="e">
        <v>#N/A</v>
      </c>
      <c r="H4079" s="1" t="s">
        <v>144</v>
      </c>
    </row>
    <row r="4080" spans="1:8" x14ac:dyDescent="0.25">
      <c r="A4080" s="1">
        <v>2016</v>
      </c>
      <c r="B4080" s="1">
        <v>302</v>
      </c>
      <c r="C4080" s="15">
        <v>42671</v>
      </c>
      <c r="D4080" s="16" t="e">
        <v>#N/A</v>
      </c>
      <c r="E4080" s="1">
        <v>10</v>
      </c>
      <c r="F4080" s="1">
        <v>19</v>
      </c>
      <c r="G4080" s="1" t="e">
        <v>#N/A</v>
      </c>
      <c r="H4080" s="1" t="s">
        <v>144</v>
      </c>
    </row>
    <row r="4081" spans="1:8" x14ac:dyDescent="0.25">
      <c r="A4081" s="1">
        <v>2016</v>
      </c>
      <c r="B4081" s="1">
        <v>302</v>
      </c>
      <c r="C4081" s="15">
        <v>42671</v>
      </c>
      <c r="D4081" s="16" t="e">
        <v>#N/A</v>
      </c>
      <c r="E4081" s="1">
        <v>10</v>
      </c>
      <c r="F4081" s="1">
        <v>20</v>
      </c>
      <c r="G4081" s="1" t="e">
        <v>#N/A</v>
      </c>
      <c r="H4081" s="1" t="s">
        <v>144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525C1-739D-4796-8E36-345754D70F1C}">
  <dimension ref="A1:H5"/>
  <sheetViews>
    <sheetView workbookViewId="0">
      <selection activeCell="C2" sqref="C2"/>
    </sheetView>
  </sheetViews>
  <sheetFormatPr defaultRowHeight="13.2" x14ac:dyDescent="0.25"/>
  <cols>
    <col min="1" max="1" width="23.88671875" style="3" customWidth="1"/>
    <col min="2" max="2" width="25.33203125" style="3" customWidth="1"/>
    <col min="3" max="3" width="89" style="3" customWidth="1"/>
    <col min="4" max="4" width="11.77734375" style="3" customWidth="1"/>
    <col min="5" max="5" width="11.21875" style="3" customWidth="1"/>
    <col min="6" max="6" width="12" style="3" customWidth="1"/>
    <col min="7" max="7" width="11.33203125" style="3" customWidth="1"/>
    <col min="8" max="8" width="12.109375" style="3" customWidth="1"/>
    <col min="9" max="16384" width="8.88671875" style="3"/>
  </cols>
  <sheetData>
    <row r="1" spans="1:8" ht="27.6" x14ac:dyDescent="0.25">
      <c r="A1" s="27" t="s">
        <v>69</v>
      </c>
      <c r="B1" s="27" t="s">
        <v>70</v>
      </c>
      <c r="C1" s="27" t="s">
        <v>71</v>
      </c>
      <c r="D1" s="27" t="s">
        <v>72</v>
      </c>
      <c r="E1" s="27" t="s">
        <v>73</v>
      </c>
      <c r="F1" s="27" t="s">
        <v>74</v>
      </c>
      <c r="G1" s="27" t="s">
        <v>75</v>
      </c>
      <c r="H1" s="27" t="s">
        <v>76</v>
      </c>
    </row>
    <row r="2" spans="1:8" ht="39.6" x14ac:dyDescent="0.25">
      <c r="A2" s="28" t="s">
        <v>174</v>
      </c>
      <c r="B2" s="29" t="s">
        <v>140</v>
      </c>
      <c r="C2" s="30" t="s">
        <v>188</v>
      </c>
      <c r="D2" s="28" t="s">
        <v>187</v>
      </c>
      <c r="E2" s="28" t="s">
        <v>171</v>
      </c>
      <c r="F2" s="28" t="s">
        <v>187</v>
      </c>
      <c r="G2" s="28" t="s">
        <v>79</v>
      </c>
      <c r="H2" s="28" t="s">
        <v>80</v>
      </c>
    </row>
    <row r="3" spans="1:8" x14ac:dyDescent="0.25">
      <c r="A3" s="28" t="s">
        <v>174</v>
      </c>
      <c r="B3" s="29" t="s">
        <v>169</v>
      </c>
      <c r="C3" s="30" t="s">
        <v>170</v>
      </c>
      <c r="D3" s="30" t="s">
        <v>78</v>
      </c>
      <c r="E3" s="28"/>
      <c r="F3" s="28" t="s">
        <v>186</v>
      </c>
      <c r="G3" s="28" t="s">
        <v>79</v>
      </c>
      <c r="H3" s="28" t="s">
        <v>80</v>
      </c>
    </row>
    <row r="4" spans="1:8" x14ac:dyDescent="0.25">
      <c r="A4" s="28" t="s">
        <v>174</v>
      </c>
      <c r="B4" s="29" t="s">
        <v>172</v>
      </c>
      <c r="C4" s="30" t="s">
        <v>185</v>
      </c>
      <c r="D4" s="30" t="s">
        <v>85</v>
      </c>
      <c r="E4" s="28"/>
      <c r="F4" s="28"/>
      <c r="G4" s="28" t="s">
        <v>79</v>
      </c>
      <c r="H4" s="28" t="s">
        <v>80</v>
      </c>
    </row>
    <row r="5" spans="1:8" x14ac:dyDescent="0.25">
      <c r="A5" s="28" t="s">
        <v>174</v>
      </c>
      <c r="B5" s="29" t="s">
        <v>173</v>
      </c>
      <c r="C5" s="30" t="s">
        <v>184</v>
      </c>
      <c r="D5" s="30" t="s">
        <v>85</v>
      </c>
      <c r="E5" s="28"/>
      <c r="F5" s="28"/>
      <c r="G5" s="28" t="s">
        <v>79</v>
      </c>
      <c r="H5" s="28" t="s">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dimension ref="A1:D21"/>
  <sheetViews>
    <sheetView workbookViewId="0">
      <selection activeCell="A17" sqref="A17"/>
    </sheetView>
  </sheetViews>
  <sheetFormatPr defaultRowHeight="13.2" x14ac:dyDescent="0.25"/>
  <cols>
    <col min="1" max="1" width="13.44140625" customWidth="1"/>
    <col min="2" max="2" width="13.33203125" customWidth="1"/>
    <col min="4" max="4" width="11.5546875" customWidth="1"/>
  </cols>
  <sheetData>
    <row r="1" spans="1:4" s="35" customFormat="1" x14ac:dyDescent="0.25">
      <c r="A1" s="31" t="s">
        <v>140</v>
      </c>
      <c r="B1" s="32" t="s">
        <v>169</v>
      </c>
      <c r="C1" s="32" t="s">
        <v>189</v>
      </c>
      <c r="D1" s="32" t="s">
        <v>190</v>
      </c>
    </row>
    <row r="2" spans="1:4" x14ac:dyDescent="0.25">
      <c r="A2" s="33" t="s">
        <v>143</v>
      </c>
      <c r="B2" s="34">
        <v>1</v>
      </c>
      <c r="C2" s="34">
        <v>35.188352820182971</v>
      </c>
      <c r="D2" s="34">
        <v>-102.0954008454278</v>
      </c>
    </row>
    <row r="3" spans="1:4" x14ac:dyDescent="0.25">
      <c r="A3" s="33" t="s">
        <v>143</v>
      </c>
      <c r="B3" s="34">
        <v>2</v>
      </c>
      <c r="C3" s="34">
        <v>35.188352820182971</v>
      </c>
      <c r="D3" s="34">
        <v>-102.09568771755626</v>
      </c>
    </row>
    <row r="4" spans="1:4" x14ac:dyDescent="0.25">
      <c r="A4" s="33" t="s">
        <v>143</v>
      </c>
      <c r="B4" s="34">
        <v>3</v>
      </c>
      <c r="C4">
        <v>35.188269750099899</v>
      </c>
      <c r="D4">
        <v>-102.09568992002941</v>
      </c>
    </row>
    <row r="5" spans="1:4" x14ac:dyDescent="0.25">
      <c r="A5" s="33" t="s">
        <v>143</v>
      </c>
      <c r="B5" s="34">
        <v>4</v>
      </c>
      <c r="C5">
        <v>35.188269750099899</v>
      </c>
      <c r="D5">
        <v>-102.09540745284727</v>
      </c>
    </row>
    <row r="6" spans="1:4" x14ac:dyDescent="0.25">
      <c r="A6" s="33" t="s">
        <v>0</v>
      </c>
      <c r="B6" s="34">
        <v>5</v>
      </c>
      <c r="C6" s="34">
        <v>35.188173270003418</v>
      </c>
      <c r="D6" s="34">
        <v>-102.09553024072567</v>
      </c>
    </row>
    <row r="7" spans="1:4" x14ac:dyDescent="0.25">
      <c r="A7" s="33" t="s">
        <v>0</v>
      </c>
      <c r="B7" s="34">
        <v>6</v>
      </c>
      <c r="C7" s="34">
        <v>35.188166429996585</v>
      </c>
      <c r="D7" s="34">
        <v>-102.09554675927434</v>
      </c>
    </row>
    <row r="8" spans="1:4" x14ac:dyDescent="0.25">
      <c r="A8" s="33" t="s">
        <v>143</v>
      </c>
      <c r="B8" s="34">
        <v>7</v>
      </c>
      <c r="C8" s="34">
        <v>35.188118189948341</v>
      </c>
      <c r="D8" s="34">
        <v>-102.09568771755626</v>
      </c>
    </row>
    <row r="9" spans="1:4" x14ac:dyDescent="0.25">
      <c r="A9" s="33" t="s">
        <v>143</v>
      </c>
      <c r="B9" s="34">
        <v>8</v>
      </c>
      <c r="C9" s="34">
        <v>35.188118189948341</v>
      </c>
      <c r="D9" s="34">
        <v>-102.09540106567512</v>
      </c>
    </row>
    <row r="10" spans="1:4" x14ac:dyDescent="0.25">
      <c r="A10" s="33" t="s">
        <v>143</v>
      </c>
      <c r="B10" s="34">
        <v>9</v>
      </c>
      <c r="C10">
        <v>35.1880429498731</v>
      </c>
      <c r="D10">
        <v>-102.09540271752999</v>
      </c>
    </row>
    <row r="11" spans="1:4" x14ac:dyDescent="0.25">
      <c r="A11" s="33" t="s">
        <v>143</v>
      </c>
      <c r="B11" s="34">
        <v>10</v>
      </c>
      <c r="C11">
        <v>35.1880429498731</v>
      </c>
      <c r="D11">
        <v>-102.09568430372288</v>
      </c>
    </row>
    <row r="12" spans="1:4" x14ac:dyDescent="0.25">
      <c r="A12" s="33" t="s">
        <v>144</v>
      </c>
      <c r="B12" s="34">
        <v>11</v>
      </c>
      <c r="C12" s="34">
        <v>35.186280760140676</v>
      </c>
      <c r="D12" s="34">
        <v>-102.09541963630969</v>
      </c>
    </row>
    <row r="13" spans="1:4" x14ac:dyDescent="0.25">
      <c r="A13" s="33" t="s">
        <v>144</v>
      </c>
      <c r="B13" s="34">
        <v>12</v>
      </c>
      <c r="C13" s="34">
        <v>35.186280760140676</v>
      </c>
      <c r="D13" s="34">
        <v>-102.09570155287355</v>
      </c>
    </row>
    <row r="14" spans="1:4" x14ac:dyDescent="0.25">
      <c r="A14" s="33" t="s">
        <v>144</v>
      </c>
      <c r="B14" s="34">
        <v>13</v>
      </c>
      <c r="C14">
        <v>35.186198320058232</v>
      </c>
      <c r="D14">
        <v>-102.09569957064771</v>
      </c>
    </row>
    <row r="15" spans="1:4" x14ac:dyDescent="0.25">
      <c r="A15" s="33" t="s">
        <v>144</v>
      </c>
      <c r="B15" s="34">
        <v>14</v>
      </c>
      <c r="C15">
        <v>35.186198320058232</v>
      </c>
      <c r="D15">
        <v>-102.095419856557</v>
      </c>
    </row>
    <row r="16" spans="1:4" x14ac:dyDescent="0.25">
      <c r="A16" s="33" t="s">
        <v>1</v>
      </c>
      <c r="B16" s="34">
        <v>15</v>
      </c>
      <c r="C16" s="34">
        <v>35.186143510003419</v>
      </c>
      <c r="D16" s="34">
        <v>-102.09553934072567</v>
      </c>
    </row>
    <row r="17" spans="1:4" x14ac:dyDescent="0.25">
      <c r="A17" s="33" t="s">
        <v>1</v>
      </c>
      <c r="B17" s="34">
        <v>16</v>
      </c>
      <c r="C17" s="34">
        <v>35.186136669996586</v>
      </c>
      <c r="D17" s="34">
        <v>-102.09555585927434</v>
      </c>
    </row>
    <row r="18" spans="1:4" x14ac:dyDescent="0.25">
      <c r="A18" s="33" t="s">
        <v>144</v>
      </c>
      <c r="B18" s="34">
        <v>17</v>
      </c>
      <c r="C18">
        <v>35.186046489906403</v>
      </c>
      <c r="D18">
        <v>-102.09569902002941</v>
      </c>
    </row>
    <row r="19" spans="1:4" x14ac:dyDescent="0.25">
      <c r="A19" s="33" t="s">
        <v>144</v>
      </c>
      <c r="B19" s="34">
        <v>18</v>
      </c>
      <c r="C19">
        <v>35.186046489906403</v>
      </c>
      <c r="D19">
        <v>-102.095419856557</v>
      </c>
    </row>
    <row r="20" spans="1:4" x14ac:dyDescent="0.25">
      <c r="A20" s="33" t="s">
        <v>144</v>
      </c>
      <c r="B20" s="34">
        <v>19</v>
      </c>
      <c r="C20">
        <v>35.185964409824322</v>
      </c>
      <c r="D20">
        <v>-102.09542260964845</v>
      </c>
    </row>
    <row r="21" spans="1:4" x14ac:dyDescent="0.25">
      <c r="A21" s="33" t="s">
        <v>144</v>
      </c>
      <c r="B21" s="34">
        <v>20</v>
      </c>
      <c r="C21">
        <v>35.185964409824322</v>
      </c>
      <c r="D21">
        <v>-102.09569868965845</v>
      </c>
    </row>
  </sheetData>
  <pageMargins left="0.75" right="0.75" top="1" bottom="1" header="0.5" footer="0.5"/>
  <pageSetup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F11E0-E353-4B17-BA8B-946874E5A72C}">
  <dimension ref="Y1:CB316"/>
  <sheetViews>
    <sheetView tabSelected="1" zoomScale="80" zoomScaleNormal="80" workbookViewId="0">
      <selection activeCell="BO6" sqref="BO6"/>
    </sheetView>
  </sheetViews>
  <sheetFormatPr defaultRowHeight="13.2" x14ac:dyDescent="0.25"/>
  <cols>
    <col min="1" max="24" width="8.88671875" style="1"/>
    <col min="25" max="25" width="10.21875" style="1" bestFit="1" customWidth="1"/>
    <col min="26" max="26" width="10.77734375" style="1" bestFit="1" customWidth="1"/>
    <col min="27" max="27" width="10.6640625" style="1" bestFit="1" customWidth="1"/>
    <col min="28" max="28" width="10.77734375" style="1" bestFit="1" customWidth="1"/>
    <col min="29" max="29" width="10.6640625" style="1" bestFit="1" customWidth="1"/>
    <col min="30" max="48" width="8.88671875" style="1"/>
    <col min="49" max="50" width="12.21875" style="1" customWidth="1"/>
    <col min="51" max="51" width="15" style="1" customWidth="1"/>
    <col min="52" max="65" width="8.88671875" style="1"/>
    <col min="66" max="66" width="10.33203125" style="1" bestFit="1" customWidth="1"/>
    <col min="67" max="16384" width="8.88671875" style="1"/>
  </cols>
  <sheetData>
    <row r="1" spans="25:80" s="8" customFormat="1" ht="105.6" x14ac:dyDescent="0.25">
      <c r="Y1" s="8" t="s">
        <v>145</v>
      </c>
      <c r="Z1" s="8">
        <v>230</v>
      </c>
      <c r="AA1" s="8">
        <v>210</v>
      </c>
      <c r="AB1" s="8">
        <v>190</v>
      </c>
      <c r="AC1" s="8">
        <v>170</v>
      </c>
      <c r="AD1" s="8">
        <v>150</v>
      </c>
      <c r="AE1" s="8">
        <v>130</v>
      </c>
      <c r="AF1" s="8">
        <v>110</v>
      </c>
      <c r="AG1" s="8">
        <v>90</v>
      </c>
      <c r="AH1" s="8">
        <v>70</v>
      </c>
      <c r="AI1" s="8">
        <v>50</v>
      </c>
      <c r="AJ1" s="8">
        <v>30</v>
      </c>
      <c r="AK1" s="8">
        <v>10</v>
      </c>
      <c r="AW1" s="1" t="s">
        <v>146</v>
      </c>
      <c r="AX1" s="1" t="s">
        <v>125</v>
      </c>
      <c r="AY1" s="19" t="s">
        <v>83</v>
      </c>
      <c r="AZ1" s="19" t="s">
        <v>87</v>
      </c>
      <c r="BA1" s="19" t="s">
        <v>89</v>
      </c>
      <c r="BB1" s="19" t="s">
        <v>91</v>
      </c>
      <c r="BC1" s="8" t="s">
        <v>116</v>
      </c>
      <c r="BD1" s="8" t="s">
        <v>117</v>
      </c>
      <c r="BE1" s="8" t="s">
        <v>160</v>
      </c>
      <c r="BF1" s="8" t="s">
        <v>118</v>
      </c>
      <c r="BG1" s="8" t="s">
        <v>119</v>
      </c>
      <c r="BH1" s="8" t="s">
        <v>120</v>
      </c>
      <c r="BI1" s="8" t="s">
        <v>121</v>
      </c>
      <c r="BJ1" s="8" t="s">
        <v>161</v>
      </c>
      <c r="BK1" s="8" t="s">
        <v>122</v>
      </c>
      <c r="BL1" s="8" t="s">
        <v>123</v>
      </c>
      <c r="BM1" s="1" t="s">
        <v>146</v>
      </c>
      <c r="BN1" s="1" t="s">
        <v>125</v>
      </c>
      <c r="BO1" s="19" t="s">
        <v>83</v>
      </c>
      <c r="BP1" s="19" t="s">
        <v>87</v>
      </c>
      <c r="BQ1" s="19" t="s">
        <v>89</v>
      </c>
      <c r="BR1" s="19" t="s">
        <v>91</v>
      </c>
      <c r="BS1" s="8" t="s">
        <v>116</v>
      </c>
      <c r="BT1" s="8" t="s">
        <v>117</v>
      </c>
      <c r="BU1" s="8" t="s">
        <v>160</v>
      </c>
      <c r="BV1" s="8" t="s">
        <v>118</v>
      </c>
      <c r="BW1" s="8" t="s">
        <v>119</v>
      </c>
      <c r="BX1" s="8" t="s">
        <v>120</v>
      </c>
      <c r="BY1" s="8" t="s">
        <v>121</v>
      </c>
      <c r="BZ1" s="8" t="s">
        <v>161</v>
      </c>
      <c r="CA1" s="8" t="s">
        <v>122</v>
      </c>
      <c r="CB1" s="8" t="s">
        <v>123</v>
      </c>
    </row>
    <row r="2" spans="25:80" x14ac:dyDescent="0.25">
      <c r="Y2" s="9" t="s">
        <v>147</v>
      </c>
      <c r="AA2" s="2">
        <v>0.46977987421383649</v>
      </c>
      <c r="AB2" s="2">
        <v>0.46911949685534593</v>
      </c>
      <c r="AC2" s="2">
        <v>0.45975262054507327</v>
      </c>
      <c r="AD2" s="2">
        <v>0.46509433962264146</v>
      </c>
      <c r="AE2" s="2">
        <v>0.42485115303983223</v>
      </c>
      <c r="AF2" s="2">
        <v>0.41714734950584009</v>
      </c>
      <c r="AG2" s="2">
        <v>0.44435759209344106</v>
      </c>
      <c r="AH2" s="2">
        <v>0.45478559176672384</v>
      </c>
      <c r="AI2" s="2">
        <v>0.43505765199161417</v>
      </c>
      <c r="AJ2" s="2">
        <v>0.45794811320754714</v>
      </c>
      <c r="AK2" s="2">
        <v>0.48951841868822998</v>
      </c>
      <c r="BM2" s="20" t="s">
        <v>148</v>
      </c>
      <c r="BN2" s="20"/>
    </row>
    <row r="3" spans="25:80" x14ac:dyDescent="0.25">
      <c r="AC3" s="14" t="s">
        <v>137</v>
      </c>
      <c r="AD3" s="14" t="s">
        <v>137</v>
      </c>
      <c r="AE3" s="14" t="s">
        <v>137</v>
      </c>
      <c r="AF3" s="14" t="s">
        <v>137</v>
      </c>
      <c r="AG3" s="14" t="s">
        <v>137</v>
      </c>
      <c r="AH3" s="14" t="s">
        <v>137</v>
      </c>
      <c r="AI3" s="14" t="s">
        <v>137</v>
      </c>
      <c r="AJ3" s="14" t="s">
        <v>137</v>
      </c>
      <c r="AK3" s="14" t="s">
        <v>137</v>
      </c>
      <c r="AL3" s="14" t="s">
        <v>137</v>
      </c>
      <c r="AM3" s="14" t="s">
        <v>137</v>
      </c>
      <c r="AN3" s="14" t="s">
        <v>137</v>
      </c>
      <c r="BM3" s="1" t="s">
        <v>149</v>
      </c>
    </row>
    <row r="4" spans="25:80" x14ac:dyDescent="0.25">
      <c r="AC4" s="14" t="s">
        <v>150</v>
      </c>
      <c r="AD4" s="14" t="s">
        <v>150</v>
      </c>
      <c r="AE4" s="14" t="s">
        <v>150</v>
      </c>
      <c r="AF4" s="14" t="s">
        <v>150</v>
      </c>
      <c r="AG4" s="14" t="s">
        <v>150</v>
      </c>
      <c r="AH4" s="14" t="s">
        <v>150</v>
      </c>
      <c r="AI4" s="14" t="s">
        <v>150</v>
      </c>
      <c r="AJ4" s="14" t="s">
        <v>150</v>
      </c>
      <c r="AK4" s="14" t="s">
        <v>150</v>
      </c>
      <c r="AL4" s="14" t="s">
        <v>150</v>
      </c>
      <c r="AM4" s="14" t="s">
        <v>150</v>
      </c>
      <c r="AN4" s="14" t="s">
        <v>150</v>
      </c>
      <c r="BM4" s="1" t="s">
        <v>151</v>
      </c>
    </row>
    <row r="5" spans="25:80" x14ac:dyDescent="0.25">
      <c r="Y5" s="1" t="s">
        <v>77</v>
      </c>
      <c r="Z5" s="1" t="s">
        <v>4</v>
      </c>
      <c r="AA5" s="1" t="s">
        <v>125</v>
      </c>
      <c r="AB5" s="1" t="s">
        <v>8</v>
      </c>
      <c r="AC5" s="1">
        <v>1</v>
      </c>
      <c r="AD5" s="1">
        <v>2</v>
      </c>
      <c r="AE5" s="1">
        <v>3</v>
      </c>
      <c r="AF5" s="1">
        <v>4</v>
      </c>
      <c r="AG5" s="1">
        <v>5</v>
      </c>
      <c r="AH5" s="1">
        <v>6</v>
      </c>
      <c r="AI5" s="1">
        <v>7</v>
      </c>
      <c r="AJ5" s="1">
        <v>8</v>
      </c>
      <c r="AK5" s="1">
        <v>9</v>
      </c>
      <c r="AL5" s="1">
        <v>10</v>
      </c>
      <c r="AM5" s="1">
        <v>11</v>
      </c>
      <c r="AN5" s="1">
        <v>12</v>
      </c>
      <c r="AO5" s="1">
        <v>13</v>
      </c>
      <c r="AP5" s="1">
        <v>14</v>
      </c>
      <c r="AQ5" s="1">
        <v>15</v>
      </c>
      <c r="AR5" s="1">
        <v>16</v>
      </c>
      <c r="AS5" s="1">
        <v>17</v>
      </c>
      <c r="AT5" s="1">
        <v>18</v>
      </c>
      <c r="AU5" s="1">
        <v>19</v>
      </c>
      <c r="AV5" s="1">
        <v>20</v>
      </c>
      <c r="BO5" s="1">
        <v>2</v>
      </c>
      <c r="BP5" s="1">
        <v>3</v>
      </c>
      <c r="BQ5" s="1">
        <v>4</v>
      </c>
      <c r="BR5" s="1">
        <v>5</v>
      </c>
      <c r="BS5" s="1">
        <v>6</v>
      </c>
      <c r="BT5" s="1">
        <v>7</v>
      </c>
      <c r="BU5" s="1">
        <v>8</v>
      </c>
      <c r="BV5" s="1">
        <v>9</v>
      </c>
      <c r="BW5" s="1">
        <v>10</v>
      </c>
      <c r="BX5" s="1">
        <v>11</v>
      </c>
      <c r="BY5" s="1">
        <v>12</v>
      </c>
      <c r="BZ5" s="1">
        <v>13</v>
      </c>
      <c r="CA5" s="1">
        <v>14</v>
      </c>
      <c r="CB5" s="1">
        <v>15</v>
      </c>
    </row>
    <row r="6" spans="25:80" x14ac:dyDescent="0.25">
      <c r="Y6" s="1">
        <v>2016</v>
      </c>
      <c r="Z6" s="1">
        <v>127</v>
      </c>
      <c r="AA6" s="18">
        <f>DATE(Y6,1,Z6)</f>
        <v>42496</v>
      </c>
      <c r="AB6" s="1">
        <v>10</v>
      </c>
      <c r="AC6" s="1" t="e" cm="1">
        <f t="array" ref="AC6">_xlfn.XLOOKUP(1,('2016 E Maize Soil VWC'!$C$2:$C$4000=$AA6)*('2016 E Maize Soil VWC'!$E$2:$E$4000=$AB6)*('2016 E Maize Soil VWC'!$F$2:$F$4000=AC$5),'2016 E Maize Soil VWC'!$G$2:$G$4000)</f>
        <v>#N/A</v>
      </c>
      <c r="AD6" s="1" t="e" cm="1">
        <f t="array" ref="AD6">_xlfn.XLOOKUP(1,('2016 E Maize Soil VWC'!$C$2:$C$4000=$AA6)*('2016 E Maize Soil VWC'!$E$2:$E$4000=$AB6)*('2016 E Maize Soil VWC'!$F$2:$F$4000=AD$5),'2016 E Maize Soil VWC'!$G$2:$G$4000)</f>
        <v>#N/A</v>
      </c>
      <c r="AE6" s="1" t="e" cm="1">
        <f t="array" ref="AE6">_xlfn.XLOOKUP(1,('2016 E Maize Soil VWC'!$C$2:$C$4000=$AA6)*('2016 E Maize Soil VWC'!$E$2:$E$4000=$AB6)*('2016 E Maize Soil VWC'!$F$2:$F$4000=AE$5),'2016 E Maize Soil VWC'!$G$2:$G$4000)</f>
        <v>#N/A</v>
      </c>
      <c r="AF6" s="1" t="e" cm="1">
        <f t="array" ref="AF6">_xlfn.XLOOKUP(1,('2016 E Maize Soil VWC'!$C$2:$C$4000=$AA6)*('2016 E Maize Soil VWC'!$E$2:$E$4000=$AB6)*('2016 E Maize Soil VWC'!$F$2:$F$4000=AF$5),'2016 E Maize Soil VWC'!$G$2:$G$4000)</f>
        <v>#N/A</v>
      </c>
      <c r="AG6" s="1" cm="1">
        <f t="array" ref="AG6">_xlfn.XLOOKUP(1,('2016 E Maize Soil VWC'!$C$2:$C$4000=$AA6)*('2016 E Maize Soil VWC'!$E$2:$E$4000=$AB6)*('2016 E Maize Soil VWC'!$F$2:$F$4000=AG$5),'2016 E Maize Soil VWC'!$G$2:$G$4000)</f>
        <v>0.27009308005171817</v>
      </c>
      <c r="AH6" s="1" cm="1">
        <f t="array" ref="AH6">_xlfn.XLOOKUP(1,('2016 E Maize Soil VWC'!$C$2:$C$4000=$AA6)*('2016 E Maize Soil VWC'!$E$2:$E$4000=$AB6)*('2016 E Maize Soil VWC'!$F$2:$F$4000=AH$5),'2016 E Maize Soil VWC'!$G$2:$G$4000)</f>
        <v>0.2515446518497052</v>
      </c>
      <c r="AI6" s="1" t="e" cm="1">
        <f t="array" ref="AI6">_xlfn.XLOOKUP(1,('2016 E Maize Soil VWC'!$C$2:$C$4000=$AA6)*('2016 E Maize Soil VWC'!$E$2:$E$4000=$AB6)*('2016 E Maize Soil VWC'!$F$2:$F$4000=AI$5),'2016 E Maize Soil VWC'!$G$2:$G$4000)</f>
        <v>#N/A</v>
      </c>
      <c r="AJ6" s="1" t="e" cm="1">
        <f t="array" ref="AJ6">_xlfn.XLOOKUP(1,('2016 E Maize Soil VWC'!$C$2:$C$4000=$AA6)*('2016 E Maize Soil VWC'!$E$2:$E$4000=$AB6)*('2016 E Maize Soil VWC'!$F$2:$F$4000=AJ$5),'2016 E Maize Soil VWC'!$G$2:$G$4000)</f>
        <v>#N/A</v>
      </c>
      <c r="AK6" s="1" t="e" cm="1">
        <f t="array" ref="AK6">_xlfn.XLOOKUP(1,('2016 E Maize Soil VWC'!$C$2:$C$4000=$AA6)*('2016 E Maize Soil VWC'!$E$2:$E$4000=$AB6)*('2016 E Maize Soil VWC'!$F$2:$F$4000=AK$5),'2016 E Maize Soil VWC'!$G$2:$G$4000)</f>
        <v>#N/A</v>
      </c>
      <c r="AL6" s="1" t="e" cm="1">
        <f t="array" ref="AL6">_xlfn.XLOOKUP(1,('2016 E Maize Soil VWC'!$C$2:$C$4000=$AA6)*('2016 E Maize Soil VWC'!$E$2:$E$4000=$AB6)*('2016 E Maize Soil VWC'!$F$2:$F$4000=AL$5),'2016 E Maize Soil VWC'!$G$2:$G$4000)</f>
        <v>#N/A</v>
      </c>
      <c r="AM6" s="1" t="e" cm="1">
        <f t="array" ref="AM6">_xlfn.XLOOKUP(1,('2016 E Maize Soil VWC'!$C$2:$C$4000=$AA6)*('2016 E Maize Soil VWC'!$E$2:$E$4000=$AB6)*('2016 E Maize Soil VWC'!$F$2:$F$4000=AM$5),'2016 E Maize Soil VWC'!$G$2:$G$4000)</f>
        <v>#N/A</v>
      </c>
      <c r="AN6" s="1" t="e" cm="1">
        <f t="array" ref="AN6">_xlfn.XLOOKUP(1,('2016 E Maize Soil VWC'!$C$2:$C$4000=$AA6)*('2016 E Maize Soil VWC'!$E$2:$E$4000=$AB6)*('2016 E Maize Soil VWC'!$F$2:$F$4000=AN$5),'2016 E Maize Soil VWC'!$G$2:$G$4000)</f>
        <v>#N/A</v>
      </c>
      <c r="AO6" s="1" t="e" cm="1">
        <f t="array" ref="AO6">_xlfn.XLOOKUP(1,('2016 E Maize Soil VWC'!$C$2:$C$4000=$AA6)*('2016 E Maize Soil VWC'!$E$2:$E$4000=$AB6)*('2016 E Maize Soil VWC'!$F$2:$F$4000=AO$5),'2016 E Maize Soil VWC'!$G$2:$G$4000)</f>
        <v>#N/A</v>
      </c>
      <c r="AP6" s="1" t="e" cm="1">
        <f t="array" ref="AP6">_xlfn.XLOOKUP(1,('2016 E Maize Soil VWC'!$C$2:$C$4000=$AA6)*('2016 E Maize Soil VWC'!$E$2:$E$4000=$AB6)*('2016 E Maize Soil VWC'!$F$2:$F$4000=AP$5),'2016 E Maize Soil VWC'!$G$2:$G$4000)</f>
        <v>#N/A</v>
      </c>
      <c r="AQ6" s="1" cm="1">
        <f t="array" ref="AQ6">_xlfn.XLOOKUP(1,('2016 E Maize Soil VWC'!$C$2:$C$4000=$AA6)*('2016 E Maize Soil VWC'!$E$2:$E$4000=$AB6)*('2016 E Maize Soil VWC'!$F$2:$F$4000=AQ$5),'2016 E Maize Soil VWC'!$G$2:$G$4000)</f>
        <v>0.27043834551980117</v>
      </c>
      <c r="AR6" s="1" cm="1">
        <f t="array" ref="AR6">_xlfn.XLOOKUP(1,('2016 E Maize Soil VWC'!$C$2:$C$4000=$AA6)*('2016 E Maize Soil VWC'!$E$2:$E$4000=$AB6)*('2016 E Maize Soil VWC'!$F$2:$F$4000=AR$5),'2016 E Maize Soil VWC'!$G$2:$G$4000)</f>
        <v>0.25275308098799559</v>
      </c>
      <c r="AS6" s="1" t="e" cm="1">
        <f t="array" ref="AS6">_xlfn.XLOOKUP(1,('2016 E Maize Soil VWC'!$C$2:$C$4000=$AA6)*('2016 E Maize Soil VWC'!$E$2:$E$4000=$AB6)*('2016 E Maize Soil VWC'!$F$2:$F$4000=AS$5),'2016 E Maize Soil VWC'!$G$2:$G$4000)</f>
        <v>#N/A</v>
      </c>
      <c r="AT6" s="1" t="e" cm="1">
        <f t="array" ref="AT6">_xlfn.XLOOKUP(1,('2016 E Maize Soil VWC'!$C$2:$C$4000=$AA6)*('2016 E Maize Soil VWC'!$E$2:$E$4000=$AB6)*('2016 E Maize Soil VWC'!$F$2:$F$4000=AT$5),'2016 E Maize Soil VWC'!$G$2:$G$4000)</f>
        <v>#N/A</v>
      </c>
      <c r="AU6" s="1" t="e" cm="1">
        <f t="array" ref="AU6">_xlfn.XLOOKUP(1,('2016 E Maize Soil VWC'!$C$2:$C$4000=$AA6)*('2016 E Maize Soil VWC'!$E$2:$E$4000=$AB6)*('2016 E Maize Soil VWC'!$F$2:$F$4000=AU$5),'2016 E Maize Soil VWC'!$G$2:$G$4000)</f>
        <v>#N/A</v>
      </c>
      <c r="AV6" s="1" t="e" cm="1">
        <f t="array" ref="AV6">_xlfn.XLOOKUP(1,('2016 E Maize Soil VWC'!$C$2:$C$4000=$AA6)*('2016 E Maize Soil VWC'!$E$2:$E$4000=$AB6)*('2016 E Maize Soil VWC'!$F$2:$F$4000=AV$5),'2016 E Maize Soil VWC'!$G$2:$G$4000)</f>
        <v>#N/A</v>
      </c>
      <c r="AW6" s="1">
        <f>Z6</f>
        <v>127</v>
      </c>
      <c r="AX6" s="15">
        <f>AA6</f>
        <v>42496</v>
      </c>
      <c r="AY6" s="1">
        <f>1400*AVERAGE(AG6:AH12)+100*AVERAGE(AG13:AH13)</f>
        <v>483.59100695408893</v>
      </c>
      <c r="AZ6" s="1" t="e">
        <f>1400*AVERAGE(AC6:AF12,AI6:AL12)+100*AVERAGE(AC13:AF13,AI13:AL13)</f>
        <v>#N/A</v>
      </c>
      <c r="BA6" s="1">
        <f>1400*AVERAGE(AQ6:AR12)+100*AVERAGE(AQ13:AR13)</f>
        <v>470.92207128972211</v>
      </c>
      <c r="BB6" s="1" t="e">
        <f>1400*AVERAGE(AM6:AP12,AS6:AV12)+100*AVERAGE(AM13:AP13,AS13:AV13)</f>
        <v>#N/A</v>
      </c>
      <c r="BC6" s="1" t="e">
        <f>AVERAGE(AC6:AD17)*2400</f>
        <v>#N/A</v>
      </c>
      <c r="BD6" s="1" t="e">
        <f>AVERAGE(AE6:AF17)*2400</f>
        <v>#N/A</v>
      </c>
      <c r="BE6" s="1">
        <f>AVERAGE(AG6:AH15)*2000</f>
        <v>648.46860134311225</v>
      </c>
      <c r="BF6" s="1" t="e">
        <f>AVERAGE(AI6:AJ17)*2400</f>
        <v>#N/A</v>
      </c>
      <c r="BG6" s="1" t="e">
        <f>AVERAGE(AK6:AL17)*2400</f>
        <v>#N/A</v>
      </c>
      <c r="BH6" s="1" t="e">
        <f>AVERAGE(AM6:AN17)*2400</f>
        <v>#N/A</v>
      </c>
      <c r="BI6" s="1" t="e">
        <f>AVERAGE(AO6:AP17)*2400</f>
        <v>#N/A</v>
      </c>
      <c r="BJ6" s="1">
        <f>AVERAGE(AQ6:AR15)*2000</f>
        <v>632.58412944369513</v>
      </c>
      <c r="BK6" s="1" t="e">
        <f>AVERAGE(AS6:AT17)*2400</f>
        <v>#N/A</v>
      </c>
      <c r="BL6" s="1" t="e">
        <f>AVERAGE(AU6:AV17)*2400</f>
        <v>#N/A</v>
      </c>
      <c r="BM6" s="1">
        <v>127</v>
      </c>
      <c r="BN6" s="15">
        <v>42496</v>
      </c>
      <c r="BO6" s="20">
        <f t="shared" ref="BO6:CB17" si="0">VLOOKUP($BN6,$AX$6:$BL$175,BO$5)</f>
        <v>483.59100695408893</v>
      </c>
      <c r="BP6" s="20" t="e">
        <f t="shared" si="0"/>
        <v>#N/A</v>
      </c>
      <c r="BQ6" s="20">
        <f t="shared" si="0"/>
        <v>470.92207128972211</v>
      </c>
      <c r="BR6" s="20" t="e">
        <f t="shared" si="0"/>
        <v>#N/A</v>
      </c>
      <c r="BS6" s="20" t="e">
        <f t="shared" si="0"/>
        <v>#N/A</v>
      </c>
      <c r="BT6" s="20" t="e">
        <f t="shared" si="0"/>
        <v>#N/A</v>
      </c>
      <c r="BU6" s="20">
        <f t="shared" si="0"/>
        <v>648.46860134311225</v>
      </c>
      <c r="BV6" s="20" t="e">
        <f t="shared" si="0"/>
        <v>#N/A</v>
      </c>
      <c r="BW6" s="20" t="e">
        <f t="shared" si="0"/>
        <v>#N/A</v>
      </c>
      <c r="BX6" s="20" t="e">
        <f t="shared" si="0"/>
        <v>#N/A</v>
      </c>
      <c r="BY6" s="20" t="e">
        <f t="shared" si="0"/>
        <v>#N/A</v>
      </c>
      <c r="BZ6" s="20">
        <f t="shared" si="0"/>
        <v>632.58412944369513</v>
      </c>
      <c r="CA6" s="20" t="e">
        <f t="shared" si="0"/>
        <v>#N/A</v>
      </c>
      <c r="CB6" s="20" t="e">
        <f t="shared" si="0"/>
        <v>#N/A</v>
      </c>
    </row>
    <row r="7" spans="25:80" x14ac:dyDescent="0.25">
      <c r="AA7" s="18">
        <f t="shared" ref="AA7:AA17" si="1">AA6</f>
        <v>42496</v>
      </c>
      <c r="AB7" s="1">
        <f t="shared" ref="AB7:AB17" si="2">AB6+20</f>
        <v>30</v>
      </c>
      <c r="AC7" s="1" t="e" cm="1">
        <f t="array" ref="AC7">_xlfn.XLOOKUP(1,('2016 E Maize Soil VWC'!$C$2:$C$4000=$AA7)*('2016 E Maize Soil VWC'!$E$2:$E$4000=$AB7)*('2016 E Maize Soil VWC'!$F$2:$F$4000=AC$5),'2016 E Maize Soil VWC'!$G$2:$G$4000)</f>
        <v>#N/A</v>
      </c>
      <c r="AD7" s="1" t="e" cm="1">
        <f t="array" ref="AD7">_xlfn.XLOOKUP(1,('2016 E Maize Soil VWC'!$C$2:$C$4000=$AA7)*('2016 E Maize Soil VWC'!$E$2:$E$4000=$AB7)*('2016 E Maize Soil VWC'!$F$2:$F$4000=AD$5),'2016 E Maize Soil VWC'!$G$2:$G$4000)</f>
        <v>#N/A</v>
      </c>
      <c r="AE7" s="1" t="e" cm="1">
        <f t="array" ref="AE7">_xlfn.XLOOKUP(1,('2016 E Maize Soil VWC'!$C$2:$C$4000=$AA7)*('2016 E Maize Soil VWC'!$E$2:$E$4000=$AB7)*('2016 E Maize Soil VWC'!$F$2:$F$4000=AE$5),'2016 E Maize Soil VWC'!$G$2:$G$4000)</f>
        <v>#N/A</v>
      </c>
      <c r="AF7" s="1" t="e" cm="1">
        <f t="array" ref="AF7">_xlfn.XLOOKUP(1,('2016 E Maize Soil VWC'!$C$2:$C$4000=$AA7)*('2016 E Maize Soil VWC'!$E$2:$E$4000=$AB7)*('2016 E Maize Soil VWC'!$F$2:$F$4000=AF$5),'2016 E Maize Soil VWC'!$G$2:$G$4000)</f>
        <v>#N/A</v>
      </c>
      <c r="AG7" s="1" cm="1">
        <f t="array" ref="AG7">_xlfn.XLOOKUP(1,('2016 E Maize Soil VWC'!$C$2:$C$4000=$AA7)*('2016 E Maize Soil VWC'!$E$2:$E$4000=$AB7)*('2016 E Maize Soil VWC'!$F$2:$F$4000=AG$5),'2016 E Maize Soil VWC'!$G$2:$G$4000)</f>
        <v>0.35042123646577572</v>
      </c>
      <c r="AH7" s="1" cm="1">
        <f t="array" ref="AH7">_xlfn.XLOOKUP(1,('2016 E Maize Soil VWC'!$C$2:$C$4000=$AA7)*('2016 E Maize Soil VWC'!$E$2:$E$4000=$AB7)*('2016 E Maize Soil VWC'!$F$2:$F$4000=AH$5),'2016 E Maize Soil VWC'!$G$2:$G$4000)</f>
        <v>0.3274084425136819</v>
      </c>
      <c r="AI7" s="1" t="e" cm="1">
        <f t="array" ref="AI7">_xlfn.XLOOKUP(1,('2016 E Maize Soil VWC'!$C$2:$C$4000=$AA7)*('2016 E Maize Soil VWC'!$E$2:$E$4000=$AB7)*('2016 E Maize Soil VWC'!$F$2:$F$4000=AI$5),'2016 E Maize Soil VWC'!$G$2:$G$4000)</f>
        <v>#N/A</v>
      </c>
      <c r="AJ7" s="1" t="e" cm="1">
        <f t="array" ref="AJ7">_xlfn.XLOOKUP(1,('2016 E Maize Soil VWC'!$C$2:$C$4000=$AA7)*('2016 E Maize Soil VWC'!$E$2:$E$4000=$AB7)*('2016 E Maize Soil VWC'!$F$2:$F$4000=AJ$5),'2016 E Maize Soil VWC'!$G$2:$G$4000)</f>
        <v>#N/A</v>
      </c>
      <c r="AK7" s="1" t="e" cm="1">
        <f t="array" ref="AK7">_xlfn.XLOOKUP(1,('2016 E Maize Soil VWC'!$C$2:$C$4000=$AA7)*('2016 E Maize Soil VWC'!$E$2:$E$4000=$AB7)*('2016 E Maize Soil VWC'!$F$2:$F$4000=AK$5),'2016 E Maize Soil VWC'!$G$2:$G$4000)</f>
        <v>#N/A</v>
      </c>
      <c r="AL7" s="1" t="e" cm="1">
        <f t="array" ref="AL7">_xlfn.XLOOKUP(1,('2016 E Maize Soil VWC'!$C$2:$C$4000=$AA7)*('2016 E Maize Soil VWC'!$E$2:$E$4000=$AB7)*('2016 E Maize Soil VWC'!$F$2:$F$4000=AL$5),'2016 E Maize Soil VWC'!$G$2:$G$4000)</f>
        <v>#N/A</v>
      </c>
      <c r="AM7" s="1" t="e" cm="1">
        <f t="array" ref="AM7">_xlfn.XLOOKUP(1,('2016 E Maize Soil VWC'!$C$2:$C$4000=$AA7)*('2016 E Maize Soil VWC'!$E$2:$E$4000=$AB7)*('2016 E Maize Soil VWC'!$F$2:$F$4000=AM$5),'2016 E Maize Soil VWC'!$G$2:$G$4000)</f>
        <v>#N/A</v>
      </c>
      <c r="AN7" s="1" t="e" cm="1">
        <f t="array" ref="AN7">_xlfn.XLOOKUP(1,('2016 E Maize Soil VWC'!$C$2:$C$4000=$AA7)*('2016 E Maize Soil VWC'!$E$2:$E$4000=$AB7)*('2016 E Maize Soil VWC'!$F$2:$F$4000=AN$5),'2016 E Maize Soil VWC'!$G$2:$G$4000)</f>
        <v>#N/A</v>
      </c>
      <c r="AO7" s="1" t="e" cm="1">
        <f t="array" ref="AO7">_xlfn.XLOOKUP(1,('2016 E Maize Soil VWC'!$C$2:$C$4000=$AA7)*('2016 E Maize Soil VWC'!$E$2:$E$4000=$AB7)*('2016 E Maize Soil VWC'!$F$2:$F$4000=AO$5),'2016 E Maize Soil VWC'!$G$2:$G$4000)</f>
        <v>#N/A</v>
      </c>
      <c r="AP7" s="1" t="e" cm="1">
        <f t="array" ref="AP7">_xlfn.XLOOKUP(1,('2016 E Maize Soil VWC'!$C$2:$C$4000=$AA7)*('2016 E Maize Soil VWC'!$E$2:$E$4000=$AB7)*('2016 E Maize Soil VWC'!$F$2:$F$4000=AP$5),'2016 E Maize Soil VWC'!$G$2:$G$4000)</f>
        <v>#N/A</v>
      </c>
      <c r="AQ7" s="1" cm="1">
        <f t="array" ref="AQ7">_xlfn.XLOOKUP(1,('2016 E Maize Soil VWC'!$C$2:$C$4000=$AA7)*('2016 E Maize Soil VWC'!$E$2:$E$4000=$AB7)*('2016 E Maize Soil VWC'!$F$2:$F$4000=AQ$5),'2016 E Maize Soil VWC'!$G$2:$G$4000)</f>
        <v>0.34978008399745869</v>
      </c>
      <c r="AR7" s="1" cm="1">
        <f t="array" ref="AR7">_xlfn.XLOOKUP(1,('2016 E Maize Soil VWC'!$C$2:$C$4000=$AA7)*('2016 E Maize Soil VWC'!$E$2:$E$4000=$AB7)*('2016 E Maize Soil VWC'!$F$2:$F$4000=AR$5),'2016 E Maize Soil VWC'!$G$2:$G$4000)</f>
        <v>0.34201755947033452</v>
      </c>
      <c r="AS7" s="1" t="e" cm="1">
        <f t="array" ref="AS7">_xlfn.XLOOKUP(1,('2016 E Maize Soil VWC'!$C$2:$C$4000=$AA7)*('2016 E Maize Soil VWC'!$E$2:$E$4000=$AB7)*('2016 E Maize Soil VWC'!$F$2:$F$4000=AS$5),'2016 E Maize Soil VWC'!$G$2:$G$4000)</f>
        <v>#N/A</v>
      </c>
      <c r="AT7" s="1" t="e" cm="1">
        <f t="array" ref="AT7">_xlfn.XLOOKUP(1,('2016 E Maize Soil VWC'!$C$2:$C$4000=$AA7)*('2016 E Maize Soil VWC'!$E$2:$E$4000=$AB7)*('2016 E Maize Soil VWC'!$F$2:$F$4000=AT$5),'2016 E Maize Soil VWC'!$G$2:$G$4000)</f>
        <v>#N/A</v>
      </c>
      <c r="AU7" s="1" t="e" cm="1">
        <f t="array" ref="AU7">_xlfn.XLOOKUP(1,('2016 E Maize Soil VWC'!$C$2:$C$4000=$AA7)*('2016 E Maize Soil VWC'!$E$2:$E$4000=$AB7)*('2016 E Maize Soil VWC'!$F$2:$F$4000=AU$5),'2016 E Maize Soil VWC'!$G$2:$G$4000)</f>
        <v>#N/A</v>
      </c>
      <c r="AV7" s="1" t="e" cm="1">
        <f t="array" ref="AV7">_xlfn.XLOOKUP(1,('2016 E Maize Soil VWC'!$C$2:$C$4000=$AA7)*('2016 E Maize Soil VWC'!$E$2:$E$4000=$AB7)*('2016 E Maize Soil VWC'!$F$2:$F$4000=AV$5),'2016 E Maize Soil VWC'!$G$2:$G$4000)</f>
        <v>#N/A</v>
      </c>
      <c r="BM7" s="1">
        <v>146</v>
      </c>
      <c r="BN7" s="15">
        <v>42515</v>
      </c>
      <c r="BO7" s="20">
        <f t="shared" si="0"/>
        <v>478.07456131223734</v>
      </c>
      <c r="BP7" s="20" t="e">
        <f t="shared" si="0"/>
        <v>#N/A</v>
      </c>
      <c r="BQ7" s="20">
        <f t="shared" si="0"/>
        <v>469.63694256885532</v>
      </c>
      <c r="BR7" s="20" t="e">
        <f t="shared" si="0"/>
        <v>#N/A</v>
      </c>
      <c r="BS7" s="20" t="e">
        <f t="shared" si="0"/>
        <v>#N/A</v>
      </c>
      <c r="BT7" s="20" t="e">
        <f t="shared" si="0"/>
        <v>#N/A</v>
      </c>
      <c r="BU7" s="20">
        <f t="shared" si="0"/>
        <v>644.98522325423278</v>
      </c>
      <c r="BV7" s="20" t="e">
        <f t="shared" si="0"/>
        <v>#N/A</v>
      </c>
      <c r="BW7" s="20" t="e">
        <f t="shared" si="0"/>
        <v>#N/A</v>
      </c>
      <c r="BX7" s="20" t="e">
        <f t="shared" si="0"/>
        <v>#N/A</v>
      </c>
      <c r="BY7" s="20" t="e">
        <f t="shared" si="0"/>
        <v>#N/A</v>
      </c>
      <c r="BZ7" s="20">
        <f t="shared" si="0"/>
        <v>632.89411691206794</v>
      </c>
      <c r="CA7" s="20" t="e">
        <f t="shared" si="0"/>
        <v>#N/A</v>
      </c>
      <c r="CB7" s="20" t="e">
        <f t="shared" si="0"/>
        <v>#N/A</v>
      </c>
    </row>
    <row r="8" spans="25:80" x14ac:dyDescent="0.25">
      <c r="AA8" s="18">
        <f t="shared" si="1"/>
        <v>42496</v>
      </c>
      <c r="AB8" s="1">
        <f t="shared" si="2"/>
        <v>50</v>
      </c>
      <c r="AC8" s="1" t="e" cm="1">
        <f t="array" ref="AC8">_xlfn.XLOOKUP(1,('2016 E Maize Soil VWC'!$C$2:$C$4000=$AA8)*('2016 E Maize Soil VWC'!$E$2:$E$4000=$AB8)*('2016 E Maize Soil VWC'!$F$2:$F$4000=AC$5),'2016 E Maize Soil VWC'!$G$2:$G$4000)</f>
        <v>#N/A</v>
      </c>
      <c r="AD8" s="1" t="e" cm="1">
        <f t="array" ref="AD8">_xlfn.XLOOKUP(1,('2016 E Maize Soil VWC'!$C$2:$C$4000=$AA8)*('2016 E Maize Soil VWC'!$E$2:$E$4000=$AB8)*('2016 E Maize Soil VWC'!$F$2:$F$4000=AD$5),'2016 E Maize Soil VWC'!$G$2:$G$4000)</f>
        <v>#N/A</v>
      </c>
      <c r="AE8" s="1" t="e" cm="1">
        <f t="array" ref="AE8">_xlfn.XLOOKUP(1,('2016 E Maize Soil VWC'!$C$2:$C$4000=$AA8)*('2016 E Maize Soil VWC'!$E$2:$E$4000=$AB8)*('2016 E Maize Soil VWC'!$F$2:$F$4000=AE$5),'2016 E Maize Soil VWC'!$G$2:$G$4000)</f>
        <v>#N/A</v>
      </c>
      <c r="AF8" s="1" t="e" cm="1">
        <f t="array" ref="AF8">_xlfn.XLOOKUP(1,('2016 E Maize Soil VWC'!$C$2:$C$4000=$AA8)*('2016 E Maize Soil VWC'!$E$2:$E$4000=$AB8)*('2016 E Maize Soil VWC'!$F$2:$F$4000=AF$5),'2016 E Maize Soil VWC'!$G$2:$G$4000)</f>
        <v>#N/A</v>
      </c>
      <c r="AG8" s="1" cm="1">
        <f t="array" ref="AG8">_xlfn.XLOOKUP(1,('2016 E Maize Soil VWC'!$C$2:$C$4000=$AA8)*('2016 E Maize Soil VWC'!$E$2:$E$4000=$AB8)*('2016 E Maize Soil VWC'!$F$2:$F$4000=AG$5),'2016 E Maize Soil VWC'!$G$2:$G$4000)</f>
        <v>0.3493221179486608</v>
      </c>
      <c r="AH8" s="1" cm="1">
        <f t="array" ref="AH8">_xlfn.XLOOKUP(1,('2016 E Maize Soil VWC'!$C$2:$C$4000=$AA8)*('2016 E Maize Soil VWC'!$E$2:$E$4000=$AB8)*('2016 E Maize Soil VWC'!$F$2:$F$4000=AH$5),'2016 E Maize Soil VWC'!$G$2:$G$4000)</f>
        <v>0.3460476606997559</v>
      </c>
      <c r="AI8" s="1" t="e" cm="1">
        <f t="array" ref="AI8">_xlfn.XLOOKUP(1,('2016 E Maize Soil VWC'!$C$2:$C$4000=$AA8)*('2016 E Maize Soil VWC'!$E$2:$E$4000=$AB8)*('2016 E Maize Soil VWC'!$F$2:$F$4000=AI$5),'2016 E Maize Soil VWC'!$G$2:$G$4000)</f>
        <v>#N/A</v>
      </c>
      <c r="AJ8" s="1" t="e" cm="1">
        <f t="array" ref="AJ8">_xlfn.XLOOKUP(1,('2016 E Maize Soil VWC'!$C$2:$C$4000=$AA8)*('2016 E Maize Soil VWC'!$E$2:$E$4000=$AB8)*('2016 E Maize Soil VWC'!$F$2:$F$4000=AJ$5),'2016 E Maize Soil VWC'!$G$2:$G$4000)</f>
        <v>#N/A</v>
      </c>
      <c r="AK8" s="1" t="e" cm="1">
        <f t="array" ref="AK8">_xlfn.XLOOKUP(1,('2016 E Maize Soil VWC'!$C$2:$C$4000=$AA8)*('2016 E Maize Soil VWC'!$E$2:$E$4000=$AB8)*('2016 E Maize Soil VWC'!$F$2:$F$4000=AK$5),'2016 E Maize Soil VWC'!$G$2:$G$4000)</f>
        <v>#N/A</v>
      </c>
      <c r="AL8" s="1" t="e" cm="1">
        <f t="array" ref="AL8">_xlfn.XLOOKUP(1,('2016 E Maize Soil VWC'!$C$2:$C$4000=$AA8)*('2016 E Maize Soil VWC'!$E$2:$E$4000=$AB8)*('2016 E Maize Soil VWC'!$F$2:$F$4000=AL$5),'2016 E Maize Soil VWC'!$G$2:$G$4000)</f>
        <v>#N/A</v>
      </c>
      <c r="AM8" s="1" t="e" cm="1">
        <f t="array" ref="AM8">_xlfn.XLOOKUP(1,('2016 E Maize Soil VWC'!$C$2:$C$4000=$AA8)*('2016 E Maize Soil VWC'!$E$2:$E$4000=$AB8)*('2016 E Maize Soil VWC'!$F$2:$F$4000=AM$5),'2016 E Maize Soil VWC'!$G$2:$G$4000)</f>
        <v>#N/A</v>
      </c>
      <c r="AN8" s="1" t="e" cm="1">
        <f t="array" ref="AN8">_xlfn.XLOOKUP(1,('2016 E Maize Soil VWC'!$C$2:$C$4000=$AA8)*('2016 E Maize Soil VWC'!$E$2:$E$4000=$AB8)*('2016 E Maize Soil VWC'!$F$2:$F$4000=AN$5),'2016 E Maize Soil VWC'!$G$2:$G$4000)</f>
        <v>#N/A</v>
      </c>
      <c r="AO8" s="1" t="e" cm="1">
        <f t="array" ref="AO8">_xlfn.XLOOKUP(1,('2016 E Maize Soil VWC'!$C$2:$C$4000=$AA8)*('2016 E Maize Soil VWC'!$E$2:$E$4000=$AB8)*('2016 E Maize Soil VWC'!$F$2:$F$4000=AO$5),'2016 E Maize Soil VWC'!$G$2:$G$4000)</f>
        <v>#N/A</v>
      </c>
      <c r="AP8" s="1" t="e" cm="1">
        <f t="array" ref="AP8">_xlfn.XLOOKUP(1,('2016 E Maize Soil VWC'!$C$2:$C$4000=$AA8)*('2016 E Maize Soil VWC'!$E$2:$E$4000=$AB8)*('2016 E Maize Soil VWC'!$F$2:$F$4000=AP$5),'2016 E Maize Soil VWC'!$G$2:$G$4000)</f>
        <v>#N/A</v>
      </c>
      <c r="AQ8" s="1" cm="1">
        <f t="array" ref="AQ8">_xlfn.XLOOKUP(1,('2016 E Maize Soil VWC'!$C$2:$C$4000=$AA8)*('2016 E Maize Soil VWC'!$E$2:$E$4000=$AB8)*('2016 E Maize Soil VWC'!$F$2:$F$4000=AQ$5),'2016 E Maize Soil VWC'!$G$2:$G$4000)</f>
        <v>0.34039177999710202</v>
      </c>
      <c r="AR8" s="1" cm="1">
        <f t="array" ref="AR8">_xlfn.XLOOKUP(1,('2016 E Maize Soil VWC'!$C$2:$C$4000=$AA8)*('2016 E Maize Soil VWC'!$E$2:$E$4000=$AB8)*('2016 E Maize Soil VWC'!$F$2:$F$4000=AR$5),'2016 E Maize Soil VWC'!$G$2:$G$4000)</f>
        <v>0.33329330624073478</v>
      </c>
      <c r="AS8" s="1" t="e" cm="1">
        <f t="array" ref="AS8">_xlfn.XLOOKUP(1,('2016 E Maize Soil VWC'!$C$2:$C$4000=$AA8)*('2016 E Maize Soil VWC'!$E$2:$E$4000=$AB8)*('2016 E Maize Soil VWC'!$F$2:$F$4000=AS$5),'2016 E Maize Soil VWC'!$G$2:$G$4000)</f>
        <v>#N/A</v>
      </c>
      <c r="AT8" s="1" t="e" cm="1">
        <f t="array" ref="AT8">_xlfn.XLOOKUP(1,('2016 E Maize Soil VWC'!$C$2:$C$4000=$AA8)*('2016 E Maize Soil VWC'!$E$2:$E$4000=$AB8)*('2016 E Maize Soil VWC'!$F$2:$F$4000=AT$5),'2016 E Maize Soil VWC'!$G$2:$G$4000)</f>
        <v>#N/A</v>
      </c>
      <c r="AU8" s="1" t="e" cm="1">
        <f t="array" ref="AU8">_xlfn.XLOOKUP(1,('2016 E Maize Soil VWC'!$C$2:$C$4000=$AA8)*('2016 E Maize Soil VWC'!$E$2:$E$4000=$AB8)*('2016 E Maize Soil VWC'!$F$2:$F$4000=AU$5),'2016 E Maize Soil VWC'!$G$2:$G$4000)</f>
        <v>#N/A</v>
      </c>
      <c r="AV8" s="1" t="e" cm="1">
        <f t="array" ref="AV8">_xlfn.XLOOKUP(1,('2016 E Maize Soil VWC'!$C$2:$C$4000=$AA8)*('2016 E Maize Soil VWC'!$E$2:$E$4000=$AB8)*('2016 E Maize Soil VWC'!$F$2:$F$4000=AV$5),'2016 E Maize Soil VWC'!$G$2:$G$4000)</f>
        <v>#N/A</v>
      </c>
      <c r="BM8" s="1">
        <v>161</v>
      </c>
      <c r="BN8" s="15">
        <v>42530</v>
      </c>
      <c r="BO8" s="20">
        <f t="shared" si="0"/>
        <v>483.51502436606211</v>
      </c>
      <c r="BP8" s="20">
        <f t="shared" si="0"/>
        <v>478.26975738293748</v>
      </c>
      <c r="BQ8" s="20">
        <f t="shared" si="0"/>
        <v>466.67061003600219</v>
      </c>
      <c r="BR8" s="20">
        <f t="shared" si="0"/>
        <v>461.33498111352918</v>
      </c>
      <c r="BS8" s="20">
        <f t="shared" si="0"/>
        <v>740.78354979658263</v>
      </c>
      <c r="BT8" s="20">
        <f t="shared" si="0"/>
        <v>727.12301099122828</v>
      </c>
      <c r="BU8" s="20">
        <f t="shared" si="0"/>
        <v>651.36776835270928</v>
      </c>
      <c r="BV8" s="20">
        <f t="shared" si="0"/>
        <v>746.52819474347109</v>
      </c>
      <c r="BW8" s="20">
        <f t="shared" si="0"/>
        <v>748.78383501900419</v>
      </c>
      <c r="BX8" s="20">
        <f t="shared" si="0"/>
        <v>741.59186696501229</v>
      </c>
      <c r="BY8" s="20">
        <f t="shared" si="0"/>
        <v>688.98875395855873</v>
      </c>
      <c r="BZ8" s="20">
        <f t="shared" si="0"/>
        <v>628.60906416175305</v>
      </c>
      <c r="CA8" s="20">
        <f t="shared" si="0"/>
        <v>751.99848572957194</v>
      </c>
      <c r="CB8" s="20">
        <f t="shared" si="0"/>
        <v>743.91998730006605</v>
      </c>
    </row>
    <row r="9" spans="25:80" x14ac:dyDescent="0.25">
      <c r="AA9" s="18">
        <f t="shared" si="1"/>
        <v>42496</v>
      </c>
      <c r="AB9" s="1">
        <f t="shared" si="2"/>
        <v>70</v>
      </c>
      <c r="AC9" s="1" t="e" cm="1">
        <f t="array" ref="AC9">_xlfn.XLOOKUP(1,('2016 E Maize Soil VWC'!$C$2:$C$4000=$AA9)*('2016 E Maize Soil VWC'!$E$2:$E$4000=$AB9)*('2016 E Maize Soil VWC'!$F$2:$F$4000=AC$5),'2016 E Maize Soil VWC'!$G$2:$G$4000)</f>
        <v>#N/A</v>
      </c>
      <c r="AD9" s="1" t="e" cm="1">
        <f t="array" ref="AD9">_xlfn.XLOOKUP(1,('2016 E Maize Soil VWC'!$C$2:$C$4000=$AA9)*('2016 E Maize Soil VWC'!$E$2:$E$4000=$AB9)*('2016 E Maize Soil VWC'!$F$2:$F$4000=AD$5),'2016 E Maize Soil VWC'!$G$2:$G$4000)</f>
        <v>#N/A</v>
      </c>
      <c r="AE9" s="1" t="e" cm="1">
        <f t="array" ref="AE9">_xlfn.XLOOKUP(1,('2016 E Maize Soil VWC'!$C$2:$C$4000=$AA9)*('2016 E Maize Soil VWC'!$E$2:$E$4000=$AB9)*('2016 E Maize Soil VWC'!$F$2:$F$4000=AE$5),'2016 E Maize Soil VWC'!$G$2:$G$4000)</f>
        <v>#N/A</v>
      </c>
      <c r="AF9" s="1" t="e" cm="1">
        <f t="array" ref="AF9">_xlfn.XLOOKUP(1,('2016 E Maize Soil VWC'!$C$2:$C$4000=$AA9)*('2016 E Maize Soil VWC'!$E$2:$E$4000=$AB9)*('2016 E Maize Soil VWC'!$F$2:$F$4000=AF$5),'2016 E Maize Soil VWC'!$G$2:$G$4000)</f>
        <v>#N/A</v>
      </c>
      <c r="AG9" s="1" cm="1">
        <f t="array" ref="AG9">_xlfn.XLOOKUP(1,('2016 E Maize Soil VWC'!$C$2:$C$4000=$AA9)*('2016 E Maize Soil VWC'!$E$2:$E$4000=$AB9)*('2016 E Maize Soil VWC'!$F$2:$F$4000=AG$5),'2016 E Maize Soil VWC'!$G$2:$G$4000)</f>
        <v>0.33627008555792104</v>
      </c>
      <c r="AH9" s="1" cm="1">
        <f t="array" ref="AH9">_xlfn.XLOOKUP(1,('2016 E Maize Soil VWC'!$C$2:$C$4000=$AA9)*('2016 E Maize Soil VWC'!$E$2:$E$4000=$AB9)*('2016 E Maize Soil VWC'!$F$2:$F$4000=AH$5),'2016 E Maize Soil VWC'!$G$2:$G$4000)</f>
        <v>0.33395735701149171</v>
      </c>
      <c r="AI9" s="1" t="e" cm="1">
        <f t="array" ref="AI9">_xlfn.XLOOKUP(1,('2016 E Maize Soil VWC'!$C$2:$C$4000=$AA9)*('2016 E Maize Soil VWC'!$E$2:$E$4000=$AB9)*('2016 E Maize Soil VWC'!$F$2:$F$4000=AI$5),'2016 E Maize Soil VWC'!$G$2:$G$4000)</f>
        <v>#N/A</v>
      </c>
      <c r="AJ9" s="1" t="e" cm="1">
        <f t="array" ref="AJ9">_xlfn.XLOOKUP(1,('2016 E Maize Soil VWC'!$C$2:$C$4000=$AA9)*('2016 E Maize Soil VWC'!$E$2:$E$4000=$AB9)*('2016 E Maize Soil VWC'!$F$2:$F$4000=AJ$5),'2016 E Maize Soil VWC'!$G$2:$G$4000)</f>
        <v>#N/A</v>
      </c>
      <c r="AK9" s="1" t="e" cm="1">
        <f t="array" ref="AK9">_xlfn.XLOOKUP(1,('2016 E Maize Soil VWC'!$C$2:$C$4000=$AA9)*('2016 E Maize Soil VWC'!$E$2:$E$4000=$AB9)*('2016 E Maize Soil VWC'!$F$2:$F$4000=AK$5),'2016 E Maize Soil VWC'!$G$2:$G$4000)</f>
        <v>#N/A</v>
      </c>
      <c r="AL9" s="1" t="e" cm="1">
        <f t="array" ref="AL9">_xlfn.XLOOKUP(1,('2016 E Maize Soil VWC'!$C$2:$C$4000=$AA9)*('2016 E Maize Soil VWC'!$E$2:$E$4000=$AB9)*('2016 E Maize Soil VWC'!$F$2:$F$4000=AL$5),'2016 E Maize Soil VWC'!$G$2:$G$4000)</f>
        <v>#N/A</v>
      </c>
      <c r="AM9" s="1" t="e" cm="1">
        <f t="array" ref="AM9">_xlfn.XLOOKUP(1,('2016 E Maize Soil VWC'!$C$2:$C$4000=$AA9)*('2016 E Maize Soil VWC'!$E$2:$E$4000=$AB9)*('2016 E Maize Soil VWC'!$F$2:$F$4000=AM$5),'2016 E Maize Soil VWC'!$G$2:$G$4000)</f>
        <v>#N/A</v>
      </c>
      <c r="AN9" s="1" t="e" cm="1">
        <f t="array" ref="AN9">_xlfn.XLOOKUP(1,('2016 E Maize Soil VWC'!$C$2:$C$4000=$AA9)*('2016 E Maize Soil VWC'!$E$2:$E$4000=$AB9)*('2016 E Maize Soil VWC'!$F$2:$F$4000=AN$5),'2016 E Maize Soil VWC'!$G$2:$G$4000)</f>
        <v>#N/A</v>
      </c>
      <c r="AO9" s="1" t="e" cm="1">
        <f t="array" ref="AO9">_xlfn.XLOOKUP(1,('2016 E Maize Soil VWC'!$C$2:$C$4000=$AA9)*('2016 E Maize Soil VWC'!$E$2:$E$4000=$AB9)*('2016 E Maize Soil VWC'!$F$2:$F$4000=AO$5),'2016 E Maize Soil VWC'!$G$2:$G$4000)</f>
        <v>#N/A</v>
      </c>
      <c r="AP9" s="1" t="e" cm="1">
        <f t="array" ref="AP9">_xlfn.XLOOKUP(1,('2016 E Maize Soil VWC'!$C$2:$C$4000=$AA9)*('2016 E Maize Soil VWC'!$E$2:$E$4000=$AB9)*('2016 E Maize Soil VWC'!$F$2:$F$4000=AP$5),'2016 E Maize Soil VWC'!$G$2:$G$4000)</f>
        <v>#N/A</v>
      </c>
      <c r="AQ9" s="1" cm="1">
        <f t="array" ref="AQ9">_xlfn.XLOOKUP(1,('2016 E Maize Soil VWC'!$C$2:$C$4000=$AA9)*('2016 E Maize Soil VWC'!$E$2:$E$4000=$AB9)*('2016 E Maize Soil VWC'!$F$2:$F$4000=AQ$5),'2016 E Maize Soil VWC'!$G$2:$G$4000)</f>
        <v>0.3239050022403781</v>
      </c>
      <c r="AR9" s="1" cm="1">
        <f t="array" ref="AR9">_xlfn.XLOOKUP(1,('2016 E Maize Soil VWC'!$C$2:$C$4000=$AA9)*('2016 E Maize Soil VWC'!$E$2:$E$4000=$AB9)*('2016 E Maize Soil VWC'!$F$2:$F$4000=AR$5),'2016 E Maize Soil VWC'!$G$2:$G$4000)</f>
        <v>0.31806593511820502</v>
      </c>
      <c r="AS9" s="1" t="e" cm="1">
        <f t="array" ref="AS9">_xlfn.XLOOKUP(1,('2016 E Maize Soil VWC'!$C$2:$C$4000=$AA9)*('2016 E Maize Soil VWC'!$E$2:$E$4000=$AB9)*('2016 E Maize Soil VWC'!$F$2:$F$4000=AS$5),'2016 E Maize Soil VWC'!$G$2:$G$4000)</f>
        <v>#N/A</v>
      </c>
      <c r="AT9" s="1" t="e" cm="1">
        <f t="array" ref="AT9">_xlfn.XLOOKUP(1,('2016 E Maize Soil VWC'!$C$2:$C$4000=$AA9)*('2016 E Maize Soil VWC'!$E$2:$E$4000=$AB9)*('2016 E Maize Soil VWC'!$F$2:$F$4000=AT$5),'2016 E Maize Soil VWC'!$G$2:$G$4000)</f>
        <v>#N/A</v>
      </c>
      <c r="AU9" s="1" t="e" cm="1">
        <f t="array" ref="AU9">_xlfn.XLOOKUP(1,('2016 E Maize Soil VWC'!$C$2:$C$4000=$AA9)*('2016 E Maize Soil VWC'!$E$2:$E$4000=$AB9)*('2016 E Maize Soil VWC'!$F$2:$F$4000=AU$5),'2016 E Maize Soil VWC'!$G$2:$G$4000)</f>
        <v>#N/A</v>
      </c>
      <c r="AV9" s="1" t="e" cm="1">
        <f t="array" ref="AV9">_xlfn.XLOOKUP(1,('2016 E Maize Soil VWC'!$C$2:$C$4000=$AA9)*('2016 E Maize Soil VWC'!$E$2:$E$4000=$AB9)*('2016 E Maize Soil VWC'!$F$2:$F$4000=AV$5),'2016 E Maize Soil VWC'!$G$2:$G$4000)</f>
        <v>#N/A</v>
      </c>
      <c r="BM9" s="1">
        <v>167</v>
      </c>
      <c r="BN9" s="15">
        <v>42536</v>
      </c>
      <c r="BO9" s="20">
        <f t="shared" si="0"/>
        <v>483.99924965558364</v>
      </c>
      <c r="BP9" s="20">
        <f t="shared" si="0"/>
        <v>483.86715530975209</v>
      </c>
      <c r="BQ9" s="20">
        <f t="shared" si="0"/>
        <v>467.75502413589396</v>
      </c>
      <c r="BR9" s="20">
        <f t="shared" si="0"/>
        <v>463.15942854712603</v>
      </c>
      <c r="BS9" s="20">
        <f t="shared" si="0"/>
        <v>755.79470329480466</v>
      </c>
      <c r="BT9" s="20">
        <f t="shared" si="0"/>
        <v>738.99171850262508</v>
      </c>
      <c r="BU9" s="20">
        <f t="shared" si="0"/>
        <v>653.00429234147373</v>
      </c>
      <c r="BV9" s="20">
        <f t="shared" si="0"/>
        <v>754.47288844143259</v>
      </c>
      <c r="BW9" s="20">
        <f t="shared" si="0"/>
        <v>757.70532696478926</v>
      </c>
      <c r="BX9" s="20">
        <f t="shared" si="0"/>
        <v>749.86994041708931</v>
      </c>
      <c r="BY9" s="20">
        <f t="shared" si="0"/>
        <v>701.51987581506296</v>
      </c>
      <c r="BZ9" s="20">
        <f t="shared" si="0"/>
        <v>632.89344289265136</v>
      </c>
      <c r="CA9" s="20">
        <f t="shared" si="0"/>
        <v>759.44339132160019</v>
      </c>
      <c r="CB9" s="20">
        <f t="shared" si="0"/>
        <v>751.22419102288325</v>
      </c>
    </row>
    <row r="10" spans="25:80" x14ac:dyDescent="0.25">
      <c r="AA10" s="18">
        <f t="shared" si="1"/>
        <v>42496</v>
      </c>
      <c r="AB10" s="1">
        <f t="shared" si="2"/>
        <v>90</v>
      </c>
      <c r="AC10" s="1" t="e" cm="1">
        <f t="array" ref="AC10">_xlfn.XLOOKUP(1,('2016 E Maize Soil VWC'!$C$2:$C$4000=$AA10)*('2016 E Maize Soil VWC'!$E$2:$E$4000=$AB10)*('2016 E Maize Soil VWC'!$F$2:$F$4000=AC$5),'2016 E Maize Soil VWC'!$G$2:$G$4000)</f>
        <v>#N/A</v>
      </c>
      <c r="AD10" s="1" t="e" cm="1">
        <f t="array" ref="AD10">_xlfn.XLOOKUP(1,('2016 E Maize Soil VWC'!$C$2:$C$4000=$AA10)*('2016 E Maize Soil VWC'!$E$2:$E$4000=$AB10)*('2016 E Maize Soil VWC'!$F$2:$F$4000=AD$5),'2016 E Maize Soil VWC'!$G$2:$G$4000)</f>
        <v>#N/A</v>
      </c>
      <c r="AE10" s="1" t="e" cm="1">
        <f t="array" ref="AE10">_xlfn.XLOOKUP(1,('2016 E Maize Soil VWC'!$C$2:$C$4000=$AA10)*('2016 E Maize Soil VWC'!$E$2:$E$4000=$AB10)*('2016 E Maize Soil VWC'!$F$2:$F$4000=AE$5),'2016 E Maize Soil VWC'!$G$2:$G$4000)</f>
        <v>#N/A</v>
      </c>
      <c r="AF10" s="1" t="e" cm="1">
        <f t="array" ref="AF10">_xlfn.XLOOKUP(1,('2016 E Maize Soil VWC'!$C$2:$C$4000=$AA10)*('2016 E Maize Soil VWC'!$E$2:$E$4000=$AB10)*('2016 E Maize Soil VWC'!$F$2:$F$4000=AF$5),'2016 E Maize Soil VWC'!$G$2:$G$4000)</f>
        <v>#N/A</v>
      </c>
      <c r="AG10" s="1" cm="1">
        <f t="array" ref="AG10">_xlfn.XLOOKUP(1,('2016 E Maize Soil VWC'!$C$2:$C$4000=$AA10)*('2016 E Maize Soil VWC'!$E$2:$E$4000=$AB10)*('2016 E Maize Soil VWC'!$F$2:$F$4000=AG$5),'2016 E Maize Soil VWC'!$G$2:$G$4000)</f>
        <v>0.33159883186018257</v>
      </c>
      <c r="AH10" s="1" cm="1">
        <f t="array" ref="AH10">_xlfn.XLOOKUP(1,('2016 E Maize Soil VWC'!$C$2:$C$4000=$AA10)*('2016 E Maize Soil VWC'!$E$2:$E$4000=$AB10)*('2016 E Maize Soil VWC'!$F$2:$F$4000=AH$5),'2016 E Maize Soil VWC'!$G$2:$G$4000)</f>
        <v>0.32360732430865946</v>
      </c>
      <c r="AI10" s="1" t="e" cm="1">
        <f t="array" ref="AI10">_xlfn.XLOOKUP(1,('2016 E Maize Soil VWC'!$C$2:$C$4000=$AA10)*('2016 E Maize Soil VWC'!$E$2:$E$4000=$AB10)*('2016 E Maize Soil VWC'!$F$2:$F$4000=AI$5),'2016 E Maize Soil VWC'!$G$2:$G$4000)</f>
        <v>#N/A</v>
      </c>
      <c r="AJ10" s="1" t="e" cm="1">
        <f t="array" ref="AJ10">_xlfn.XLOOKUP(1,('2016 E Maize Soil VWC'!$C$2:$C$4000=$AA10)*('2016 E Maize Soil VWC'!$E$2:$E$4000=$AB10)*('2016 E Maize Soil VWC'!$F$2:$F$4000=AJ$5),'2016 E Maize Soil VWC'!$G$2:$G$4000)</f>
        <v>#N/A</v>
      </c>
      <c r="AK10" s="1" t="e" cm="1">
        <f t="array" ref="AK10">_xlfn.XLOOKUP(1,('2016 E Maize Soil VWC'!$C$2:$C$4000=$AA10)*('2016 E Maize Soil VWC'!$E$2:$E$4000=$AB10)*('2016 E Maize Soil VWC'!$F$2:$F$4000=AK$5),'2016 E Maize Soil VWC'!$G$2:$G$4000)</f>
        <v>#N/A</v>
      </c>
      <c r="AL10" s="1" t="e" cm="1">
        <f t="array" ref="AL10">_xlfn.XLOOKUP(1,('2016 E Maize Soil VWC'!$C$2:$C$4000=$AA10)*('2016 E Maize Soil VWC'!$E$2:$E$4000=$AB10)*('2016 E Maize Soil VWC'!$F$2:$F$4000=AL$5),'2016 E Maize Soil VWC'!$G$2:$G$4000)</f>
        <v>#N/A</v>
      </c>
      <c r="AM10" s="1" t="e" cm="1">
        <f t="array" ref="AM10">_xlfn.XLOOKUP(1,('2016 E Maize Soil VWC'!$C$2:$C$4000=$AA10)*('2016 E Maize Soil VWC'!$E$2:$E$4000=$AB10)*('2016 E Maize Soil VWC'!$F$2:$F$4000=AM$5),'2016 E Maize Soil VWC'!$G$2:$G$4000)</f>
        <v>#N/A</v>
      </c>
      <c r="AN10" s="1" t="e" cm="1">
        <f t="array" ref="AN10">_xlfn.XLOOKUP(1,('2016 E Maize Soil VWC'!$C$2:$C$4000=$AA10)*('2016 E Maize Soil VWC'!$E$2:$E$4000=$AB10)*('2016 E Maize Soil VWC'!$F$2:$F$4000=AN$5),'2016 E Maize Soil VWC'!$G$2:$G$4000)</f>
        <v>#N/A</v>
      </c>
      <c r="AO10" s="1" t="e" cm="1">
        <f t="array" ref="AO10">_xlfn.XLOOKUP(1,('2016 E Maize Soil VWC'!$C$2:$C$4000=$AA10)*('2016 E Maize Soil VWC'!$E$2:$E$4000=$AB10)*('2016 E Maize Soil VWC'!$F$2:$F$4000=AO$5),'2016 E Maize Soil VWC'!$G$2:$G$4000)</f>
        <v>#N/A</v>
      </c>
      <c r="AP10" s="1" t="e" cm="1">
        <f t="array" ref="AP10">_xlfn.XLOOKUP(1,('2016 E Maize Soil VWC'!$C$2:$C$4000=$AA10)*('2016 E Maize Soil VWC'!$E$2:$E$4000=$AB10)*('2016 E Maize Soil VWC'!$F$2:$F$4000=AP$5),'2016 E Maize Soil VWC'!$G$2:$G$4000)</f>
        <v>#N/A</v>
      </c>
      <c r="AQ10" s="1" cm="1">
        <f t="array" ref="AQ10">_xlfn.XLOOKUP(1,('2016 E Maize Soil VWC'!$C$2:$C$4000=$AA10)*('2016 E Maize Soil VWC'!$E$2:$E$4000=$AB10)*('2016 E Maize Soil VWC'!$F$2:$F$4000=AQ$5),'2016 E Maize Soil VWC'!$G$2:$G$4000)</f>
        <v>0.3206076466890333</v>
      </c>
      <c r="AR10" s="1" cm="1">
        <f t="array" ref="AR10">_xlfn.XLOOKUP(1,('2016 E Maize Soil VWC'!$C$2:$C$4000=$AA10)*('2016 E Maize Soil VWC'!$E$2:$E$4000=$AB10)*('2016 E Maize Soil VWC'!$F$2:$F$4000=AR$5),'2016 E Maize Soil VWC'!$G$2:$G$4000)</f>
        <v>0.30805937695197122</v>
      </c>
      <c r="AS10" s="1" t="e" cm="1">
        <f t="array" ref="AS10">_xlfn.XLOOKUP(1,('2016 E Maize Soil VWC'!$C$2:$C$4000=$AA10)*('2016 E Maize Soil VWC'!$E$2:$E$4000=$AB10)*('2016 E Maize Soil VWC'!$F$2:$F$4000=AS$5),'2016 E Maize Soil VWC'!$G$2:$G$4000)</f>
        <v>#N/A</v>
      </c>
      <c r="AT10" s="1" t="e" cm="1">
        <f t="array" ref="AT10">_xlfn.XLOOKUP(1,('2016 E Maize Soil VWC'!$C$2:$C$4000=$AA10)*('2016 E Maize Soil VWC'!$E$2:$E$4000=$AB10)*('2016 E Maize Soil VWC'!$F$2:$F$4000=AT$5),'2016 E Maize Soil VWC'!$G$2:$G$4000)</f>
        <v>#N/A</v>
      </c>
      <c r="AU10" s="1" t="e" cm="1">
        <f t="array" ref="AU10">_xlfn.XLOOKUP(1,('2016 E Maize Soil VWC'!$C$2:$C$4000=$AA10)*('2016 E Maize Soil VWC'!$E$2:$E$4000=$AB10)*('2016 E Maize Soil VWC'!$F$2:$F$4000=AU$5),'2016 E Maize Soil VWC'!$G$2:$G$4000)</f>
        <v>#N/A</v>
      </c>
      <c r="AV10" s="1" t="e" cm="1">
        <f t="array" ref="AV10">_xlfn.XLOOKUP(1,('2016 E Maize Soil VWC'!$C$2:$C$4000=$AA10)*('2016 E Maize Soil VWC'!$E$2:$E$4000=$AB10)*('2016 E Maize Soil VWC'!$F$2:$F$4000=AV$5),'2016 E Maize Soil VWC'!$G$2:$G$4000)</f>
        <v>#N/A</v>
      </c>
      <c r="BM10" s="1">
        <v>173</v>
      </c>
      <c r="BN10" s="15">
        <v>42542</v>
      </c>
      <c r="BO10" s="20">
        <f t="shared" si="0"/>
        <v>469.57229555992728</v>
      </c>
      <c r="BP10" s="20">
        <f t="shared" si="0"/>
        <v>473.40160216054375</v>
      </c>
      <c r="BQ10" s="20">
        <f t="shared" si="0"/>
        <v>453.1180995296321</v>
      </c>
      <c r="BR10" s="20">
        <f t="shared" si="0"/>
        <v>452.6032934304535</v>
      </c>
      <c r="BS10" s="20">
        <f t="shared" si="0"/>
        <v>744.90152621465279</v>
      </c>
      <c r="BT10" s="20">
        <f t="shared" si="0"/>
        <v>734.60264180478634</v>
      </c>
      <c r="BU10" s="20">
        <f t="shared" si="0"/>
        <v>640.16953475929859</v>
      </c>
      <c r="BV10" s="20">
        <f t="shared" si="0"/>
        <v>749.95769393314561</v>
      </c>
      <c r="BW10" s="20">
        <f t="shared" si="0"/>
        <v>749.83116006442469</v>
      </c>
      <c r="BX10" s="20">
        <f t="shared" si="0"/>
        <v>733.50856215210058</v>
      </c>
      <c r="BY10" s="20">
        <f t="shared" si="0"/>
        <v>706.04695383037779</v>
      </c>
      <c r="BZ10" s="20">
        <f t="shared" si="0"/>
        <v>619.27840480176565</v>
      </c>
      <c r="CA10" s="20">
        <f t="shared" si="0"/>
        <v>749.27822329547348</v>
      </c>
      <c r="CB10" s="20">
        <f t="shared" si="0"/>
        <v>742.59315126787567</v>
      </c>
    </row>
    <row r="11" spans="25:80" x14ac:dyDescent="0.25">
      <c r="AA11" s="18">
        <f t="shared" si="1"/>
        <v>42496</v>
      </c>
      <c r="AB11" s="1">
        <f t="shared" si="2"/>
        <v>110</v>
      </c>
      <c r="AC11" s="1" t="e" cm="1">
        <f t="array" ref="AC11">_xlfn.XLOOKUP(1,('2016 E Maize Soil VWC'!$C$2:$C$4000=$AA11)*('2016 E Maize Soil VWC'!$E$2:$E$4000=$AB11)*('2016 E Maize Soil VWC'!$F$2:$F$4000=AC$5),'2016 E Maize Soil VWC'!$G$2:$G$4000)</f>
        <v>#N/A</v>
      </c>
      <c r="AD11" s="1" t="e" cm="1">
        <f t="array" ref="AD11">_xlfn.XLOOKUP(1,('2016 E Maize Soil VWC'!$C$2:$C$4000=$AA11)*('2016 E Maize Soil VWC'!$E$2:$E$4000=$AB11)*('2016 E Maize Soil VWC'!$F$2:$F$4000=AD$5),'2016 E Maize Soil VWC'!$G$2:$G$4000)</f>
        <v>#N/A</v>
      </c>
      <c r="AE11" s="1" t="e" cm="1">
        <f t="array" ref="AE11">_xlfn.XLOOKUP(1,('2016 E Maize Soil VWC'!$C$2:$C$4000=$AA11)*('2016 E Maize Soil VWC'!$E$2:$E$4000=$AB11)*('2016 E Maize Soil VWC'!$F$2:$F$4000=AE$5),'2016 E Maize Soil VWC'!$G$2:$G$4000)</f>
        <v>#N/A</v>
      </c>
      <c r="AF11" s="1" t="e" cm="1">
        <f t="array" ref="AF11">_xlfn.XLOOKUP(1,('2016 E Maize Soil VWC'!$C$2:$C$4000=$AA11)*('2016 E Maize Soil VWC'!$E$2:$E$4000=$AB11)*('2016 E Maize Soil VWC'!$F$2:$F$4000=AF$5),'2016 E Maize Soil VWC'!$G$2:$G$4000)</f>
        <v>#N/A</v>
      </c>
      <c r="AG11" s="1" cm="1">
        <f t="array" ref="AG11">_xlfn.XLOOKUP(1,('2016 E Maize Soil VWC'!$C$2:$C$4000=$AA11)*('2016 E Maize Soil VWC'!$E$2:$E$4000=$AB11)*('2016 E Maize Soil VWC'!$F$2:$F$4000=AG$5),'2016 E Maize Soil VWC'!$G$2:$G$4000)</f>
        <v>0.33189650979190122</v>
      </c>
      <c r="AH11" s="1" cm="1">
        <f t="array" ref="AH11">_xlfn.XLOOKUP(1,('2016 E Maize Soil VWC'!$C$2:$C$4000=$AA11)*('2016 E Maize Soil VWC'!$E$2:$E$4000=$AB11)*('2016 E Maize Soil VWC'!$F$2:$F$4000=AH$5),'2016 E Maize Soil VWC'!$G$2:$G$4000)</f>
        <v>0.32358442600621962</v>
      </c>
      <c r="AI11" s="1" t="e" cm="1">
        <f t="array" ref="AI11">_xlfn.XLOOKUP(1,('2016 E Maize Soil VWC'!$C$2:$C$4000=$AA11)*('2016 E Maize Soil VWC'!$E$2:$E$4000=$AB11)*('2016 E Maize Soil VWC'!$F$2:$F$4000=AI$5),'2016 E Maize Soil VWC'!$G$2:$G$4000)</f>
        <v>#N/A</v>
      </c>
      <c r="AJ11" s="1" t="e" cm="1">
        <f t="array" ref="AJ11">_xlfn.XLOOKUP(1,('2016 E Maize Soil VWC'!$C$2:$C$4000=$AA11)*('2016 E Maize Soil VWC'!$E$2:$E$4000=$AB11)*('2016 E Maize Soil VWC'!$F$2:$F$4000=AJ$5),'2016 E Maize Soil VWC'!$G$2:$G$4000)</f>
        <v>#N/A</v>
      </c>
      <c r="AK11" s="1" t="e" cm="1">
        <f t="array" ref="AK11">_xlfn.XLOOKUP(1,('2016 E Maize Soil VWC'!$C$2:$C$4000=$AA11)*('2016 E Maize Soil VWC'!$E$2:$E$4000=$AB11)*('2016 E Maize Soil VWC'!$F$2:$F$4000=AK$5),'2016 E Maize Soil VWC'!$G$2:$G$4000)</f>
        <v>#N/A</v>
      </c>
      <c r="AL11" s="1" t="e" cm="1">
        <f t="array" ref="AL11">_xlfn.XLOOKUP(1,('2016 E Maize Soil VWC'!$C$2:$C$4000=$AA11)*('2016 E Maize Soil VWC'!$E$2:$E$4000=$AB11)*('2016 E Maize Soil VWC'!$F$2:$F$4000=AL$5),'2016 E Maize Soil VWC'!$G$2:$G$4000)</f>
        <v>#N/A</v>
      </c>
      <c r="AM11" s="1" t="e" cm="1">
        <f t="array" ref="AM11">_xlfn.XLOOKUP(1,('2016 E Maize Soil VWC'!$C$2:$C$4000=$AA11)*('2016 E Maize Soil VWC'!$E$2:$E$4000=$AB11)*('2016 E Maize Soil VWC'!$F$2:$F$4000=AM$5),'2016 E Maize Soil VWC'!$G$2:$G$4000)</f>
        <v>#N/A</v>
      </c>
      <c r="AN11" s="1" t="e" cm="1">
        <f t="array" ref="AN11">_xlfn.XLOOKUP(1,('2016 E Maize Soil VWC'!$C$2:$C$4000=$AA11)*('2016 E Maize Soil VWC'!$E$2:$E$4000=$AB11)*('2016 E Maize Soil VWC'!$F$2:$F$4000=AN$5),'2016 E Maize Soil VWC'!$G$2:$G$4000)</f>
        <v>#N/A</v>
      </c>
      <c r="AO11" s="1" t="e" cm="1">
        <f t="array" ref="AO11">_xlfn.XLOOKUP(1,('2016 E Maize Soil VWC'!$C$2:$C$4000=$AA11)*('2016 E Maize Soil VWC'!$E$2:$E$4000=$AB11)*('2016 E Maize Soil VWC'!$F$2:$F$4000=AO$5),'2016 E Maize Soil VWC'!$G$2:$G$4000)</f>
        <v>#N/A</v>
      </c>
      <c r="AP11" s="1" t="e" cm="1">
        <f t="array" ref="AP11">_xlfn.XLOOKUP(1,('2016 E Maize Soil VWC'!$C$2:$C$4000=$AA11)*('2016 E Maize Soil VWC'!$E$2:$E$4000=$AB11)*('2016 E Maize Soil VWC'!$F$2:$F$4000=AP$5),'2016 E Maize Soil VWC'!$G$2:$G$4000)</f>
        <v>#N/A</v>
      </c>
      <c r="AQ11" s="1" cm="1">
        <f t="array" ref="AQ11">_xlfn.XLOOKUP(1,('2016 E Maize Soil VWC'!$C$2:$C$4000=$AA11)*('2016 E Maize Soil VWC'!$E$2:$E$4000=$AB11)*('2016 E Maize Soil VWC'!$F$2:$F$4000=AQ$5),'2016 E Maize Soil VWC'!$G$2:$G$4000)</f>
        <v>0.31994359591827637</v>
      </c>
      <c r="AR11" s="1" cm="1">
        <f t="array" ref="AR11">_xlfn.XLOOKUP(1,('2016 E Maize Soil VWC'!$C$2:$C$4000=$AA11)*('2016 E Maize Soil VWC'!$E$2:$E$4000=$AB11)*('2016 E Maize Soil VWC'!$F$2:$F$4000=AR$5),'2016 E Maize Soil VWC'!$G$2:$G$4000)</f>
        <v>0.31607378280593423</v>
      </c>
      <c r="AS11" s="1" t="e" cm="1">
        <f t="array" ref="AS11">_xlfn.XLOOKUP(1,('2016 E Maize Soil VWC'!$C$2:$C$4000=$AA11)*('2016 E Maize Soil VWC'!$E$2:$E$4000=$AB11)*('2016 E Maize Soil VWC'!$F$2:$F$4000=AS$5),'2016 E Maize Soil VWC'!$G$2:$G$4000)</f>
        <v>#N/A</v>
      </c>
      <c r="AT11" s="1" t="e" cm="1">
        <f t="array" ref="AT11">_xlfn.XLOOKUP(1,('2016 E Maize Soil VWC'!$C$2:$C$4000=$AA11)*('2016 E Maize Soil VWC'!$E$2:$E$4000=$AB11)*('2016 E Maize Soil VWC'!$F$2:$F$4000=AT$5),'2016 E Maize Soil VWC'!$G$2:$G$4000)</f>
        <v>#N/A</v>
      </c>
      <c r="AU11" s="1" t="e" cm="1">
        <f t="array" ref="AU11">_xlfn.XLOOKUP(1,('2016 E Maize Soil VWC'!$C$2:$C$4000=$AA11)*('2016 E Maize Soil VWC'!$E$2:$E$4000=$AB11)*('2016 E Maize Soil VWC'!$F$2:$F$4000=AU$5),'2016 E Maize Soil VWC'!$G$2:$G$4000)</f>
        <v>#N/A</v>
      </c>
      <c r="AV11" s="1" t="e" cm="1">
        <f t="array" ref="AV11">_xlfn.XLOOKUP(1,('2016 E Maize Soil VWC'!$C$2:$C$4000=$AA11)*('2016 E Maize Soil VWC'!$E$2:$E$4000=$AB11)*('2016 E Maize Soil VWC'!$F$2:$F$4000=AV$5),'2016 E Maize Soil VWC'!$G$2:$G$4000)</f>
        <v>#N/A</v>
      </c>
      <c r="BM11" s="1">
        <v>180</v>
      </c>
      <c r="BN11" s="15">
        <v>42549</v>
      </c>
      <c r="BO11" s="20">
        <f t="shared" si="0"/>
        <v>450.18567959305381</v>
      </c>
      <c r="BP11" s="20">
        <f t="shared" si="0"/>
        <v>451.61177011672822</v>
      </c>
      <c r="BQ11" s="20">
        <f t="shared" si="0"/>
        <v>435.97058877971835</v>
      </c>
      <c r="BR11" s="20">
        <f t="shared" si="0"/>
        <v>433.45411122710851</v>
      </c>
      <c r="BS11" s="20">
        <f t="shared" si="0"/>
        <v>724.28256588940792</v>
      </c>
      <c r="BT11" s="20">
        <f t="shared" si="0"/>
        <v>706.01805714636021</v>
      </c>
      <c r="BU11" s="20">
        <f t="shared" si="0"/>
        <v>621.76976919870276</v>
      </c>
      <c r="BV11" s="20">
        <f t="shared" si="0"/>
        <v>725.45278125661821</v>
      </c>
      <c r="BW11" s="20">
        <f t="shared" si="0"/>
        <v>729.08110015381715</v>
      </c>
      <c r="BX11" s="20">
        <f t="shared" si="0"/>
        <v>714.03389286645802</v>
      </c>
      <c r="BY11" s="20">
        <f t="shared" si="0"/>
        <v>685.73483515164344</v>
      </c>
      <c r="BZ11" s="20">
        <f t="shared" si="0"/>
        <v>602.50753222466199</v>
      </c>
      <c r="CA11" s="20">
        <f t="shared" si="0"/>
        <v>731.57736651470736</v>
      </c>
      <c r="CB11" s="20">
        <f t="shared" si="0"/>
        <v>722.21984759633074</v>
      </c>
    </row>
    <row r="12" spans="25:80" x14ac:dyDescent="0.25">
      <c r="AA12" s="18">
        <f t="shared" si="1"/>
        <v>42496</v>
      </c>
      <c r="AB12" s="1">
        <f t="shared" si="2"/>
        <v>130</v>
      </c>
      <c r="AC12" s="1" t="e" cm="1">
        <f t="array" ref="AC12">_xlfn.XLOOKUP(1,('2016 E Maize Soil VWC'!$C$2:$C$4000=$AA12)*('2016 E Maize Soil VWC'!$E$2:$E$4000=$AB12)*('2016 E Maize Soil VWC'!$F$2:$F$4000=AC$5),'2016 E Maize Soil VWC'!$G$2:$G$4000)</f>
        <v>#N/A</v>
      </c>
      <c r="AD12" s="1" t="e" cm="1">
        <f t="array" ref="AD12">_xlfn.XLOOKUP(1,('2016 E Maize Soil VWC'!$C$2:$C$4000=$AA12)*('2016 E Maize Soil VWC'!$E$2:$E$4000=$AB12)*('2016 E Maize Soil VWC'!$F$2:$F$4000=AD$5),'2016 E Maize Soil VWC'!$G$2:$G$4000)</f>
        <v>#N/A</v>
      </c>
      <c r="AE12" s="1" t="e" cm="1">
        <f t="array" ref="AE12">_xlfn.XLOOKUP(1,('2016 E Maize Soil VWC'!$C$2:$C$4000=$AA12)*('2016 E Maize Soil VWC'!$E$2:$E$4000=$AB12)*('2016 E Maize Soil VWC'!$F$2:$F$4000=AE$5),'2016 E Maize Soil VWC'!$G$2:$G$4000)</f>
        <v>#N/A</v>
      </c>
      <c r="AF12" s="1" t="e" cm="1">
        <f t="array" ref="AF12">_xlfn.XLOOKUP(1,('2016 E Maize Soil VWC'!$C$2:$C$4000=$AA12)*('2016 E Maize Soil VWC'!$E$2:$E$4000=$AB12)*('2016 E Maize Soil VWC'!$F$2:$F$4000=AF$5),'2016 E Maize Soil VWC'!$G$2:$G$4000)</f>
        <v>#N/A</v>
      </c>
      <c r="AG12" s="1" cm="1">
        <f t="array" ref="AG12">_xlfn.XLOOKUP(1,('2016 E Maize Soil VWC'!$C$2:$C$4000=$AA12)*('2016 E Maize Soil VWC'!$E$2:$E$4000=$AB12)*('2016 E Maize Soil VWC'!$F$2:$F$4000=AG$5),'2016 E Maize Soil VWC'!$G$2:$G$4000)</f>
        <v>0.30716079131045404</v>
      </c>
      <c r="AH12" s="1" cm="1">
        <f t="array" ref="AH12">_xlfn.XLOOKUP(1,('2016 E Maize Soil VWC'!$C$2:$C$4000=$AA12)*('2016 E Maize Soil VWC'!$E$2:$E$4000=$AB12)*('2016 E Maize Soil VWC'!$F$2:$F$4000=AH$5),'2016 E Maize Soil VWC'!$G$2:$G$4000)</f>
        <v>0.30500023124937309</v>
      </c>
      <c r="AI12" s="1" t="e" cm="1">
        <f t="array" ref="AI12">_xlfn.XLOOKUP(1,('2016 E Maize Soil VWC'!$C$2:$C$4000=$AA12)*('2016 E Maize Soil VWC'!$E$2:$E$4000=$AB12)*('2016 E Maize Soil VWC'!$F$2:$F$4000=AI$5),'2016 E Maize Soil VWC'!$G$2:$G$4000)</f>
        <v>#N/A</v>
      </c>
      <c r="AJ12" s="1" t="e" cm="1">
        <f t="array" ref="AJ12">_xlfn.XLOOKUP(1,('2016 E Maize Soil VWC'!$C$2:$C$4000=$AA12)*('2016 E Maize Soil VWC'!$E$2:$E$4000=$AB12)*('2016 E Maize Soil VWC'!$F$2:$F$4000=AJ$5),'2016 E Maize Soil VWC'!$G$2:$G$4000)</f>
        <v>#N/A</v>
      </c>
      <c r="AK12" s="1" t="e" cm="1">
        <f t="array" ref="AK12">_xlfn.XLOOKUP(1,('2016 E Maize Soil VWC'!$C$2:$C$4000=$AA12)*('2016 E Maize Soil VWC'!$E$2:$E$4000=$AB12)*('2016 E Maize Soil VWC'!$F$2:$F$4000=AK$5),'2016 E Maize Soil VWC'!$G$2:$G$4000)</f>
        <v>#N/A</v>
      </c>
      <c r="AL12" s="1" t="e" cm="1">
        <f t="array" ref="AL12">_xlfn.XLOOKUP(1,('2016 E Maize Soil VWC'!$C$2:$C$4000=$AA12)*('2016 E Maize Soil VWC'!$E$2:$E$4000=$AB12)*('2016 E Maize Soil VWC'!$F$2:$F$4000=AL$5),'2016 E Maize Soil VWC'!$G$2:$G$4000)</f>
        <v>#N/A</v>
      </c>
      <c r="AM12" s="1" t="e" cm="1">
        <f t="array" ref="AM12">_xlfn.XLOOKUP(1,('2016 E Maize Soil VWC'!$C$2:$C$4000=$AA12)*('2016 E Maize Soil VWC'!$E$2:$E$4000=$AB12)*('2016 E Maize Soil VWC'!$F$2:$F$4000=AM$5),'2016 E Maize Soil VWC'!$G$2:$G$4000)</f>
        <v>#N/A</v>
      </c>
      <c r="AN12" s="1" t="e" cm="1">
        <f t="array" ref="AN12">_xlfn.XLOOKUP(1,('2016 E Maize Soil VWC'!$C$2:$C$4000=$AA12)*('2016 E Maize Soil VWC'!$E$2:$E$4000=$AB12)*('2016 E Maize Soil VWC'!$F$2:$F$4000=AN$5),'2016 E Maize Soil VWC'!$G$2:$G$4000)</f>
        <v>#N/A</v>
      </c>
      <c r="AO12" s="1" t="e" cm="1">
        <f t="array" ref="AO12">_xlfn.XLOOKUP(1,('2016 E Maize Soil VWC'!$C$2:$C$4000=$AA12)*('2016 E Maize Soil VWC'!$E$2:$E$4000=$AB12)*('2016 E Maize Soil VWC'!$F$2:$F$4000=AO$5),'2016 E Maize Soil VWC'!$G$2:$G$4000)</f>
        <v>#N/A</v>
      </c>
      <c r="AP12" s="1" t="e" cm="1">
        <f t="array" ref="AP12">_xlfn.XLOOKUP(1,('2016 E Maize Soil VWC'!$C$2:$C$4000=$AA12)*('2016 E Maize Soil VWC'!$E$2:$E$4000=$AB12)*('2016 E Maize Soil VWC'!$F$2:$F$4000=AP$5),'2016 E Maize Soil VWC'!$G$2:$G$4000)</f>
        <v>#N/A</v>
      </c>
      <c r="AQ12" s="1" cm="1">
        <f t="array" ref="AQ12">_xlfn.XLOOKUP(1,('2016 E Maize Soil VWC'!$C$2:$C$4000=$AA12)*('2016 E Maize Soil VWC'!$E$2:$E$4000=$AB12)*('2016 E Maize Soil VWC'!$F$2:$F$4000=AQ$5),'2016 E Maize Soil VWC'!$G$2:$G$4000)</f>
        <v>0.2967667456111997</v>
      </c>
      <c r="AR12" s="1" cm="1">
        <f t="array" ref="AR12">_xlfn.XLOOKUP(1,('2016 E Maize Soil VWC'!$C$2:$C$4000=$AA12)*('2016 E Maize Soil VWC'!$E$2:$E$4000=$AB12)*('2016 E Maize Soil VWC'!$F$2:$F$4000=AR$5),'2016 E Maize Soil VWC'!$G$2:$G$4000)</f>
        <v>0.29046024597344988</v>
      </c>
      <c r="AS12" s="1" t="e" cm="1">
        <f t="array" ref="AS12">_xlfn.XLOOKUP(1,('2016 E Maize Soil VWC'!$C$2:$C$4000=$AA12)*('2016 E Maize Soil VWC'!$E$2:$E$4000=$AB12)*('2016 E Maize Soil VWC'!$F$2:$F$4000=AS$5),'2016 E Maize Soil VWC'!$G$2:$G$4000)</f>
        <v>#N/A</v>
      </c>
      <c r="AT12" s="1" t="e" cm="1">
        <f t="array" ref="AT12">_xlfn.XLOOKUP(1,('2016 E Maize Soil VWC'!$C$2:$C$4000=$AA12)*('2016 E Maize Soil VWC'!$E$2:$E$4000=$AB12)*('2016 E Maize Soil VWC'!$F$2:$F$4000=AT$5),'2016 E Maize Soil VWC'!$G$2:$G$4000)</f>
        <v>#N/A</v>
      </c>
      <c r="AU12" s="1" t="e" cm="1">
        <f t="array" ref="AU12">_xlfn.XLOOKUP(1,('2016 E Maize Soil VWC'!$C$2:$C$4000=$AA12)*('2016 E Maize Soil VWC'!$E$2:$E$4000=$AB12)*('2016 E Maize Soil VWC'!$F$2:$F$4000=AU$5),'2016 E Maize Soil VWC'!$G$2:$G$4000)</f>
        <v>#N/A</v>
      </c>
      <c r="AV12" s="1" t="e" cm="1">
        <f t="array" ref="AV12">_xlfn.XLOOKUP(1,('2016 E Maize Soil VWC'!$C$2:$C$4000=$AA12)*('2016 E Maize Soil VWC'!$E$2:$E$4000=$AB12)*('2016 E Maize Soil VWC'!$F$2:$F$4000=AV$5),'2016 E Maize Soil VWC'!$G$2:$G$4000)</f>
        <v>#N/A</v>
      </c>
      <c r="BM12" s="1">
        <v>193</v>
      </c>
      <c r="BN12" s="15">
        <v>42562</v>
      </c>
      <c r="BO12" s="20">
        <f t="shared" si="0"/>
        <v>429.22899670798182</v>
      </c>
      <c r="BP12" s="20">
        <f t="shared" si="0"/>
        <v>441.03425173782557</v>
      </c>
      <c r="BQ12" s="20">
        <f t="shared" si="0"/>
        <v>425.65229484768781</v>
      </c>
      <c r="BR12" s="20">
        <f t="shared" si="0"/>
        <v>422.07789346235933</v>
      </c>
      <c r="BS12" s="20">
        <f t="shared" si="0"/>
        <v>717.58122272813421</v>
      </c>
      <c r="BT12" s="20">
        <f t="shared" si="0"/>
        <v>695.65331978554786</v>
      </c>
      <c r="BU12" s="20">
        <f t="shared" si="0"/>
        <v>606.88990479173412</v>
      </c>
      <c r="BV12" s="20">
        <f t="shared" si="0"/>
        <v>716.87062519366452</v>
      </c>
      <c r="BW12" s="20">
        <f t="shared" si="0"/>
        <v>712.28885103937944</v>
      </c>
      <c r="BX12" s="20">
        <f t="shared" si="0"/>
        <v>708.49425502301665</v>
      </c>
      <c r="BY12" s="20">
        <f t="shared" si="0"/>
        <v>671.40500485638177</v>
      </c>
      <c r="BZ12" s="20">
        <f t="shared" si="0"/>
        <v>596.32349916626731</v>
      </c>
      <c r="CA12" s="20">
        <f t="shared" si="0"/>
        <v>717.99726657489657</v>
      </c>
      <c r="CB12" s="20">
        <f t="shared" si="0"/>
        <v>706.26385780286921</v>
      </c>
    </row>
    <row r="13" spans="25:80" x14ac:dyDescent="0.25">
      <c r="AA13" s="18">
        <f t="shared" si="1"/>
        <v>42496</v>
      </c>
      <c r="AB13" s="1">
        <f t="shared" si="2"/>
        <v>150</v>
      </c>
      <c r="AC13" s="1" t="e" cm="1">
        <f t="array" ref="AC13">_xlfn.XLOOKUP(1,('2016 E Maize Soil VWC'!$C$2:$C$4000=$AA13)*('2016 E Maize Soil VWC'!$E$2:$E$4000=$AB13)*('2016 E Maize Soil VWC'!$F$2:$F$4000=AC$5),'2016 E Maize Soil VWC'!$G$2:$G$4000)</f>
        <v>#N/A</v>
      </c>
      <c r="AD13" s="1" t="e" cm="1">
        <f t="array" ref="AD13">_xlfn.XLOOKUP(1,('2016 E Maize Soil VWC'!$C$2:$C$4000=$AA13)*('2016 E Maize Soil VWC'!$E$2:$E$4000=$AB13)*('2016 E Maize Soil VWC'!$F$2:$F$4000=AD$5),'2016 E Maize Soil VWC'!$G$2:$G$4000)</f>
        <v>#N/A</v>
      </c>
      <c r="AE13" s="1" t="e" cm="1">
        <f t="array" ref="AE13">_xlfn.XLOOKUP(1,('2016 E Maize Soil VWC'!$C$2:$C$4000=$AA13)*('2016 E Maize Soil VWC'!$E$2:$E$4000=$AB13)*('2016 E Maize Soil VWC'!$F$2:$F$4000=AE$5),'2016 E Maize Soil VWC'!$G$2:$G$4000)</f>
        <v>#N/A</v>
      </c>
      <c r="AF13" s="1" t="e" cm="1">
        <f t="array" ref="AF13">_xlfn.XLOOKUP(1,('2016 E Maize Soil VWC'!$C$2:$C$4000=$AA13)*('2016 E Maize Soil VWC'!$E$2:$E$4000=$AB13)*('2016 E Maize Soil VWC'!$F$2:$F$4000=AF$5),'2016 E Maize Soil VWC'!$G$2:$G$4000)</f>
        <v>#N/A</v>
      </c>
      <c r="AG13" s="1" cm="1">
        <f t="array" ref="AG13">_xlfn.XLOOKUP(1,('2016 E Maize Soil VWC'!$C$2:$C$4000=$AA13)*('2016 E Maize Soil VWC'!$E$2:$E$4000=$AB13)*('2016 E Maize Soil VWC'!$F$2:$F$4000=AG$5),'2016 E Maize Soil VWC'!$G$2:$G$4000)</f>
        <v>0.35531597681598814</v>
      </c>
      <c r="AH13" s="1" cm="1">
        <f t="array" ref="AH13">_xlfn.XLOOKUP(1,('2016 E Maize Soil VWC'!$C$2:$C$4000=$AA13)*('2016 E Maize Soil VWC'!$E$2:$E$4000=$AB13)*('2016 E Maize Soil VWC'!$F$2:$F$4000=AH$5),'2016 E Maize Soil VWC'!$G$2:$G$4000)</f>
        <v>0.34067866901479105</v>
      </c>
      <c r="AI13" s="1" t="e" cm="1">
        <f t="array" ref="AI13">_xlfn.XLOOKUP(1,('2016 E Maize Soil VWC'!$C$2:$C$4000=$AA13)*('2016 E Maize Soil VWC'!$E$2:$E$4000=$AB13)*('2016 E Maize Soil VWC'!$F$2:$F$4000=AI$5),'2016 E Maize Soil VWC'!$G$2:$G$4000)</f>
        <v>#N/A</v>
      </c>
      <c r="AJ13" s="1" t="e" cm="1">
        <f t="array" ref="AJ13">_xlfn.XLOOKUP(1,('2016 E Maize Soil VWC'!$C$2:$C$4000=$AA13)*('2016 E Maize Soil VWC'!$E$2:$E$4000=$AB13)*('2016 E Maize Soil VWC'!$F$2:$F$4000=AJ$5),'2016 E Maize Soil VWC'!$G$2:$G$4000)</f>
        <v>#N/A</v>
      </c>
      <c r="AK13" s="1" t="e" cm="1">
        <f t="array" ref="AK13">_xlfn.XLOOKUP(1,('2016 E Maize Soil VWC'!$C$2:$C$4000=$AA13)*('2016 E Maize Soil VWC'!$E$2:$E$4000=$AB13)*('2016 E Maize Soil VWC'!$F$2:$F$4000=AK$5),'2016 E Maize Soil VWC'!$G$2:$G$4000)</f>
        <v>#N/A</v>
      </c>
      <c r="AL13" s="1" t="e" cm="1">
        <f t="array" ref="AL13">_xlfn.XLOOKUP(1,('2016 E Maize Soil VWC'!$C$2:$C$4000=$AA13)*('2016 E Maize Soil VWC'!$E$2:$E$4000=$AB13)*('2016 E Maize Soil VWC'!$F$2:$F$4000=AL$5),'2016 E Maize Soil VWC'!$G$2:$G$4000)</f>
        <v>#N/A</v>
      </c>
      <c r="AM13" s="1" t="e" cm="1">
        <f t="array" ref="AM13">_xlfn.XLOOKUP(1,('2016 E Maize Soil VWC'!$C$2:$C$4000=$AA13)*('2016 E Maize Soil VWC'!$E$2:$E$4000=$AB13)*('2016 E Maize Soil VWC'!$F$2:$F$4000=AM$5),'2016 E Maize Soil VWC'!$G$2:$G$4000)</f>
        <v>#N/A</v>
      </c>
      <c r="AN13" s="1" t="e" cm="1">
        <f t="array" ref="AN13">_xlfn.XLOOKUP(1,('2016 E Maize Soil VWC'!$C$2:$C$4000=$AA13)*('2016 E Maize Soil VWC'!$E$2:$E$4000=$AB13)*('2016 E Maize Soil VWC'!$F$2:$F$4000=AN$5),'2016 E Maize Soil VWC'!$G$2:$G$4000)</f>
        <v>#N/A</v>
      </c>
      <c r="AO13" s="1" t="e" cm="1">
        <f t="array" ref="AO13">_xlfn.XLOOKUP(1,('2016 E Maize Soil VWC'!$C$2:$C$4000=$AA13)*('2016 E Maize Soil VWC'!$E$2:$E$4000=$AB13)*('2016 E Maize Soil VWC'!$F$2:$F$4000=AO$5),'2016 E Maize Soil VWC'!$G$2:$G$4000)</f>
        <v>#N/A</v>
      </c>
      <c r="AP13" s="1" t="e" cm="1">
        <f t="array" ref="AP13">_xlfn.XLOOKUP(1,('2016 E Maize Soil VWC'!$C$2:$C$4000=$AA13)*('2016 E Maize Soil VWC'!$E$2:$E$4000=$AB13)*('2016 E Maize Soil VWC'!$F$2:$F$4000=AP$5),'2016 E Maize Soil VWC'!$G$2:$G$4000)</f>
        <v>#N/A</v>
      </c>
      <c r="AQ13" s="1" cm="1">
        <f t="array" ref="AQ13">_xlfn.XLOOKUP(1,('2016 E Maize Soil VWC'!$C$2:$C$4000=$AA13)*('2016 E Maize Soil VWC'!$E$2:$E$4000=$AB13)*('2016 E Maize Soil VWC'!$F$2:$F$4000=AQ$5),'2016 E Maize Soil VWC'!$G$2:$G$4000)</f>
        <v>0.33647433592295778</v>
      </c>
      <c r="AR13" s="1" cm="1">
        <f t="array" ref="AR13">_xlfn.XLOOKUP(1,('2016 E Maize Soil VWC'!$C$2:$C$4000=$AA13)*('2016 E Maize Soil VWC'!$E$2:$E$4000=$AB13)*('2016 E Maize Soil VWC'!$F$2:$F$4000=AR$5),'2016 E Maize Soil VWC'!$G$2:$G$4000)</f>
        <v>0.31685411482773612</v>
      </c>
      <c r="AS13" s="1" t="e" cm="1">
        <f t="array" ref="AS13">_xlfn.XLOOKUP(1,('2016 E Maize Soil VWC'!$C$2:$C$4000=$AA13)*('2016 E Maize Soil VWC'!$E$2:$E$4000=$AB13)*('2016 E Maize Soil VWC'!$F$2:$F$4000=AS$5),'2016 E Maize Soil VWC'!$G$2:$G$4000)</f>
        <v>#N/A</v>
      </c>
      <c r="AT13" s="1" t="e" cm="1">
        <f t="array" ref="AT13">_xlfn.XLOOKUP(1,('2016 E Maize Soil VWC'!$C$2:$C$4000=$AA13)*('2016 E Maize Soil VWC'!$E$2:$E$4000=$AB13)*('2016 E Maize Soil VWC'!$F$2:$F$4000=AT$5),'2016 E Maize Soil VWC'!$G$2:$G$4000)</f>
        <v>#N/A</v>
      </c>
      <c r="AU13" s="1" t="e" cm="1">
        <f t="array" ref="AU13">_xlfn.XLOOKUP(1,('2016 E Maize Soil VWC'!$C$2:$C$4000=$AA13)*('2016 E Maize Soil VWC'!$E$2:$E$4000=$AB13)*('2016 E Maize Soil VWC'!$F$2:$F$4000=AU$5),'2016 E Maize Soil VWC'!$G$2:$G$4000)</f>
        <v>#N/A</v>
      </c>
      <c r="AV13" s="1" t="e" cm="1">
        <f t="array" ref="AV13">_xlfn.XLOOKUP(1,('2016 E Maize Soil VWC'!$C$2:$C$4000=$AA13)*('2016 E Maize Soil VWC'!$E$2:$E$4000=$AB13)*('2016 E Maize Soil VWC'!$F$2:$F$4000=AV$5),'2016 E Maize Soil VWC'!$G$2:$G$4000)</f>
        <v>#N/A</v>
      </c>
      <c r="BM13" s="1">
        <v>200</v>
      </c>
      <c r="BN13" s="15">
        <v>42569</v>
      </c>
      <c r="BO13" s="20">
        <f t="shared" si="0"/>
        <v>425.51180774881021</v>
      </c>
      <c r="BP13" s="20">
        <f t="shared" si="0"/>
        <v>442.23594561496151</v>
      </c>
      <c r="BQ13" s="20">
        <f t="shared" si="0"/>
        <v>424.69098325178061</v>
      </c>
      <c r="BR13" s="20">
        <f t="shared" si="0"/>
        <v>423.94435528411572</v>
      </c>
      <c r="BS13" s="20">
        <f t="shared" si="0"/>
        <v>715.62978878250487</v>
      </c>
      <c r="BT13" s="20">
        <f t="shared" si="0"/>
        <v>692.93744377431267</v>
      </c>
      <c r="BU13" s="20">
        <f t="shared" si="0"/>
        <v>601.00339674420695</v>
      </c>
      <c r="BV13" s="20">
        <f t="shared" si="0"/>
        <v>718.67497375748189</v>
      </c>
      <c r="BW13" s="20">
        <f t="shared" si="0"/>
        <v>712.79954298182065</v>
      </c>
      <c r="BX13" s="20">
        <f t="shared" si="0"/>
        <v>707.74108990715263</v>
      </c>
      <c r="BY13" s="20">
        <f t="shared" si="0"/>
        <v>671.39478681632249</v>
      </c>
      <c r="BZ13" s="20">
        <f t="shared" si="0"/>
        <v>594.36073878529169</v>
      </c>
      <c r="CA13" s="20">
        <f t="shared" si="0"/>
        <v>725.48626334919811</v>
      </c>
      <c r="CB13" s="20">
        <f t="shared" si="0"/>
        <v>705.4323326883424</v>
      </c>
    </row>
    <row r="14" spans="25:80" x14ac:dyDescent="0.25">
      <c r="AA14" s="18">
        <f t="shared" si="1"/>
        <v>42496</v>
      </c>
      <c r="AB14" s="1">
        <f t="shared" si="2"/>
        <v>170</v>
      </c>
      <c r="AC14" s="1" t="e" cm="1">
        <f t="array" ref="AC14">_xlfn.XLOOKUP(1,('2016 E Maize Soil VWC'!$C$2:$C$4000=$AA14)*('2016 E Maize Soil VWC'!$E$2:$E$4000=$AB14)*('2016 E Maize Soil VWC'!$F$2:$F$4000=AC$5),'2016 E Maize Soil VWC'!$G$2:$G$4000)</f>
        <v>#N/A</v>
      </c>
      <c r="AD14" s="1" t="e" cm="1">
        <f t="array" ref="AD14">_xlfn.XLOOKUP(1,('2016 E Maize Soil VWC'!$C$2:$C$4000=$AA14)*('2016 E Maize Soil VWC'!$E$2:$E$4000=$AB14)*('2016 E Maize Soil VWC'!$F$2:$F$4000=AD$5),'2016 E Maize Soil VWC'!$G$2:$G$4000)</f>
        <v>#N/A</v>
      </c>
      <c r="AE14" s="1" t="e" cm="1">
        <f t="array" ref="AE14">_xlfn.XLOOKUP(1,('2016 E Maize Soil VWC'!$C$2:$C$4000=$AA14)*('2016 E Maize Soil VWC'!$E$2:$E$4000=$AB14)*('2016 E Maize Soil VWC'!$F$2:$F$4000=AE$5),'2016 E Maize Soil VWC'!$G$2:$G$4000)</f>
        <v>#N/A</v>
      </c>
      <c r="AF14" s="1" t="e" cm="1">
        <f t="array" ref="AF14">_xlfn.XLOOKUP(1,('2016 E Maize Soil VWC'!$C$2:$C$4000=$AA14)*('2016 E Maize Soil VWC'!$E$2:$E$4000=$AB14)*('2016 E Maize Soil VWC'!$F$2:$F$4000=AF$5),'2016 E Maize Soil VWC'!$G$2:$G$4000)</f>
        <v>#N/A</v>
      </c>
      <c r="AG14" s="1" cm="1">
        <f t="array" ref="AG14">_xlfn.XLOOKUP(1,('2016 E Maize Soil VWC'!$C$2:$C$4000=$AA14)*('2016 E Maize Soil VWC'!$E$2:$E$4000=$AB14)*('2016 E Maize Soil VWC'!$F$2:$F$4000=AG$5),'2016 E Maize Soil VWC'!$G$2:$G$4000)</f>
        <v>0.31739912096927009</v>
      </c>
      <c r="AH14" s="1" cm="1">
        <f t="array" ref="AH14">_xlfn.XLOOKUP(1,('2016 E Maize Soil VWC'!$C$2:$C$4000=$AA14)*('2016 E Maize Soil VWC'!$E$2:$E$4000=$AB14)*('2016 E Maize Soil VWC'!$F$2:$F$4000=AH$5),'2016 E Maize Soil VWC'!$G$2:$G$4000)</f>
        <v>0.32631386428436088</v>
      </c>
      <c r="AI14" s="1" t="e" cm="1">
        <f t="array" ref="AI14">_xlfn.XLOOKUP(1,('2016 E Maize Soil VWC'!$C$2:$C$4000=$AA14)*('2016 E Maize Soil VWC'!$E$2:$E$4000=$AB14)*('2016 E Maize Soil VWC'!$F$2:$F$4000=AI$5),'2016 E Maize Soil VWC'!$G$2:$G$4000)</f>
        <v>#N/A</v>
      </c>
      <c r="AJ14" s="1" t="e" cm="1">
        <f t="array" ref="AJ14">_xlfn.XLOOKUP(1,('2016 E Maize Soil VWC'!$C$2:$C$4000=$AA14)*('2016 E Maize Soil VWC'!$E$2:$E$4000=$AB14)*('2016 E Maize Soil VWC'!$F$2:$F$4000=AJ$5),'2016 E Maize Soil VWC'!$G$2:$G$4000)</f>
        <v>#N/A</v>
      </c>
      <c r="AK14" s="1" t="e" cm="1">
        <f t="array" ref="AK14">_xlfn.XLOOKUP(1,('2016 E Maize Soil VWC'!$C$2:$C$4000=$AA14)*('2016 E Maize Soil VWC'!$E$2:$E$4000=$AB14)*('2016 E Maize Soil VWC'!$F$2:$F$4000=AK$5),'2016 E Maize Soil VWC'!$G$2:$G$4000)</f>
        <v>#N/A</v>
      </c>
      <c r="AL14" s="1" t="e" cm="1">
        <f t="array" ref="AL14">_xlfn.XLOOKUP(1,('2016 E Maize Soil VWC'!$C$2:$C$4000=$AA14)*('2016 E Maize Soil VWC'!$E$2:$E$4000=$AB14)*('2016 E Maize Soil VWC'!$F$2:$F$4000=AL$5),'2016 E Maize Soil VWC'!$G$2:$G$4000)</f>
        <v>#N/A</v>
      </c>
      <c r="AM14" s="1" t="e" cm="1">
        <f t="array" ref="AM14">_xlfn.XLOOKUP(1,('2016 E Maize Soil VWC'!$C$2:$C$4000=$AA14)*('2016 E Maize Soil VWC'!$E$2:$E$4000=$AB14)*('2016 E Maize Soil VWC'!$F$2:$F$4000=AM$5),'2016 E Maize Soil VWC'!$G$2:$G$4000)</f>
        <v>#N/A</v>
      </c>
      <c r="AN14" s="1" t="e" cm="1">
        <f t="array" ref="AN14">_xlfn.XLOOKUP(1,('2016 E Maize Soil VWC'!$C$2:$C$4000=$AA14)*('2016 E Maize Soil VWC'!$E$2:$E$4000=$AB14)*('2016 E Maize Soil VWC'!$F$2:$F$4000=AN$5),'2016 E Maize Soil VWC'!$G$2:$G$4000)</f>
        <v>#N/A</v>
      </c>
      <c r="AO14" s="1" t="e" cm="1">
        <f t="array" ref="AO14">_xlfn.XLOOKUP(1,('2016 E Maize Soil VWC'!$C$2:$C$4000=$AA14)*('2016 E Maize Soil VWC'!$E$2:$E$4000=$AB14)*('2016 E Maize Soil VWC'!$F$2:$F$4000=AO$5),'2016 E Maize Soil VWC'!$G$2:$G$4000)</f>
        <v>#N/A</v>
      </c>
      <c r="AP14" s="1" t="e" cm="1">
        <f t="array" ref="AP14">_xlfn.XLOOKUP(1,('2016 E Maize Soil VWC'!$C$2:$C$4000=$AA14)*('2016 E Maize Soil VWC'!$E$2:$E$4000=$AB14)*('2016 E Maize Soil VWC'!$F$2:$F$4000=AP$5),'2016 E Maize Soil VWC'!$G$2:$G$4000)</f>
        <v>#N/A</v>
      </c>
      <c r="AQ14" s="1" cm="1">
        <f t="array" ref="AQ14">_xlfn.XLOOKUP(1,('2016 E Maize Soil VWC'!$C$2:$C$4000=$AA14)*('2016 E Maize Soil VWC'!$E$2:$E$4000=$AB14)*('2016 E Maize Soil VWC'!$F$2:$F$4000=AQ$5),'2016 E Maize Soil VWC'!$G$2:$G$4000)</f>
        <v>0.32479563289008778</v>
      </c>
      <c r="AR14" s="1" cm="1">
        <f t="array" ref="AR14">_xlfn.XLOOKUP(1,('2016 E Maize Soil VWC'!$C$2:$C$4000=$AA14)*('2016 E Maize Soil VWC'!$E$2:$E$4000=$AB14)*('2016 E Maize Soil VWC'!$F$2:$F$4000=AR$5),'2016 E Maize Soil VWC'!$G$2:$G$4000)</f>
        <v>0.3171266178985031</v>
      </c>
      <c r="AS14" s="1" t="e" cm="1">
        <f t="array" ref="AS14">_xlfn.XLOOKUP(1,('2016 E Maize Soil VWC'!$C$2:$C$4000=$AA14)*('2016 E Maize Soil VWC'!$E$2:$E$4000=$AB14)*('2016 E Maize Soil VWC'!$F$2:$F$4000=AS$5),'2016 E Maize Soil VWC'!$G$2:$G$4000)</f>
        <v>#N/A</v>
      </c>
      <c r="AT14" s="1" t="e" cm="1">
        <f t="array" ref="AT14">_xlfn.XLOOKUP(1,('2016 E Maize Soil VWC'!$C$2:$C$4000=$AA14)*('2016 E Maize Soil VWC'!$E$2:$E$4000=$AB14)*('2016 E Maize Soil VWC'!$F$2:$F$4000=AT$5),'2016 E Maize Soil VWC'!$G$2:$G$4000)</f>
        <v>#N/A</v>
      </c>
      <c r="AU14" s="1" t="e" cm="1">
        <f t="array" ref="AU14">_xlfn.XLOOKUP(1,('2016 E Maize Soil VWC'!$C$2:$C$4000=$AA14)*('2016 E Maize Soil VWC'!$E$2:$E$4000=$AB14)*('2016 E Maize Soil VWC'!$F$2:$F$4000=AU$5),'2016 E Maize Soil VWC'!$G$2:$G$4000)</f>
        <v>#N/A</v>
      </c>
      <c r="AV14" s="1" t="e" cm="1">
        <f t="array" ref="AV14">_xlfn.XLOOKUP(1,('2016 E Maize Soil VWC'!$C$2:$C$4000=$AA14)*('2016 E Maize Soil VWC'!$E$2:$E$4000=$AB14)*('2016 E Maize Soil VWC'!$F$2:$F$4000=AV$5),'2016 E Maize Soil VWC'!$G$2:$G$4000)</f>
        <v>#N/A</v>
      </c>
      <c r="BM14" s="1">
        <v>208</v>
      </c>
      <c r="BN14" s="15">
        <v>42577</v>
      </c>
      <c r="BO14" s="20">
        <f t="shared" si="0"/>
        <v>416.27500389725463</v>
      </c>
      <c r="BP14" s="20">
        <f t="shared" si="0"/>
        <v>434.80188926401905</v>
      </c>
      <c r="BQ14" s="20">
        <f t="shared" si="0"/>
        <v>415.2454735863883</v>
      </c>
      <c r="BR14" s="20">
        <f t="shared" si="0"/>
        <v>415.59231107259512</v>
      </c>
      <c r="BS14" s="20">
        <f t="shared" si="0"/>
        <v>705.58137339857581</v>
      </c>
      <c r="BT14" s="20">
        <f t="shared" si="0"/>
        <v>686.52571979446498</v>
      </c>
      <c r="BU14" s="20">
        <f t="shared" si="0"/>
        <v>589.95931359831479</v>
      </c>
      <c r="BV14" s="20">
        <f t="shared" si="0"/>
        <v>708.32962309707193</v>
      </c>
      <c r="BW14" s="20">
        <f t="shared" si="0"/>
        <v>703.00270344416344</v>
      </c>
      <c r="BX14" s="20">
        <f t="shared" si="0"/>
        <v>691.69786383405585</v>
      </c>
      <c r="BY14" s="20">
        <f t="shared" si="0"/>
        <v>668.3855468785182</v>
      </c>
      <c r="BZ14" s="20">
        <f t="shared" si="0"/>
        <v>584.70209278954928</v>
      </c>
      <c r="CA14" s="20">
        <f t="shared" si="0"/>
        <v>711.61580061972631</v>
      </c>
      <c r="CB14" s="20">
        <f t="shared" si="0"/>
        <v>695.05327666328594</v>
      </c>
    </row>
    <row r="15" spans="25:80" x14ac:dyDescent="0.25">
      <c r="AA15" s="18">
        <f t="shared" si="1"/>
        <v>42496</v>
      </c>
      <c r="AB15" s="1">
        <f t="shared" si="2"/>
        <v>190</v>
      </c>
      <c r="AC15" s="1" t="e" cm="1">
        <f t="array" ref="AC15">_xlfn.XLOOKUP(1,('2016 E Maize Soil VWC'!$C$2:$C$4000=$AA15)*('2016 E Maize Soil VWC'!$E$2:$E$4000=$AB15)*('2016 E Maize Soil VWC'!$F$2:$F$4000=AC$5),'2016 E Maize Soil VWC'!$G$2:$G$4000)</f>
        <v>#N/A</v>
      </c>
      <c r="AD15" s="1" t="e" cm="1">
        <f t="array" ref="AD15">_xlfn.XLOOKUP(1,('2016 E Maize Soil VWC'!$C$2:$C$4000=$AA15)*('2016 E Maize Soil VWC'!$E$2:$E$4000=$AB15)*('2016 E Maize Soil VWC'!$F$2:$F$4000=AD$5),'2016 E Maize Soil VWC'!$G$2:$G$4000)</f>
        <v>#N/A</v>
      </c>
      <c r="AE15" s="1" t="e" cm="1">
        <f t="array" ref="AE15">_xlfn.XLOOKUP(1,('2016 E Maize Soil VWC'!$C$2:$C$4000=$AA15)*('2016 E Maize Soil VWC'!$E$2:$E$4000=$AB15)*('2016 E Maize Soil VWC'!$F$2:$F$4000=AE$5),'2016 E Maize Soil VWC'!$G$2:$G$4000)</f>
        <v>#N/A</v>
      </c>
      <c r="AF15" s="1" t="e" cm="1">
        <f t="array" ref="AF15">_xlfn.XLOOKUP(1,('2016 E Maize Soil VWC'!$C$2:$C$4000=$AA15)*('2016 E Maize Soil VWC'!$E$2:$E$4000=$AB15)*('2016 E Maize Soil VWC'!$F$2:$F$4000=AF$5),'2016 E Maize Soil VWC'!$G$2:$G$4000)</f>
        <v>#N/A</v>
      </c>
      <c r="AG15" s="1" cm="1">
        <f t="array" ref="AG15">_xlfn.XLOOKUP(1,('2016 E Maize Soil VWC'!$C$2:$C$4000=$AA15)*('2016 E Maize Soil VWC'!$E$2:$E$4000=$AB15)*('2016 E Maize Soil VWC'!$F$2:$F$4000=AG$5),'2016 E Maize Soil VWC'!$G$2:$G$4000)</f>
        <v>0.32259614381889723</v>
      </c>
      <c r="AH15" s="1" cm="1">
        <f t="array" ref="AH15">_xlfn.XLOOKUP(1,('2016 E Maize Soil VWC'!$C$2:$C$4000=$AA15)*('2016 E Maize Soil VWC'!$E$2:$E$4000=$AB15)*('2016 E Maize Soil VWC'!$F$2:$F$4000=AH$5),'2016 E Maize Soil VWC'!$G$2:$G$4000)</f>
        <v>0.33446949190231506</v>
      </c>
      <c r="AI15" s="1" t="e" cm="1">
        <f t="array" ref="AI15">_xlfn.XLOOKUP(1,('2016 E Maize Soil VWC'!$C$2:$C$4000=$AA15)*('2016 E Maize Soil VWC'!$E$2:$E$4000=$AB15)*('2016 E Maize Soil VWC'!$F$2:$F$4000=AI$5),'2016 E Maize Soil VWC'!$G$2:$G$4000)</f>
        <v>#N/A</v>
      </c>
      <c r="AJ15" s="1" t="e" cm="1">
        <f t="array" ref="AJ15">_xlfn.XLOOKUP(1,('2016 E Maize Soil VWC'!$C$2:$C$4000=$AA15)*('2016 E Maize Soil VWC'!$E$2:$E$4000=$AB15)*('2016 E Maize Soil VWC'!$F$2:$F$4000=AJ$5),'2016 E Maize Soil VWC'!$G$2:$G$4000)</f>
        <v>#N/A</v>
      </c>
      <c r="AK15" s="1" t="e" cm="1">
        <f t="array" ref="AK15">_xlfn.XLOOKUP(1,('2016 E Maize Soil VWC'!$C$2:$C$4000=$AA15)*('2016 E Maize Soil VWC'!$E$2:$E$4000=$AB15)*('2016 E Maize Soil VWC'!$F$2:$F$4000=AK$5),'2016 E Maize Soil VWC'!$G$2:$G$4000)</f>
        <v>#N/A</v>
      </c>
      <c r="AL15" s="1" t="e" cm="1">
        <f t="array" ref="AL15">_xlfn.XLOOKUP(1,('2016 E Maize Soil VWC'!$C$2:$C$4000=$AA15)*('2016 E Maize Soil VWC'!$E$2:$E$4000=$AB15)*('2016 E Maize Soil VWC'!$F$2:$F$4000=AL$5),'2016 E Maize Soil VWC'!$G$2:$G$4000)</f>
        <v>#N/A</v>
      </c>
      <c r="AM15" s="1" t="e" cm="1">
        <f t="array" ref="AM15">_xlfn.XLOOKUP(1,('2016 E Maize Soil VWC'!$C$2:$C$4000=$AA15)*('2016 E Maize Soil VWC'!$E$2:$E$4000=$AB15)*('2016 E Maize Soil VWC'!$F$2:$F$4000=AM$5),'2016 E Maize Soil VWC'!$G$2:$G$4000)</f>
        <v>#N/A</v>
      </c>
      <c r="AN15" s="1" t="e" cm="1">
        <f t="array" ref="AN15">_xlfn.XLOOKUP(1,('2016 E Maize Soil VWC'!$C$2:$C$4000=$AA15)*('2016 E Maize Soil VWC'!$E$2:$E$4000=$AB15)*('2016 E Maize Soil VWC'!$F$2:$F$4000=AN$5),'2016 E Maize Soil VWC'!$G$2:$G$4000)</f>
        <v>#N/A</v>
      </c>
      <c r="AO15" s="1" t="e" cm="1">
        <f t="array" ref="AO15">_xlfn.XLOOKUP(1,('2016 E Maize Soil VWC'!$C$2:$C$4000=$AA15)*('2016 E Maize Soil VWC'!$E$2:$E$4000=$AB15)*('2016 E Maize Soil VWC'!$F$2:$F$4000=AO$5),'2016 E Maize Soil VWC'!$G$2:$G$4000)</f>
        <v>#N/A</v>
      </c>
      <c r="AP15" s="1" t="e" cm="1">
        <f t="array" ref="AP15">_xlfn.XLOOKUP(1,('2016 E Maize Soil VWC'!$C$2:$C$4000=$AA15)*('2016 E Maize Soil VWC'!$E$2:$E$4000=$AB15)*('2016 E Maize Soil VWC'!$F$2:$F$4000=AP$5),'2016 E Maize Soil VWC'!$G$2:$G$4000)</f>
        <v>#N/A</v>
      </c>
      <c r="AQ15" s="1" cm="1">
        <f t="array" ref="AQ15">_xlfn.XLOOKUP(1,('2016 E Maize Soil VWC'!$C$2:$C$4000=$AA15)*('2016 E Maize Soil VWC'!$E$2:$E$4000=$AB15)*('2016 E Maize Soil VWC'!$F$2:$F$4000=AQ$5),'2016 E Maize Soil VWC'!$G$2:$G$4000)</f>
        <v>0.33020676529531756</v>
      </c>
      <c r="AR15" s="1" cm="1">
        <f t="array" ref="AR15">_xlfn.XLOOKUP(1,('2016 E Maize Soil VWC'!$C$2:$C$4000=$AA15)*('2016 E Maize Soil VWC'!$E$2:$E$4000=$AB15)*('2016 E Maize Soil VWC'!$F$2:$F$4000=AR$5),'2016 E Maize Soil VWC'!$G$2:$G$4000)</f>
        <v>0.31782734008047531</v>
      </c>
      <c r="AS15" s="1" t="e" cm="1">
        <f t="array" ref="AS15">_xlfn.XLOOKUP(1,('2016 E Maize Soil VWC'!$C$2:$C$4000=$AA15)*('2016 E Maize Soil VWC'!$E$2:$E$4000=$AB15)*('2016 E Maize Soil VWC'!$F$2:$F$4000=AS$5),'2016 E Maize Soil VWC'!$G$2:$G$4000)</f>
        <v>#N/A</v>
      </c>
      <c r="AT15" s="1" t="e" cm="1">
        <f t="array" ref="AT15">_xlfn.XLOOKUP(1,('2016 E Maize Soil VWC'!$C$2:$C$4000=$AA15)*('2016 E Maize Soil VWC'!$E$2:$E$4000=$AB15)*('2016 E Maize Soil VWC'!$F$2:$F$4000=AT$5),'2016 E Maize Soil VWC'!$G$2:$G$4000)</f>
        <v>#N/A</v>
      </c>
      <c r="AU15" s="1" t="e" cm="1">
        <f t="array" ref="AU15">_xlfn.XLOOKUP(1,('2016 E Maize Soil VWC'!$C$2:$C$4000=$AA15)*('2016 E Maize Soil VWC'!$E$2:$E$4000=$AB15)*('2016 E Maize Soil VWC'!$F$2:$F$4000=AU$5),'2016 E Maize Soil VWC'!$G$2:$G$4000)</f>
        <v>#N/A</v>
      </c>
      <c r="AV15" s="1" t="e" cm="1">
        <f t="array" ref="AV15">_xlfn.XLOOKUP(1,('2016 E Maize Soil VWC'!$C$2:$C$4000=$AA15)*('2016 E Maize Soil VWC'!$E$2:$E$4000=$AB15)*('2016 E Maize Soil VWC'!$F$2:$F$4000=AV$5),'2016 E Maize Soil VWC'!$G$2:$G$4000)</f>
        <v>#N/A</v>
      </c>
      <c r="BM15" s="1">
        <v>215</v>
      </c>
      <c r="BN15" s="15">
        <v>42584</v>
      </c>
      <c r="BO15" s="20">
        <f t="shared" si="0"/>
        <v>445.63454025825661</v>
      </c>
      <c r="BP15" s="20">
        <f t="shared" si="0"/>
        <v>458.35753456702736</v>
      </c>
      <c r="BQ15" s="20">
        <f t="shared" si="0"/>
        <v>448.34886946565314</v>
      </c>
      <c r="BR15" s="20">
        <f t="shared" si="0"/>
        <v>440.33287504778917</v>
      </c>
      <c r="BS15" s="20">
        <f t="shared" si="0"/>
        <v>743.23246202503458</v>
      </c>
      <c r="BT15" s="20">
        <f t="shared" si="0"/>
        <v>702.86660827045046</v>
      </c>
      <c r="BU15" s="20">
        <f t="shared" si="0"/>
        <v>620.27261070700115</v>
      </c>
      <c r="BV15" s="20">
        <f t="shared" si="0"/>
        <v>729.77330340849562</v>
      </c>
      <c r="BW15" s="20">
        <f t="shared" si="0"/>
        <v>726.99832879498865</v>
      </c>
      <c r="BX15" s="20">
        <f t="shared" si="0"/>
        <v>720.3123405764793</v>
      </c>
      <c r="BY15" s="20">
        <f t="shared" si="0"/>
        <v>692.43221876233054</v>
      </c>
      <c r="BZ15" s="20">
        <f t="shared" si="0"/>
        <v>618.49647859825905</v>
      </c>
      <c r="CA15" s="20">
        <f t="shared" si="0"/>
        <v>736.1759161485561</v>
      </c>
      <c r="CB15" s="20">
        <f t="shared" si="0"/>
        <v>718.04291640826148</v>
      </c>
    </row>
    <row r="16" spans="25:80" x14ac:dyDescent="0.25">
      <c r="AA16" s="18">
        <f t="shared" si="1"/>
        <v>42496</v>
      </c>
      <c r="AB16" s="1">
        <f t="shared" si="2"/>
        <v>210</v>
      </c>
      <c r="AC16" s="1" t="e" cm="1">
        <f t="array" ref="AC16">_xlfn.XLOOKUP(1,('2016 E Maize Soil VWC'!$C$2:$C$4000=$AA16)*('2016 E Maize Soil VWC'!$E$2:$E$4000=$AB16)*('2016 E Maize Soil VWC'!$F$2:$F$4000=AC$5),'2016 E Maize Soil VWC'!$G$2:$G$4000)</f>
        <v>#N/A</v>
      </c>
      <c r="AD16" s="1" t="e" cm="1">
        <f t="array" ref="AD16">_xlfn.XLOOKUP(1,('2016 E Maize Soil VWC'!$C$2:$C$4000=$AA16)*('2016 E Maize Soil VWC'!$E$2:$E$4000=$AB16)*('2016 E Maize Soil VWC'!$F$2:$F$4000=AD$5),'2016 E Maize Soil VWC'!$G$2:$G$4000)</f>
        <v>#N/A</v>
      </c>
      <c r="AE16" s="1" t="e" cm="1">
        <f t="array" ref="AE16">_xlfn.XLOOKUP(1,('2016 E Maize Soil VWC'!$C$2:$C$4000=$AA16)*('2016 E Maize Soil VWC'!$E$2:$E$4000=$AB16)*('2016 E Maize Soil VWC'!$F$2:$F$4000=AE$5),'2016 E Maize Soil VWC'!$G$2:$G$4000)</f>
        <v>#N/A</v>
      </c>
      <c r="AF16" s="1" t="e" cm="1">
        <f t="array" ref="AF16">_xlfn.XLOOKUP(1,('2016 E Maize Soil VWC'!$C$2:$C$4000=$AA16)*('2016 E Maize Soil VWC'!$E$2:$E$4000=$AB16)*('2016 E Maize Soil VWC'!$F$2:$F$4000=AF$5),'2016 E Maize Soil VWC'!$G$2:$G$4000)</f>
        <v>#N/A</v>
      </c>
      <c r="AG16" s="1" t="e" cm="1">
        <f t="array" ref="AG16">_xlfn.XLOOKUP(1,('2016 E Maize Soil VWC'!$C$2:$C$4000=$AA16)*('2016 E Maize Soil VWC'!$E$2:$E$4000=$AB16)*('2016 E Maize Soil VWC'!$F$2:$F$4000=AG$5),'2016 E Maize Soil VWC'!$G$2:$G$4000)</f>
        <v>#N/A</v>
      </c>
      <c r="AH16" s="1" t="e" cm="1">
        <f t="array" ref="AH16">_xlfn.XLOOKUP(1,('2016 E Maize Soil VWC'!$C$2:$C$4000=$AA16)*('2016 E Maize Soil VWC'!$E$2:$E$4000=$AB16)*('2016 E Maize Soil VWC'!$F$2:$F$4000=AH$5),'2016 E Maize Soil VWC'!$G$2:$G$4000)</f>
        <v>#N/A</v>
      </c>
      <c r="AI16" s="1" t="e" cm="1">
        <f t="array" ref="AI16">_xlfn.XLOOKUP(1,('2016 E Maize Soil VWC'!$C$2:$C$4000=$AA16)*('2016 E Maize Soil VWC'!$E$2:$E$4000=$AB16)*('2016 E Maize Soil VWC'!$F$2:$F$4000=AI$5),'2016 E Maize Soil VWC'!$G$2:$G$4000)</f>
        <v>#N/A</v>
      </c>
      <c r="AJ16" s="1" t="e" cm="1">
        <f t="array" ref="AJ16">_xlfn.XLOOKUP(1,('2016 E Maize Soil VWC'!$C$2:$C$4000=$AA16)*('2016 E Maize Soil VWC'!$E$2:$E$4000=$AB16)*('2016 E Maize Soil VWC'!$F$2:$F$4000=AJ$5),'2016 E Maize Soil VWC'!$G$2:$G$4000)</f>
        <v>#N/A</v>
      </c>
      <c r="AK16" s="1" t="e" cm="1">
        <f t="array" ref="AK16">_xlfn.XLOOKUP(1,('2016 E Maize Soil VWC'!$C$2:$C$4000=$AA16)*('2016 E Maize Soil VWC'!$E$2:$E$4000=$AB16)*('2016 E Maize Soil VWC'!$F$2:$F$4000=AK$5),'2016 E Maize Soil VWC'!$G$2:$G$4000)</f>
        <v>#N/A</v>
      </c>
      <c r="AL16" s="1" t="e" cm="1">
        <f t="array" ref="AL16">_xlfn.XLOOKUP(1,('2016 E Maize Soil VWC'!$C$2:$C$4000=$AA16)*('2016 E Maize Soil VWC'!$E$2:$E$4000=$AB16)*('2016 E Maize Soil VWC'!$F$2:$F$4000=AL$5),'2016 E Maize Soil VWC'!$G$2:$G$4000)</f>
        <v>#N/A</v>
      </c>
      <c r="AM16" s="1" t="e" cm="1">
        <f t="array" ref="AM16">_xlfn.XLOOKUP(1,('2016 E Maize Soil VWC'!$C$2:$C$4000=$AA16)*('2016 E Maize Soil VWC'!$E$2:$E$4000=$AB16)*('2016 E Maize Soil VWC'!$F$2:$F$4000=AM$5),'2016 E Maize Soil VWC'!$G$2:$G$4000)</f>
        <v>#N/A</v>
      </c>
      <c r="AN16" s="1" t="e" cm="1">
        <f t="array" ref="AN16">_xlfn.XLOOKUP(1,('2016 E Maize Soil VWC'!$C$2:$C$4000=$AA16)*('2016 E Maize Soil VWC'!$E$2:$E$4000=$AB16)*('2016 E Maize Soil VWC'!$F$2:$F$4000=AN$5),'2016 E Maize Soil VWC'!$G$2:$G$4000)</f>
        <v>#N/A</v>
      </c>
      <c r="AO16" s="1" t="e" cm="1">
        <f t="array" ref="AO16">_xlfn.XLOOKUP(1,('2016 E Maize Soil VWC'!$C$2:$C$4000=$AA16)*('2016 E Maize Soil VWC'!$E$2:$E$4000=$AB16)*('2016 E Maize Soil VWC'!$F$2:$F$4000=AO$5),'2016 E Maize Soil VWC'!$G$2:$G$4000)</f>
        <v>#N/A</v>
      </c>
      <c r="AP16" s="1" t="e" cm="1">
        <f t="array" ref="AP16">_xlfn.XLOOKUP(1,('2016 E Maize Soil VWC'!$C$2:$C$4000=$AA16)*('2016 E Maize Soil VWC'!$E$2:$E$4000=$AB16)*('2016 E Maize Soil VWC'!$F$2:$F$4000=AP$5),'2016 E Maize Soil VWC'!$G$2:$G$4000)</f>
        <v>#N/A</v>
      </c>
      <c r="AQ16" s="1" t="e" cm="1">
        <f t="array" ref="AQ16">_xlfn.XLOOKUP(1,('2016 E Maize Soil VWC'!$C$2:$C$4000=$AA16)*('2016 E Maize Soil VWC'!$E$2:$E$4000=$AB16)*('2016 E Maize Soil VWC'!$F$2:$F$4000=AQ$5),'2016 E Maize Soil VWC'!$G$2:$G$4000)</f>
        <v>#N/A</v>
      </c>
      <c r="AR16" s="1" t="e" cm="1">
        <f t="array" ref="AR16">_xlfn.XLOOKUP(1,('2016 E Maize Soil VWC'!$C$2:$C$4000=$AA16)*('2016 E Maize Soil VWC'!$E$2:$E$4000=$AB16)*('2016 E Maize Soil VWC'!$F$2:$F$4000=AR$5),'2016 E Maize Soil VWC'!$G$2:$G$4000)</f>
        <v>#N/A</v>
      </c>
      <c r="AS16" s="1" t="e" cm="1">
        <f t="array" ref="AS16">_xlfn.XLOOKUP(1,('2016 E Maize Soil VWC'!$C$2:$C$4000=$AA16)*('2016 E Maize Soil VWC'!$E$2:$E$4000=$AB16)*('2016 E Maize Soil VWC'!$F$2:$F$4000=AS$5),'2016 E Maize Soil VWC'!$G$2:$G$4000)</f>
        <v>#N/A</v>
      </c>
      <c r="AT16" s="1" t="e" cm="1">
        <f t="array" ref="AT16">_xlfn.XLOOKUP(1,('2016 E Maize Soil VWC'!$C$2:$C$4000=$AA16)*('2016 E Maize Soil VWC'!$E$2:$E$4000=$AB16)*('2016 E Maize Soil VWC'!$F$2:$F$4000=AT$5),'2016 E Maize Soil VWC'!$G$2:$G$4000)</f>
        <v>#N/A</v>
      </c>
      <c r="AU16" s="1" t="e" cm="1">
        <f t="array" ref="AU16">_xlfn.XLOOKUP(1,('2016 E Maize Soil VWC'!$C$2:$C$4000=$AA16)*('2016 E Maize Soil VWC'!$E$2:$E$4000=$AB16)*('2016 E Maize Soil VWC'!$F$2:$F$4000=AU$5),'2016 E Maize Soil VWC'!$G$2:$G$4000)</f>
        <v>#N/A</v>
      </c>
      <c r="AV16" s="1" t="e" cm="1">
        <f t="array" ref="AV16">_xlfn.XLOOKUP(1,('2016 E Maize Soil VWC'!$C$2:$C$4000=$AA16)*('2016 E Maize Soil VWC'!$E$2:$E$4000=$AB16)*('2016 E Maize Soil VWC'!$F$2:$F$4000=AV$5),'2016 E Maize Soil VWC'!$G$2:$G$4000)</f>
        <v>#N/A</v>
      </c>
      <c r="BM16" s="1">
        <v>224</v>
      </c>
      <c r="BN16" s="15">
        <v>42593</v>
      </c>
      <c r="BO16" s="20">
        <f t="shared" si="0"/>
        <v>480.73658022281177</v>
      </c>
      <c r="BP16" s="20">
        <f t="shared" si="0"/>
        <v>477.94907941387925</v>
      </c>
      <c r="BQ16" s="20">
        <f t="shared" si="0"/>
        <v>473.85544939420618</v>
      </c>
      <c r="BR16" s="20">
        <f t="shared" si="0"/>
        <v>452.18308211431503</v>
      </c>
      <c r="BS16" s="20">
        <f t="shared" si="0"/>
        <v>754.10088992275701</v>
      </c>
      <c r="BT16" s="20">
        <f t="shared" si="0"/>
        <v>731.0768791198991</v>
      </c>
      <c r="BU16" s="20">
        <f t="shared" si="0"/>
        <v>655.91187101106823</v>
      </c>
      <c r="BV16" s="20">
        <f t="shared" si="0"/>
        <v>748.86807585964755</v>
      </c>
      <c r="BW16" s="20">
        <f t="shared" si="0"/>
        <v>751.59390802746418</v>
      </c>
      <c r="BX16" s="20">
        <f t="shared" si="0"/>
        <v>734.29122032725127</v>
      </c>
      <c r="BY16" s="20">
        <f t="shared" si="0"/>
        <v>696.67056061281585</v>
      </c>
      <c r="BZ16" s="20">
        <f t="shared" si="0"/>
        <v>647.96505853071312</v>
      </c>
      <c r="CA16" s="20">
        <f t="shared" si="0"/>
        <v>759.42945462844261</v>
      </c>
      <c r="CB16" s="20">
        <f t="shared" si="0"/>
        <v>740.60053803626977</v>
      </c>
    </row>
    <row r="17" spans="25:80" x14ac:dyDescent="0.25">
      <c r="AA17" s="18">
        <f t="shared" si="1"/>
        <v>42496</v>
      </c>
      <c r="AB17" s="1">
        <f t="shared" si="2"/>
        <v>230</v>
      </c>
      <c r="AC17" s="1" t="e" cm="1">
        <f t="array" ref="AC17">_xlfn.XLOOKUP(1,('2016 E Maize Soil VWC'!$C$2:$C$4000=$AA17)*('2016 E Maize Soil VWC'!$E$2:$E$4000=$AB17)*('2016 E Maize Soil VWC'!$F$2:$F$4000=AC$5),'2016 E Maize Soil VWC'!$G$2:$G$4000)</f>
        <v>#N/A</v>
      </c>
      <c r="AD17" s="1" t="e" cm="1">
        <f t="array" ref="AD17">_xlfn.XLOOKUP(1,('2016 E Maize Soil VWC'!$C$2:$C$4000=$AA17)*('2016 E Maize Soil VWC'!$E$2:$E$4000=$AB17)*('2016 E Maize Soil VWC'!$F$2:$F$4000=AD$5),'2016 E Maize Soil VWC'!$G$2:$G$4000)</f>
        <v>#N/A</v>
      </c>
      <c r="AE17" s="1" t="e" cm="1">
        <f t="array" ref="AE17">_xlfn.XLOOKUP(1,('2016 E Maize Soil VWC'!$C$2:$C$4000=$AA17)*('2016 E Maize Soil VWC'!$E$2:$E$4000=$AB17)*('2016 E Maize Soil VWC'!$F$2:$F$4000=AE$5),'2016 E Maize Soil VWC'!$G$2:$G$4000)</f>
        <v>#N/A</v>
      </c>
      <c r="AF17" s="1" t="e" cm="1">
        <f t="array" ref="AF17">_xlfn.XLOOKUP(1,('2016 E Maize Soil VWC'!$C$2:$C$4000=$AA17)*('2016 E Maize Soil VWC'!$E$2:$E$4000=$AB17)*('2016 E Maize Soil VWC'!$F$2:$F$4000=AF$5),'2016 E Maize Soil VWC'!$G$2:$G$4000)</f>
        <v>#N/A</v>
      </c>
      <c r="AG17" s="1" t="e" cm="1">
        <f t="array" ref="AG17">_xlfn.XLOOKUP(1,('2016 E Maize Soil VWC'!$C$2:$C$4000=$AA17)*('2016 E Maize Soil VWC'!$E$2:$E$4000=$AB17)*('2016 E Maize Soil VWC'!$F$2:$F$4000=AG$5),'2016 E Maize Soil VWC'!$G$2:$G$4000)</f>
        <v>#N/A</v>
      </c>
      <c r="AH17" s="1" t="e" cm="1">
        <f t="array" ref="AH17">_xlfn.XLOOKUP(1,('2016 E Maize Soil VWC'!$C$2:$C$4000=$AA17)*('2016 E Maize Soil VWC'!$E$2:$E$4000=$AB17)*('2016 E Maize Soil VWC'!$F$2:$F$4000=AH$5),'2016 E Maize Soil VWC'!$G$2:$G$4000)</f>
        <v>#N/A</v>
      </c>
      <c r="AI17" s="1" t="e" cm="1">
        <f t="array" ref="AI17">_xlfn.XLOOKUP(1,('2016 E Maize Soil VWC'!$C$2:$C$4000=$AA17)*('2016 E Maize Soil VWC'!$E$2:$E$4000=$AB17)*('2016 E Maize Soil VWC'!$F$2:$F$4000=AI$5),'2016 E Maize Soil VWC'!$G$2:$G$4000)</f>
        <v>#N/A</v>
      </c>
      <c r="AJ17" s="1" t="e" cm="1">
        <f t="array" ref="AJ17">_xlfn.XLOOKUP(1,('2016 E Maize Soil VWC'!$C$2:$C$4000=$AA17)*('2016 E Maize Soil VWC'!$E$2:$E$4000=$AB17)*('2016 E Maize Soil VWC'!$F$2:$F$4000=AJ$5),'2016 E Maize Soil VWC'!$G$2:$G$4000)</f>
        <v>#N/A</v>
      </c>
      <c r="AK17" s="1" t="e" cm="1">
        <f t="array" ref="AK17">_xlfn.XLOOKUP(1,('2016 E Maize Soil VWC'!$C$2:$C$4000=$AA17)*('2016 E Maize Soil VWC'!$E$2:$E$4000=$AB17)*('2016 E Maize Soil VWC'!$F$2:$F$4000=AK$5),'2016 E Maize Soil VWC'!$G$2:$G$4000)</f>
        <v>#N/A</v>
      </c>
      <c r="AL17" s="1" t="e" cm="1">
        <f t="array" ref="AL17">_xlfn.XLOOKUP(1,('2016 E Maize Soil VWC'!$C$2:$C$4000=$AA17)*('2016 E Maize Soil VWC'!$E$2:$E$4000=$AB17)*('2016 E Maize Soil VWC'!$F$2:$F$4000=AL$5),'2016 E Maize Soil VWC'!$G$2:$G$4000)</f>
        <v>#N/A</v>
      </c>
      <c r="AM17" s="1" t="e" cm="1">
        <f t="array" ref="AM17">_xlfn.XLOOKUP(1,('2016 E Maize Soil VWC'!$C$2:$C$4000=$AA17)*('2016 E Maize Soil VWC'!$E$2:$E$4000=$AB17)*('2016 E Maize Soil VWC'!$F$2:$F$4000=AM$5),'2016 E Maize Soil VWC'!$G$2:$G$4000)</f>
        <v>#N/A</v>
      </c>
      <c r="AN17" s="1" t="e" cm="1">
        <f t="array" ref="AN17">_xlfn.XLOOKUP(1,('2016 E Maize Soil VWC'!$C$2:$C$4000=$AA17)*('2016 E Maize Soil VWC'!$E$2:$E$4000=$AB17)*('2016 E Maize Soil VWC'!$F$2:$F$4000=AN$5),'2016 E Maize Soil VWC'!$G$2:$G$4000)</f>
        <v>#N/A</v>
      </c>
      <c r="AO17" s="1" t="e" cm="1">
        <f t="array" ref="AO17">_xlfn.XLOOKUP(1,('2016 E Maize Soil VWC'!$C$2:$C$4000=$AA17)*('2016 E Maize Soil VWC'!$E$2:$E$4000=$AB17)*('2016 E Maize Soil VWC'!$F$2:$F$4000=AO$5),'2016 E Maize Soil VWC'!$G$2:$G$4000)</f>
        <v>#N/A</v>
      </c>
      <c r="AP17" s="1" t="e" cm="1">
        <f t="array" ref="AP17">_xlfn.XLOOKUP(1,('2016 E Maize Soil VWC'!$C$2:$C$4000=$AA17)*('2016 E Maize Soil VWC'!$E$2:$E$4000=$AB17)*('2016 E Maize Soil VWC'!$F$2:$F$4000=AP$5),'2016 E Maize Soil VWC'!$G$2:$G$4000)</f>
        <v>#N/A</v>
      </c>
      <c r="AQ17" s="1" t="e" cm="1">
        <f t="array" ref="AQ17">_xlfn.XLOOKUP(1,('2016 E Maize Soil VWC'!$C$2:$C$4000=$AA17)*('2016 E Maize Soil VWC'!$E$2:$E$4000=$AB17)*('2016 E Maize Soil VWC'!$F$2:$F$4000=AQ$5),'2016 E Maize Soil VWC'!$G$2:$G$4000)</f>
        <v>#N/A</v>
      </c>
      <c r="AR17" s="1" t="e" cm="1">
        <f t="array" ref="AR17">_xlfn.XLOOKUP(1,('2016 E Maize Soil VWC'!$C$2:$C$4000=$AA17)*('2016 E Maize Soil VWC'!$E$2:$E$4000=$AB17)*('2016 E Maize Soil VWC'!$F$2:$F$4000=AR$5),'2016 E Maize Soil VWC'!$G$2:$G$4000)</f>
        <v>#N/A</v>
      </c>
      <c r="AS17" s="1" t="e" cm="1">
        <f t="array" ref="AS17">_xlfn.XLOOKUP(1,('2016 E Maize Soil VWC'!$C$2:$C$4000=$AA17)*('2016 E Maize Soil VWC'!$E$2:$E$4000=$AB17)*('2016 E Maize Soil VWC'!$F$2:$F$4000=AS$5),'2016 E Maize Soil VWC'!$G$2:$G$4000)</f>
        <v>#N/A</v>
      </c>
      <c r="AT17" s="1" t="e" cm="1">
        <f t="array" ref="AT17">_xlfn.XLOOKUP(1,('2016 E Maize Soil VWC'!$C$2:$C$4000=$AA17)*('2016 E Maize Soil VWC'!$E$2:$E$4000=$AB17)*('2016 E Maize Soil VWC'!$F$2:$F$4000=AT$5),'2016 E Maize Soil VWC'!$G$2:$G$4000)</f>
        <v>#N/A</v>
      </c>
      <c r="AU17" s="1" t="e" cm="1">
        <f t="array" ref="AU17">_xlfn.XLOOKUP(1,('2016 E Maize Soil VWC'!$C$2:$C$4000=$AA17)*('2016 E Maize Soil VWC'!$E$2:$E$4000=$AB17)*('2016 E Maize Soil VWC'!$F$2:$F$4000=AU$5),'2016 E Maize Soil VWC'!$G$2:$G$4000)</f>
        <v>#N/A</v>
      </c>
      <c r="AV17" s="1" t="e" cm="1">
        <f t="array" ref="AV17">_xlfn.XLOOKUP(1,('2016 E Maize Soil VWC'!$C$2:$C$4000=$AA17)*('2016 E Maize Soil VWC'!$E$2:$E$4000=$AB17)*('2016 E Maize Soil VWC'!$F$2:$F$4000=AV$5),'2016 E Maize Soil VWC'!$G$2:$G$4000)</f>
        <v>#N/A</v>
      </c>
      <c r="BM17" s="1">
        <v>236</v>
      </c>
      <c r="BN17" s="15">
        <v>42605</v>
      </c>
      <c r="BO17" s="20">
        <f t="shared" si="0"/>
        <v>479.62585154820152</v>
      </c>
      <c r="BP17" s="20">
        <f t="shared" si="0"/>
        <v>478.39261704080593</v>
      </c>
      <c r="BQ17" s="20">
        <f t="shared" si="0"/>
        <v>475.28822357301289</v>
      </c>
      <c r="BR17" s="20">
        <f t="shared" si="0"/>
        <v>452.22585049461094</v>
      </c>
      <c r="BS17" s="20">
        <f t="shared" si="0"/>
        <v>749.62022375692482</v>
      </c>
      <c r="BT17" s="20">
        <f t="shared" si="0"/>
        <v>719.26429218654209</v>
      </c>
      <c r="BU17" s="20">
        <f t="shared" si="0"/>
        <v>648.80412832907905</v>
      </c>
      <c r="BV17" s="20">
        <f t="shared" si="0"/>
        <v>742.34749572767726</v>
      </c>
      <c r="BW17" s="20">
        <f t="shared" si="0"/>
        <v>740.2328973806525</v>
      </c>
      <c r="BX17" s="20">
        <f t="shared" si="0"/>
        <v>729.03846693603225</v>
      </c>
      <c r="BY17" s="20">
        <f t="shared" si="0"/>
        <v>695.91196110882015</v>
      </c>
      <c r="BZ17" s="20">
        <f t="shared" si="0"/>
        <v>643.85823457092874</v>
      </c>
      <c r="CA17" s="20">
        <f t="shared" si="0"/>
        <v>744.89027451430604</v>
      </c>
      <c r="CB17" s="20">
        <f t="shared" si="0"/>
        <v>725.83835185193459</v>
      </c>
    </row>
    <row r="18" spans="25:80" x14ac:dyDescent="0.25">
      <c r="AA18" s="18"/>
      <c r="BM18" s="1">
        <v>256</v>
      </c>
      <c r="BN18" s="15">
        <v>42625</v>
      </c>
      <c r="BO18" s="20">
        <f>VLOOKUP($BN18,$AX$6:$BL$214,BO$5)</f>
        <v>488.17402484423241</v>
      </c>
      <c r="BP18" s="20">
        <f t="shared" ref="BP18:CB28" si="3">VLOOKUP($BN18,$AX$6:$BL$214,BP$5)</f>
        <v>480.50244371356598</v>
      </c>
      <c r="BQ18" s="20">
        <f t="shared" si="3"/>
        <v>477.34039483152588</v>
      </c>
      <c r="BR18" s="20">
        <f t="shared" si="3"/>
        <v>452.27110444188378</v>
      </c>
      <c r="BS18" s="20">
        <f t="shared" si="3"/>
        <v>738.43231407648489</v>
      </c>
      <c r="BT18" s="20">
        <f t="shared" si="3"/>
        <v>715.72484544289262</v>
      </c>
      <c r="BU18" s="20">
        <f t="shared" si="3"/>
        <v>655.39806531760996</v>
      </c>
      <c r="BV18" s="20">
        <f t="shared" si="3"/>
        <v>745.15803138089791</v>
      </c>
      <c r="BW18" s="20">
        <f t="shared" si="3"/>
        <v>742.11915599607664</v>
      </c>
      <c r="BX18" s="20">
        <f t="shared" si="3"/>
        <v>720.52362990403162</v>
      </c>
      <c r="BY18" s="20">
        <f t="shared" si="3"/>
        <v>687.95055809935707</v>
      </c>
      <c r="BZ18" s="20">
        <f t="shared" si="3"/>
        <v>636.66281947791401</v>
      </c>
      <c r="CA18" s="20">
        <f t="shared" si="3"/>
        <v>748.04124540722512</v>
      </c>
      <c r="CB18" s="20">
        <f t="shared" si="3"/>
        <v>727.22700916771635</v>
      </c>
    </row>
    <row r="19" spans="25:80" x14ac:dyDescent="0.25">
      <c r="Y19" s="1">
        <v>2016</v>
      </c>
      <c r="Z19" s="1">
        <v>146</v>
      </c>
      <c r="AA19" s="18">
        <f>DATE(Y19,1,Z19)</f>
        <v>42515</v>
      </c>
      <c r="AB19" s="1">
        <v>10</v>
      </c>
      <c r="AC19" s="1" t="e" cm="1">
        <f t="array" ref="AC19">_xlfn.XLOOKUP(1,('2016 E Maize Soil VWC'!$C$2:$C$4000=$AA19)*('2016 E Maize Soil VWC'!$E$2:$E$4000=$AB19)*('2016 E Maize Soil VWC'!$F$2:$F$4000=AC$5),'2016 E Maize Soil VWC'!$G$2:$G$4000)</f>
        <v>#N/A</v>
      </c>
      <c r="AD19" s="1" t="e" cm="1">
        <f t="array" ref="AD19">_xlfn.XLOOKUP(1,('2016 E Maize Soil VWC'!$C$2:$C$4000=$AA19)*('2016 E Maize Soil VWC'!$E$2:$E$4000=$AB19)*('2016 E Maize Soil VWC'!$F$2:$F$4000=AD$5),'2016 E Maize Soil VWC'!$G$2:$G$4000)</f>
        <v>#N/A</v>
      </c>
      <c r="AE19" s="1" t="e" cm="1">
        <f t="array" ref="AE19">_xlfn.XLOOKUP(1,('2016 E Maize Soil VWC'!$C$2:$C$4000=$AA19)*('2016 E Maize Soil VWC'!$E$2:$E$4000=$AB19)*('2016 E Maize Soil VWC'!$F$2:$F$4000=AE$5),'2016 E Maize Soil VWC'!$G$2:$G$4000)</f>
        <v>#N/A</v>
      </c>
      <c r="AF19" s="1" t="e" cm="1">
        <f t="array" ref="AF19">_xlfn.XLOOKUP(1,('2016 E Maize Soil VWC'!$C$2:$C$4000=$AA19)*('2016 E Maize Soil VWC'!$E$2:$E$4000=$AB19)*('2016 E Maize Soil VWC'!$F$2:$F$4000=AF$5),'2016 E Maize Soil VWC'!$G$2:$G$4000)</f>
        <v>#N/A</v>
      </c>
      <c r="AG19" s="1" cm="1">
        <f t="array" ref="AG19">_xlfn.XLOOKUP(1,('2016 E Maize Soil VWC'!$C$2:$C$4000=$AA19)*('2016 E Maize Soil VWC'!$E$2:$E$4000=$AB19)*('2016 E Maize Soil VWC'!$F$2:$F$4000=AG$5),'2016 E Maize Soil VWC'!$G$2:$G$4000)</f>
        <v>0.24009334715828662</v>
      </c>
      <c r="AH19" s="1" cm="1">
        <f t="array" ref="AH19">_xlfn.XLOOKUP(1,('2016 E Maize Soil VWC'!$C$2:$C$4000=$AA19)*('2016 E Maize Soil VWC'!$E$2:$E$4000=$AB19)*('2016 E Maize Soil VWC'!$F$2:$F$4000=AH$5),'2016 E Maize Soil VWC'!$G$2:$G$4000)</f>
        <v>0.23207551573280427</v>
      </c>
      <c r="AI19" s="1" t="e" cm="1">
        <f t="array" ref="AI19">_xlfn.XLOOKUP(1,('2016 E Maize Soil VWC'!$C$2:$C$4000=$AA19)*('2016 E Maize Soil VWC'!$E$2:$E$4000=$AB19)*('2016 E Maize Soil VWC'!$F$2:$F$4000=AI$5),'2016 E Maize Soil VWC'!$G$2:$G$4000)</f>
        <v>#N/A</v>
      </c>
      <c r="AJ19" s="1" t="e" cm="1">
        <f t="array" ref="AJ19">_xlfn.XLOOKUP(1,('2016 E Maize Soil VWC'!$C$2:$C$4000=$AA19)*('2016 E Maize Soil VWC'!$E$2:$E$4000=$AB19)*('2016 E Maize Soil VWC'!$F$2:$F$4000=AJ$5),'2016 E Maize Soil VWC'!$G$2:$G$4000)</f>
        <v>#N/A</v>
      </c>
      <c r="AK19" s="1" t="e" cm="1">
        <f t="array" ref="AK19">_xlfn.XLOOKUP(1,('2016 E Maize Soil VWC'!$C$2:$C$4000=$AA19)*('2016 E Maize Soil VWC'!$E$2:$E$4000=$AB19)*('2016 E Maize Soil VWC'!$F$2:$F$4000=AK$5),'2016 E Maize Soil VWC'!$G$2:$G$4000)</f>
        <v>#N/A</v>
      </c>
      <c r="AL19" s="1" t="e" cm="1">
        <f t="array" ref="AL19">_xlfn.XLOOKUP(1,('2016 E Maize Soil VWC'!$C$2:$C$4000=$AA19)*('2016 E Maize Soil VWC'!$E$2:$E$4000=$AB19)*('2016 E Maize Soil VWC'!$F$2:$F$4000=AL$5),'2016 E Maize Soil VWC'!$G$2:$G$4000)</f>
        <v>#N/A</v>
      </c>
      <c r="AM19" s="1" t="e" cm="1">
        <f t="array" ref="AM19">_xlfn.XLOOKUP(1,('2016 E Maize Soil VWC'!$C$2:$C$4000=$AA19)*('2016 E Maize Soil VWC'!$E$2:$E$4000=$AB19)*('2016 E Maize Soil VWC'!$F$2:$F$4000=AM$5),'2016 E Maize Soil VWC'!$G$2:$G$4000)</f>
        <v>#N/A</v>
      </c>
      <c r="AN19" s="1" t="e" cm="1">
        <f t="array" ref="AN19">_xlfn.XLOOKUP(1,('2016 E Maize Soil VWC'!$C$2:$C$4000=$AA19)*('2016 E Maize Soil VWC'!$E$2:$E$4000=$AB19)*('2016 E Maize Soil VWC'!$F$2:$F$4000=AN$5),'2016 E Maize Soil VWC'!$G$2:$G$4000)</f>
        <v>#N/A</v>
      </c>
      <c r="AO19" s="1" t="e" cm="1">
        <f t="array" ref="AO19">_xlfn.XLOOKUP(1,('2016 E Maize Soil VWC'!$C$2:$C$4000=$AA19)*('2016 E Maize Soil VWC'!$E$2:$E$4000=$AB19)*('2016 E Maize Soil VWC'!$F$2:$F$4000=AO$5),'2016 E Maize Soil VWC'!$G$2:$G$4000)</f>
        <v>#N/A</v>
      </c>
      <c r="AP19" s="1" t="e" cm="1">
        <f t="array" ref="AP19">_xlfn.XLOOKUP(1,('2016 E Maize Soil VWC'!$C$2:$C$4000=$AA19)*('2016 E Maize Soil VWC'!$E$2:$E$4000=$AB19)*('2016 E Maize Soil VWC'!$F$2:$F$4000=AP$5),'2016 E Maize Soil VWC'!$G$2:$G$4000)</f>
        <v>#N/A</v>
      </c>
      <c r="AQ19" s="1" cm="1">
        <f t="array" ref="AQ19">_xlfn.XLOOKUP(1,('2016 E Maize Soil VWC'!$C$2:$C$4000=$AA19)*('2016 E Maize Soil VWC'!$E$2:$E$4000=$AB19)*('2016 E Maize Soil VWC'!$F$2:$F$4000=AQ$5),'2016 E Maize Soil VWC'!$G$2:$G$4000)</f>
        <v>0.23056018395621791</v>
      </c>
      <c r="AR19" s="1" cm="1">
        <f t="array" ref="AR19">_xlfn.XLOOKUP(1,('2016 E Maize Soil VWC'!$C$2:$C$4000=$AA19)*('2016 E Maize Soil VWC'!$E$2:$E$4000=$AB19)*('2016 E Maize Soil VWC'!$F$2:$F$4000=AR$5),'2016 E Maize Soil VWC'!$G$2:$G$4000)</f>
        <v>0.22259989677541603</v>
      </c>
      <c r="AS19" s="1" t="e" cm="1">
        <f t="array" ref="AS19">_xlfn.XLOOKUP(1,('2016 E Maize Soil VWC'!$C$2:$C$4000=$AA19)*('2016 E Maize Soil VWC'!$E$2:$E$4000=$AB19)*('2016 E Maize Soil VWC'!$F$2:$F$4000=AS$5),'2016 E Maize Soil VWC'!$G$2:$G$4000)</f>
        <v>#N/A</v>
      </c>
      <c r="AT19" s="1" t="e" cm="1">
        <f t="array" ref="AT19">_xlfn.XLOOKUP(1,('2016 E Maize Soil VWC'!$C$2:$C$4000=$AA19)*('2016 E Maize Soil VWC'!$E$2:$E$4000=$AB19)*('2016 E Maize Soil VWC'!$F$2:$F$4000=AT$5),'2016 E Maize Soil VWC'!$G$2:$G$4000)</f>
        <v>#N/A</v>
      </c>
      <c r="AU19" s="1" t="e" cm="1">
        <f t="array" ref="AU19">_xlfn.XLOOKUP(1,('2016 E Maize Soil VWC'!$C$2:$C$4000=$AA19)*('2016 E Maize Soil VWC'!$E$2:$E$4000=$AB19)*('2016 E Maize Soil VWC'!$F$2:$F$4000=AU$5),'2016 E Maize Soil VWC'!$G$2:$G$4000)</f>
        <v>#N/A</v>
      </c>
      <c r="AV19" s="1" t="e" cm="1">
        <f t="array" ref="AV19">_xlfn.XLOOKUP(1,('2016 E Maize Soil VWC'!$C$2:$C$4000=$AA19)*('2016 E Maize Soil VWC'!$E$2:$E$4000=$AB19)*('2016 E Maize Soil VWC'!$F$2:$F$4000=AV$5),'2016 E Maize Soil VWC'!$G$2:$G$4000)</f>
        <v>#N/A</v>
      </c>
      <c r="AW19" s="1">
        <f>Z19</f>
        <v>146</v>
      </c>
      <c r="AX19" s="15">
        <f>AA19</f>
        <v>42515</v>
      </c>
      <c r="AY19" s="1">
        <f>1400*AVERAGE(AG19:AH25)+100*AVERAGE(AG26:AH26)</f>
        <v>478.07456131223734</v>
      </c>
      <c r="AZ19" s="1" t="e">
        <f>1400*AVERAGE(AC19:AF25,AI19:AL25)+100*AVERAGE(AC26:AF26,AI26:AL26)</f>
        <v>#N/A</v>
      </c>
      <c r="BA19" s="1">
        <f>1400*AVERAGE(AQ19:AR25)+100*AVERAGE(AQ26:AR26)</f>
        <v>469.63694256885532</v>
      </c>
      <c r="BB19" s="1" t="e">
        <f>1400*AVERAGE(AM19:AP25,AS19:AV25)+100*AVERAGE(AM26:AP26,AS26:AV26)</f>
        <v>#N/A</v>
      </c>
      <c r="BC19" s="1" t="e">
        <f>AVERAGE(AC19:AD30)*2400</f>
        <v>#N/A</v>
      </c>
      <c r="BD19" s="1" t="e">
        <f>AVERAGE(AE19:AF30)*2400</f>
        <v>#N/A</v>
      </c>
      <c r="BE19" s="1">
        <f>AVERAGE(AG19:AH28)*2000</f>
        <v>644.98522325423278</v>
      </c>
      <c r="BF19" s="1" t="e">
        <f>AVERAGE(AI19:AJ30)*2400</f>
        <v>#N/A</v>
      </c>
      <c r="BG19" s="1" t="e">
        <f>AVERAGE(AK19:AL30)*2400</f>
        <v>#N/A</v>
      </c>
      <c r="BH19" s="1" t="e">
        <f>AVERAGE(AM19:AN30)*2400</f>
        <v>#N/A</v>
      </c>
      <c r="BI19" s="1" t="e">
        <f>AVERAGE(AO19:AP30)*2400</f>
        <v>#N/A</v>
      </c>
      <c r="BJ19" s="1">
        <f>AVERAGE(AQ19:AR28)*2000</f>
        <v>632.89411691206794</v>
      </c>
      <c r="BK19" s="1" t="e">
        <f>AVERAGE(AS19:AT30)*2400</f>
        <v>#N/A</v>
      </c>
      <c r="BL19" s="1" t="e">
        <f>AVERAGE(AU19:AV30)*2400</f>
        <v>#N/A</v>
      </c>
      <c r="BM19" s="1">
        <v>263</v>
      </c>
      <c r="BN19" s="15">
        <v>42632</v>
      </c>
      <c r="BO19" s="20">
        <f t="shared" ref="BO19:BO28" si="4">VLOOKUP($BN19,$AX$6:$BL$214,BO$5)</f>
        <v>467.05821528918716</v>
      </c>
      <c r="BP19" s="20">
        <f t="shared" si="3"/>
        <v>466.27337076794277</v>
      </c>
      <c r="BQ19" s="20">
        <f t="shared" si="3"/>
        <v>467.67266822229897</v>
      </c>
      <c r="BR19" s="20">
        <f t="shared" si="3"/>
        <v>437.19299459188335</v>
      </c>
      <c r="BS19" s="20">
        <f t="shared" si="3"/>
        <v>718.16250626191254</v>
      </c>
      <c r="BT19" s="20">
        <f t="shared" si="3"/>
        <v>701.15956589052246</v>
      </c>
      <c r="BU19" s="20">
        <f t="shared" si="3"/>
        <v>633.98931496148998</v>
      </c>
      <c r="BV19" s="20">
        <f t="shared" si="3"/>
        <v>742.10005454261727</v>
      </c>
      <c r="BW19" s="20">
        <f t="shared" si="3"/>
        <v>721.15823694060214</v>
      </c>
      <c r="BX19" s="20">
        <f t="shared" si="3"/>
        <v>701.43561024666462</v>
      </c>
      <c r="BY19" s="20">
        <f t="shared" si="3"/>
        <v>673.15479336914962</v>
      </c>
      <c r="BZ19" s="20">
        <f t="shared" si="3"/>
        <v>633.08748295083433</v>
      </c>
      <c r="CA19" s="20">
        <f t="shared" si="3"/>
        <v>731.28182899339038</v>
      </c>
      <c r="CB19" s="20">
        <f t="shared" si="3"/>
        <v>714.46972684218144</v>
      </c>
    </row>
    <row r="20" spans="25:80" x14ac:dyDescent="0.25">
      <c r="AA20" s="18">
        <f t="shared" ref="AA20:AA30" si="5">AA19</f>
        <v>42515</v>
      </c>
      <c r="AB20" s="1">
        <f t="shared" ref="AB20:AB30" si="6">AB19+20</f>
        <v>30</v>
      </c>
      <c r="AC20" s="1" t="e" cm="1">
        <f t="array" ref="AC20">_xlfn.XLOOKUP(1,('2016 E Maize Soil VWC'!$C$2:$C$4000=$AA20)*('2016 E Maize Soil VWC'!$E$2:$E$4000=$AB20)*('2016 E Maize Soil VWC'!$F$2:$F$4000=AC$5),'2016 E Maize Soil VWC'!$G$2:$G$4000)</f>
        <v>#N/A</v>
      </c>
      <c r="AD20" s="1" t="e" cm="1">
        <f t="array" ref="AD20">_xlfn.XLOOKUP(1,('2016 E Maize Soil VWC'!$C$2:$C$4000=$AA20)*('2016 E Maize Soil VWC'!$E$2:$E$4000=$AB20)*('2016 E Maize Soil VWC'!$F$2:$F$4000=AD$5),'2016 E Maize Soil VWC'!$G$2:$G$4000)</f>
        <v>#N/A</v>
      </c>
      <c r="AE20" s="1" t="e" cm="1">
        <f t="array" ref="AE20">_xlfn.XLOOKUP(1,('2016 E Maize Soil VWC'!$C$2:$C$4000=$AA20)*('2016 E Maize Soil VWC'!$E$2:$E$4000=$AB20)*('2016 E Maize Soil VWC'!$F$2:$F$4000=AE$5),'2016 E Maize Soil VWC'!$G$2:$G$4000)</f>
        <v>#N/A</v>
      </c>
      <c r="AF20" s="1" t="e" cm="1">
        <f t="array" ref="AF20">_xlfn.XLOOKUP(1,('2016 E Maize Soil VWC'!$C$2:$C$4000=$AA20)*('2016 E Maize Soil VWC'!$E$2:$E$4000=$AB20)*('2016 E Maize Soil VWC'!$F$2:$F$4000=AF$5),'2016 E Maize Soil VWC'!$G$2:$G$4000)</f>
        <v>#N/A</v>
      </c>
      <c r="AG20" s="1" cm="1">
        <f t="array" ref="AG20">_xlfn.XLOOKUP(1,('2016 E Maize Soil VWC'!$C$2:$C$4000=$AA20)*('2016 E Maize Soil VWC'!$E$2:$E$4000=$AB20)*('2016 E Maize Soil VWC'!$F$2:$F$4000=AG$5),'2016 E Maize Soil VWC'!$G$2:$G$4000)</f>
        <v>0.33968193262146529</v>
      </c>
      <c r="AH20" s="1" cm="1">
        <f t="array" ref="AH20">_xlfn.XLOOKUP(1,('2016 E Maize Soil VWC'!$C$2:$C$4000=$AA20)*('2016 E Maize Soil VWC'!$E$2:$E$4000=$AB20)*('2016 E Maize Soil VWC'!$F$2:$F$4000=AH$5),'2016 E Maize Soil VWC'!$G$2:$G$4000)</f>
        <v>0.33052261164550756</v>
      </c>
      <c r="AI20" s="1" t="e" cm="1">
        <f t="array" ref="AI20">_xlfn.XLOOKUP(1,('2016 E Maize Soil VWC'!$C$2:$C$4000=$AA20)*('2016 E Maize Soil VWC'!$E$2:$E$4000=$AB20)*('2016 E Maize Soil VWC'!$F$2:$F$4000=AI$5),'2016 E Maize Soil VWC'!$G$2:$G$4000)</f>
        <v>#N/A</v>
      </c>
      <c r="AJ20" s="1" t="e" cm="1">
        <f t="array" ref="AJ20">_xlfn.XLOOKUP(1,('2016 E Maize Soil VWC'!$C$2:$C$4000=$AA20)*('2016 E Maize Soil VWC'!$E$2:$E$4000=$AB20)*('2016 E Maize Soil VWC'!$F$2:$F$4000=AJ$5),'2016 E Maize Soil VWC'!$G$2:$G$4000)</f>
        <v>#N/A</v>
      </c>
      <c r="AK20" s="1" t="e" cm="1">
        <f t="array" ref="AK20">_xlfn.XLOOKUP(1,('2016 E Maize Soil VWC'!$C$2:$C$4000=$AA20)*('2016 E Maize Soil VWC'!$E$2:$E$4000=$AB20)*('2016 E Maize Soil VWC'!$F$2:$F$4000=AK$5),'2016 E Maize Soil VWC'!$G$2:$G$4000)</f>
        <v>#N/A</v>
      </c>
      <c r="AL20" s="1" t="e" cm="1">
        <f t="array" ref="AL20">_xlfn.XLOOKUP(1,('2016 E Maize Soil VWC'!$C$2:$C$4000=$AA20)*('2016 E Maize Soil VWC'!$E$2:$E$4000=$AB20)*('2016 E Maize Soil VWC'!$F$2:$F$4000=AL$5),'2016 E Maize Soil VWC'!$G$2:$G$4000)</f>
        <v>#N/A</v>
      </c>
      <c r="AM20" s="1" t="e" cm="1">
        <f t="array" ref="AM20">_xlfn.XLOOKUP(1,('2016 E Maize Soil VWC'!$C$2:$C$4000=$AA20)*('2016 E Maize Soil VWC'!$E$2:$E$4000=$AB20)*('2016 E Maize Soil VWC'!$F$2:$F$4000=AM$5),'2016 E Maize Soil VWC'!$G$2:$G$4000)</f>
        <v>#N/A</v>
      </c>
      <c r="AN20" s="1" t="e" cm="1">
        <f t="array" ref="AN20">_xlfn.XLOOKUP(1,('2016 E Maize Soil VWC'!$C$2:$C$4000=$AA20)*('2016 E Maize Soil VWC'!$E$2:$E$4000=$AB20)*('2016 E Maize Soil VWC'!$F$2:$F$4000=AN$5),'2016 E Maize Soil VWC'!$G$2:$G$4000)</f>
        <v>#N/A</v>
      </c>
      <c r="AO20" s="1" t="e" cm="1">
        <f t="array" ref="AO20">_xlfn.XLOOKUP(1,('2016 E Maize Soil VWC'!$C$2:$C$4000=$AA20)*('2016 E Maize Soil VWC'!$E$2:$E$4000=$AB20)*('2016 E Maize Soil VWC'!$F$2:$F$4000=AO$5),'2016 E Maize Soil VWC'!$G$2:$G$4000)</f>
        <v>#N/A</v>
      </c>
      <c r="AP20" s="1" t="e" cm="1">
        <f t="array" ref="AP20">_xlfn.XLOOKUP(1,('2016 E Maize Soil VWC'!$C$2:$C$4000=$AA20)*('2016 E Maize Soil VWC'!$E$2:$E$4000=$AB20)*('2016 E Maize Soil VWC'!$F$2:$F$4000=AP$5),'2016 E Maize Soil VWC'!$G$2:$G$4000)</f>
        <v>#N/A</v>
      </c>
      <c r="AQ20" s="1" cm="1">
        <f t="array" ref="AQ20">_xlfn.XLOOKUP(1,('2016 E Maize Soil VWC'!$C$2:$C$4000=$AA20)*('2016 E Maize Soil VWC'!$E$2:$E$4000=$AB20)*('2016 E Maize Soil VWC'!$F$2:$F$4000=AQ$5),'2016 E Maize Soil VWC'!$G$2:$G$4000)</f>
        <v>0.35060442288529486</v>
      </c>
      <c r="AR20" s="1" cm="1">
        <f t="array" ref="AR20">_xlfn.XLOOKUP(1,('2016 E Maize Soil VWC'!$C$2:$C$4000=$AA20)*('2016 E Maize Soil VWC'!$E$2:$E$4000=$AB20)*('2016 E Maize Soil VWC'!$F$2:$F$4000=AR$5),'2016 E Maize Soil VWC'!$G$2:$G$4000)</f>
        <v>0.35147455837801089</v>
      </c>
      <c r="AS20" s="1" t="e" cm="1">
        <f t="array" ref="AS20">_xlfn.XLOOKUP(1,('2016 E Maize Soil VWC'!$C$2:$C$4000=$AA20)*('2016 E Maize Soil VWC'!$E$2:$E$4000=$AB20)*('2016 E Maize Soil VWC'!$F$2:$F$4000=AS$5),'2016 E Maize Soil VWC'!$G$2:$G$4000)</f>
        <v>#N/A</v>
      </c>
      <c r="AT20" s="1" t="e" cm="1">
        <f t="array" ref="AT20">_xlfn.XLOOKUP(1,('2016 E Maize Soil VWC'!$C$2:$C$4000=$AA20)*('2016 E Maize Soil VWC'!$E$2:$E$4000=$AB20)*('2016 E Maize Soil VWC'!$F$2:$F$4000=AT$5),'2016 E Maize Soil VWC'!$G$2:$G$4000)</f>
        <v>#N/A</v>
      </c>
      <c r="AU20" s="1" t="e" cm="1">
        <f t="array" ref="AU20">_xlfn.XLOOKUP(1,('2016 E Maize Soil VWC'!$C$2:$C$4000=$AA20)*('2016 E Maize Soil VWC'!$E$2:$E$4000=$AB20)*('2016 E Maize Soil VWC'!$F$2:$F$4000=AU$5),'2016 E Maize Soil VWC'!$G$2:$G$4000)</f>
        <v>#N/A</v>
      </c>
      <c r="AV20" s="1" t="e" cm="1">
        <f t="array" ref="AV20">_xlfn.XLOOKUP(1,('2016 E Maize Soil VWC'!$C$2:$C$4000=$AA20)*('2016 E Maize Soil VWC'!$E$2:$E$4000=$AB20)*('2016 E Maize Soil VWC'!$F$2:$F$4000=AV$5),'2016 E Maize Soil VWC'!$G$2:$G$4000)</f>
        <v>#N/A</v>
      </c>
      <c r="BM20" s="1">
        <v>270</v>
      </c>
      <c r="BN20" s="15">
        <v>42639</v>
      </c>
      <c r="BO20" s="20">
        <f t="shared" si="4"/>
        <v>460.17067241325492</v>
      </c>
      <c r="BP20" s="20">
        <f t="shared" si="3"/>
        <v>450.87921330503144</v>
      </c>
      <c r="BQ20" s="20">
        <f t="shared" si="3"/>
        <v>457.62337783196057</v>
      </c>
      <c r="BR20" s="20">
        <f t="shared" si="3"/>
        <v>422.2202984995875</v>
      </c>
      <c r="BS20" s="20">
        <f t="shared" si="3"/>
        <v>702.42458605615434</v>
      </c>
      <c r="BT20" s="20">
        <f t="shared" si="3"/>
        <v>684.90046729828248</v>
      </c>
      <c r="BU20" s="20">
        <f t="shared" si="3"/>
        <v>626.1188145802912</v>
      </c>
      <c r="BV20" s="20">
        <f t="shared" si="3"/>
        <v>714.97471377553882</v>
      </c>
      <c r="BW20" s="20">
        <f t="shared" si="3"/>
        <v>709.56732798131918</v>
      </c>
      <c r="BX20" s="20">
        <f t="shared" si="3"/>
        <v>690.2476759588485</v>
      </c>
      <c r="BY20" s="20">
        <f t="shared" si="3"/>
        <v>655.99890844210154</v>
      </c>
      <c r="BZ20" s="20">
        <f t="shared" si="3"/>
        <v>622.63819698162013</v>
      </c>
      <c r="CA20" s="20">
        <f t="shared" si="3"/>
        <v>712.53102821204459</v>
      </c>
      <c r="CB20" s="20">
        <f t="shared" si="3"/>
        <v>694.79188670709016</v>
      </c>
    </row>
    <row r="21" spans="25:80" x14ac:dyDescent="0.25">
      <c r="AA21" s="18">
        <f t="shared" si="5"/>
        <v>42515</v>
      </c>
      <c r="AB21" s="1">
        <f t="shared" si="6"/>
        <v>50</v>
      </c>
      <c r="AC21" s="1" t="e" cm="1">
        <f t="array" ref="AC21">_xlfn.XLOOKUP(1,('2016 E Maize Soil VWC'!$C$2:$C$4000=$AA21)*('2016 E Maize Soil VWC'!$E$2:$E$4000=$AB21)*('2016 E Maize Soil VWC'!$F$2:$F$4000=AC$5),'2016 E Maize Soil VWC'!$G$2:$G$4000)</f>
        <v>#N/A</v>
      </c>
      <c r="AD21" s="1" t="e" cm="1">
        <f t="array" ref="AD21">_xlfn.XLOOKUP(1,('2016 E Maize Soil VWC'!$C$2:$C$4000=$AA21)*('2016 E Maize Soil VWC'!$E$2:$E$4000=$AB21)*('2016 E Maize Soil VWC'!$F$2:$F$4000=AD$5),'2016 E Maize Soil VWC'!$G$2:$G$4000)</f>
        <v>#N/A</v>
      </c>
      <c r="AE21" s="1" t="e" cm="1">
        <f t="array" ref="AE21">_xlfn.XLOOKUP(1,('2016 E Maize Soil VWC'!$C$2:$C$4000=$AA21)*('2016 E Maize Soil VWC'!$E$2:$E$4000=$AB21)*('2016 E Maize Soil VWC'!$F$2:$F$4000=AE$5),'2016 E Maize Soil VWC'!$G$2:$G$4000)</f>
        <v>#N/A</v>
      </c>
      <c r="AF21" s="1" t="e" cm="1">
        <f t="array" ref="AF21">_xlfn.XLOOKUP(1,('2016 E Maize Soil VWC'!$C$2:$C$4000=$AA21)*('2016 E Maize Soil VWC'!$E$2:$E$4000=$AB21)*('2016 E Maize Soil VWC'!$F$2:$F$4000=AF$5),'2016 E Maize Soil VWC'!$G$2:$G$4000)</f>
        <v>#N/A</v>
      </c>
      <c r="AG21" s="1" cm="1">
        <f t="array" ref="AG21">_xlfn.XLOOKUP(1,('2016 E Maize Soil VWC'!$C$2:$C$4000=$AA21)*('2016 E Maize Soil VWC'!$E$2:$E$4000=$AB21)*('2016 E Maize Soil VWC'!$F$2:$F$4000=AG$5),'2016 E Maize Soil VWC'!$G$2:$G$4000)</f>
        <v>0.3477879316851879</v>
      </c>
      <c r="AH21" s="1" cm="1">
        <f t="array" ref="AH21">_xlfn.XLOOKUP(1,('2016 E Maize Soil VWC'!$C$2:$C$4000=$AA21)*('2016 E Maize Soil VWC'!$E$2:$E$4000=$AB21)*('2016 E Maize Soil VWC'!$F$2:$F$4000=AH$5),'2016 E Maize Soil VWC'!$G$2:$G$4000)</f>
        <v>0.34423869480700425</v>
      </c>
      <c r="AI21" s="1" t="e" cm="1">
        <f t="array" ref="AI21">_xlfn.XLOOKUP(1,('2016 E Maize Soil VWC'!$C$2:$C$4000=$AA21)*('2016 E Maize Soil VWC'!$E$2:$E$4000=$AB21)*('2016 E Maize Soil VWC'!$F$2:$F$4000=AI$5),'2016 E Maize Soil VWC'!$G$2:$G$4000)</f>
        <v>#N/A</v>
      </c>
      <c r="AJ21" s="1" t="e" cm="1">
        <f t="array" ref="AJ21">_xlfn.XLOOKUP(1,('2016 E Maize Soil VWC'!$C$2:$C$4000=$AA21)*('2016 E Maize Soil VWC'!$E$2:$E$4000=$AB21)*('2016 E Maize Soil VWC'!$F$2:$F$4000=AJ$5),'2016 E Maize Soil VWC'!$G$2:$G$4000)</f>
        <v>#N/A</v>
      </c>
      <c r="AK21" s="1" t="e" cm="1">
        <f t="array" ref="AK21">_xlfn.XLOOKUP(1,('2016 E Maize Soil VWC'!$C$2:$C$4000=$AA21)*('2016 E Maize Soil VWC'!$E$2:$E$4000=$AB21)*('2016 E Maize Soil VWC'!$F$2:$F$4000=AK$5),'2016 E Maize Soil VWC'!$G$2:$G$4000)</f>
        <v>#N/A</v>
      </c>
      <c r="AL21" s="1" t="e" cm="1">
        <f t="array" ref="AL21">_xlfn.XLOOKUP(1,('2016 E Maize Soil VWC'!$C$2:$C$4000=$AA21)*('2016 E Maize Soil VWC'!$E$2:$E$4000=$AB21)*('2016 E Maize Soil VWC'!$F$2:$F$4000=AL$5),'2016 E Maize Soil VWC'!$G$2:$G$4000)</f>
        <v>#N/A</v>
      </c>
      <c r="AM21" s="1" t="e" cm="1">
        <f t="array" ref="AM21">_xlfn.XLOOKUP(1,('2016 E Maize Soil VWC'!$C$2:$C$4000=$AA21)*('2016 E Maize Soil VWC'!$E$2:$E$4000=$AB21)*('2016 E Maize Soil VWC'!$F$2:$F$4000=AM$5),'2016 E Maize Soil VWC'!$G$2:$G$4000)</f>
        <v>#N/A</v>
      </c>
      <c r="AN21" s="1" t="e" cm="1">
        <f t="array" ref="AN21">_xlfn.XLOOKUP(1,('2016 E Maize Soil VWC'!$C$2:$C$4000=$AA21)*('2016 E Maize Soil VWC'!$E$2:$E$4000=$AB21)*('2016 E Maize Soil VWC'!$F$2:$F$4000=AN$5),'2016 E Maize Soil VWC'!$G$2:$G$4000)</f>
        <v>#N/A</v>
      </c>
      <c r="AO21" s="1" t="e" cm="1">
        <f t="array" ref="AO21">_xlfn.XLOOKUP(1,('2016 E Maize Soil VWC'!$C$2:$C$4000=$AA21)*('2016 E Maize Soil VWC'!$E$2:$E$4000=$AB21)*('2016 E Maize Soil VWC'!$F$2:$F$4000=AO$5),'2016 E Maize Soil VWC'!$G$2:$G$4000)</f>
        <v>#N/A</v>
      </c>
      <c r="AP21" s="1" t="e" cm="1">
        <f t="array" ref="AP21">_xlfn.XLOOKUP(1,('2016 E Maize Soil VWC'!$C$2:$C$4000=$AA21)*('2016 E Maize Soil VWC'!$E$2:$E$4000=$AB21)*('2016 E Maize Soil VWC'!$F$2:$F$4000=AP$5),'2016 E Maize Soil VWC'!$G$2:$G$4000)</f>
        <v>#N/A</v>
      </c>
      <c r="AQ21" s="1" cm="1">
        <f t="array" ref="AQ21">_xlfn.XLOOKUP(1,('2016 E Maize Soil VWC'!$C$2:$C$4000=$AA21)*('2016 E Maize Soil VWC'!$E$2:$E$4000=$AB21)*('2016 E Maize Soil VWC'!$F$2:$F$4000=AQ$5),'2016 E Maize Soil VWC'!$G$2:$G$4000)</f>
        <v>0.33839962768483117</v>
      </c>
      <c r="AR21" s="1" cm="1">
        <f t="array" ref="AR21">_xlfn.XLOOKUP(1,('2016 E Maize Soil VWC'!$C$2:$C$4000=$AA21)*('2016 E Maize Soil VWC'!$E$2:$E$4000=$AB21)*('2016 E Maize Soil VWC'!$F$2:$F$4000=AR$5),'2016 E Maize Soil VWC'!$G$2:$G$4000)</f>
        <v>0.34549810144119841</v>
      </c>
      <c r="AS21" s="1" t="e" cm="1">
        <f t="array" ref="AS21">_xlfn.XLOOKUP(1,('2016 E Maize Soil VWC'!$C$2:$C$4000=$AA21)*('2016 E Maize Soil VWC'!$E$2:$E$4000=$AB21)*('2016 E Maize Soil VWC'!$F$2:$F$4000=AS$5),'2016 E Maize Soil VWC'!$G$2:$G$4000)</f>
        <v>#N/A</v>
      </c>
      <c r="AT21" s="1" t="e" cm="1">
        <f t="array" ref="AT21">_xlfn.XLOOKUP(1,('2016 E Maize Soil VWC'!$C$2:$C$4000=$AA21)*('2016 E Maize Soil VWC'!$E$2:$E$4000=$AB21)*('2016 E Maize Soil VWC'!$F$2:$F$4000=AT$5),'2016 E Maize Soil VWC'!$G$2:$G$4000)</f>
        <v>#N/A</v>
      </c>
      <c r="AU21" s="1" t="e" cm="1">
        <f t="array" ref="AU21">_xlfn.XLOOKUP(1,('2016 E Maize Soil VWC'!$C$2:$C$4000=$AA21)*('2016 E Maize Soil VWC'!$E$2:$E$4000=$AB21)*('2016 E Maize Soil VWC'!$F$2:$F$4000=AU$5),'2016 E Maize Soil VWC'!$G$2:$G$4000)</f>
        <v>#N/A</v>
      </c>
      <c r="AV21" s="1" t="e" cm="1">
        <f t="array" ref="AV21">_xlfn.XLOOKUP(1,('2016 E Maize Soil VWC'!$C$2:$C$4000=$AA21)*('2016 E Maize Soil VWC'!$E$2:$E$4000=$AB21)*('2016 E Maize Soil VWC'!$F$2:$F$4000=AV$5),'2016 E Maize Soil VWC'!$G$2:$G$4000)</f>
        <v>#N/A</v>
      </c>
      <c r="BM21" s="1">
        <v>286</v>
      </c>
      <c r="BN21" s="15">
        <v>42655</v>
      </c>
      <c r="BO21" s="20">
        <f t="shared" si="4"/>
        <v>456.1161847570695</v>
      </c>
      <c r="BP21" s="20">
        <f t="shared" si="3"/>
        <v>439.65244110982309</v>
      </c>
      <c r="BQ21" s="20">
        <f t="shared" si="3"/>
        <v>447.11625720989338</v>
      </c>
      <c r="BR21" s="20">
        <f t="shared" si="3"/>
        <v>416.82060489678668</v>
      </c>
      <c r="BS21" s="20">
        <f t="shared" si="3"/>
        <v>689.57768123766959</v>
      </c>
      <c r="BT21" s="20">
        <f t="shared" si="3"/>
        <v>673.7366234816144</v>
      </c>
      <c r="BU21" s="20">
        <f t="shared" si="3"/>
        <v>621.88817315336007</v>
      </c>
      <c r="BV21" s="20">
        <f t="shared" si="3"/>
        <v>701.64644226623739</v>
      </c>
      <c r="BW21" s="20">
        <f t="shared" si="3"/>
        <v>694.15214413210435</v>
      </c>
      <c r="BX21" s="20">
        <f t="shared" si="3"/>
        <v>676.76095381031462</v>
      </c>
      <c r="BY21" s="20">
        <f t="shared" si="3"/>
        <v>643.08709962660373</v>
      </c>
      <c r="BZ21" s="20">
        <f t="shared" si="3"/>
        <v>612.86196852436001</v>
      </c>
      <c r="CA21" s="20">
        <f t="shared" si="3"/>
        <v>712.09435339233369</v>
      </c>
      <c r="CB21" s="20">
        <f t="shared" si="3"/>
        <v>694.82448265323171</v>
      </c>
    </row>
    <row r="22" spans="25:80" x14ac:dyDescent="0.25">
      <c r="AA22" s="18">
        <f t="shared" si="5"/>
        <v>42515</v>
      </c>
      <c r="AB22" s="1">
        <f t="shared" si="6"/>
        <v>70</v>
      </c>
      <c r="AC22" s="1" t="e" cm="1">
        <f t="array" ref="AC22">_xlfn.XLOOKUP(1,('2016 E Maize Soil VWC'!$C$2:$C$4000=$AA22)*('2016 E Maize Soil VWC'!$E$2:$E$4000=$AB22)*('2016 E Maize Soil VWC'!$F$2:$F$4000=AC$5),'2016 E Maize Soil VWC'!$G$2:$G$4000)</f>
        <v>#N/A</v>
      </c>
      <c r="AD22" s="1" t="e" cm="1">
        <f t="array" ref="AD22">_xlfn.XLOOKUP(1,('2016 E Maize Soil VWC'!$C$2:$C$4000=$AA22)*('2016 E Maize Soil VWC'!$E$2:$E$4000=$AB22)*('2016 E Maize Soil VWC'!$F$2:$F$4000=AD$5),'2016 E Maize Soil VWC'!$G$2:$G$4000)</f>
        <v>#N/A</v>
      </c>
      <c r="AE22" s="1" t="e" cm="1">
        <f t="array" ref="AE22">_xlfn.XLOOKUP(1,('2016 E Maize Soil VWC'!$C$2:$C$4000=$AA22)*('2016 E Maize Soil VWC'!$E$2:$E$4000=$AB22)*('2016 E Maize Soil VWC'!$F$2:$F$4000=AE$5),'2016 E Maize Soil VWC'!$G$2:$G$4000)</f>
        <v>#N/A</v>
      </c>
      <c r="AF22" s="1" t="e" cm="1">
        <f t="array" ref="AF22">_xlfn.XLOOKUP(1,('2016 E Maize Soil VWC'!$C$2:$C$4000=$AA22)*('2016 E Maize Soil VWC'!$E$2:$E$4000=$AB22)*('2016 E Maize Soil VWC'!$F$2:$F$4000=AF$5),'2016 E Maize Soil VWC'!$G$2:$G$4000)</f>
        <v>#N/A</v>
      </c>
      <c r="AG22" s="1" cm="1">
        <f t="array" ref="AG22">_xlfn.XLOOKUP(1,('2016 E Maize Soil VWC'!$C$2:$C$4000=$AA22)*('2016 E Maize Soil VWC'!$E$2:$E$4000=$AB22)*('2016 E Maize Soil VWC'!$F$2:$F$4000=AG$5),'2016 E Maize Soil VWC'!$G$2:$G$4000)</f>
        <v>0.33700283123599767</v>
      </c>
      <c r="AH22" s="1" cm="1">
        <f t="array" ref="AH22">_xlfn.XLOOKUP(1,('2016 E Maize Soil VWC'!$C$2:$C$4000=$AA22)*('2016 E Maize Soil VWC'!$E$2:$E$4000=$AB22)*('2016 E Maize Soil VWC'!$F$2:$F$4000=AH$5),'2016 E Maize Soil VWC'!$G$2:$G$4000)</f>
        <v>0.33750659388967535</v>
      </c>
      <c r="AI22" s="1" t="e" cm="1">
        <f t="array" ref="AI22">_xlfn.XLOOKUP(1,('2016 E Maize Soil VWC'!$C$2:$C$4000=$AA22)*('2016 E Maize Soil VWC'!$E$2:$E$4000=$AB22)*('2016 E Maize Soil VWC'!$F$2:$F$4000=AI$5),'2016 E Maize Soil VWC'!$G$2:$G$4000)</f>
        <v>#N/A</v>
      </c>
      <c r="AJ22" s="1" t="e" cm="1">
        <f t="array" ref="AJ22">_xlfn.XLOOKUP(1,('2016 E Maize Soil VWC'!$C$2:$C$4000=$AA22)*('2016 E Maize Soil VWC'!$E$2:$E$4000=$AB22)*('2016 E Maize Soil VWC'!$F$2:$F$4000=AJ$5),'2016 E Maize Soil VWC'!$G$2:$G$4000)</f>
        <v>#N/A</v>
      </c>
      <c r="AK22" s="1" t="e" cm="1">
        <f t="array" ref="AK22">_xlfn.XLOOKUP(1,('2016 E Maize Soil VWC'!$C$2:$C$4000=$AA22)*('2016 E Maize Soil VWC'!$E$2:$E$4000=$AB22)*('2016 E Maize Soil VWC'!$F$2:$F$4000=AK$5),'2016 E Maize Soil VWC'!$G$2:$G$4000)</f>
        <v>#N/A</v>
      </c>
      <c r="AL22" s="1" t="e" cm="1">
        <f t="array" ref="AL22">_xlfn.XLOOKUP(1,('2016 E Maize Soil VWC'!$C$2:$C$4000=$AA22)*('2016 E Maize Soil VWC'!$E$2:$E$4000=$AB22)*('2016 E Maize Soil VWC'!$F$2:$F$4000=AL$5),'2016 E Maize Soil VWC'!$G$2:$G$4000)</f>
        <v>#N/A</v>
      </c>
      <c r="AM22" s="1" t="e" cm="1">
        <f t="array" ref="AM22">_xlfn.XLOOKUP(1,('2016 E Maize Soil VWC'!$C$2:$C$4000=$AA22)*('2016 E Maize Soil VWC'!$E$2:$E$4000=$AB22)*('2016 E Maize Soil VWC'!$F$2:$F$4000=AM$5),'2016 E Maize Soil VWC'!$G$2:$G$4000)</f>
        <v>#N/A</v>
      </c>
      <c r="AN22" s="1" t="e" cm="1">
        <f t="array" ref="AN22">_xlfn.XLOOKUP(1,('2016 E Maize Soil VWC'!$C$2:$C$4000=$AA22)*('2016 E Maize Soil VWC'!$E$2:$E$4000=$AB22)*('2016 E Maize Soil VWC'!$F$2:$F$4000=AN$5),'2016 E Maize Soil VWC'!$G$2:$G$4000)</f>
        <v>#N/A</v>
      </c>
      <c r="AO22" s="1" t="e" cm="1">
        <f t="array" ref="AO22">_xlfn.XLOOKUP(1,('2016 E Maize Soil VWC'!$C$2:$C$4000=$AA22)*('2016 E Maize Soil VWC'!$E$2:$E$4000=$AB22)*('2016 E Maize Soil VWC'!$F$2:$F$4000=AO$5),'2016 E Maize Soil VWC'!$G$2:$G$4000)</f>
        <v>#N/A</v>
      </c>
      <c r="AP22" s="1" t="e" cm="1">
        <f t="array" ref="AP22">_xlfn.XLOOKUP(1,('2016 E Maize Soil VWC'!$C$2:$C$4000=$AA22)*('2016 E Maize Soil VWC'!$E$2:$E$4000=$AB22)*('2016 E Maize Soil VWC'!$F$2:$F$4000=AP$5),'2016 E Maize Soil VWC'!$G$2:$G$4000)</f>
        <v>#N/A</v>
      </c>
      <c r="AQ22" s="1" cm="1">
        <f t="array" ref="AQ22">_xlfn.XLOOKUP(1,('2016 E Maize Soil VWC'!$C$2:$C$4000=$AA22)*('2016 E Maize Soil VWC'!$E$2:$E$4000=$AB22)*('2016 E Maize Soil VWC'!$F$2:$F$4000=AQ$5),'2016 E Maize Soil VWC'!$G$2:$G$4000)</f>
        <v>0.31879868079628165</v>
      </c>
      <c r="AR22" s="1" cm="1">
        <f t="array" ref="AR22">_xlfn.XLOOKUP(1,('2016 E Maize Soil VWC'!$C$2:$C$4000=$AA22)*('2016 E Maize Soil VWC'!$E$2:$E$4000=$AB22)*('2016 E Maize Soil VWC'!$F$2:$F$4000=AR$5),'2016 E Maize Soil VWC'!$G$2:$G$4000)</f>
        <v>0.32255400239642434</v>
      </c>
      <c r="AS22" s="1" t="e" cm="1">
        <f t="array" ref="AS22">_xlfn.XLOOKUP(1,('2016 E Maize Soil VWC'!$C$2:$C$4000=$AA22)*('2016 E Maize Soil VWC'!$E$2:$E$4000=$AB22)*('2016 E Maize Soil VWC'!$F$2:$F$4000=AS$5),'2016 E Maize Soil VWC'!$G$2:$G$4000)</f>
        <v>#N/A</v>
      </c>
      <c r="AT22" s="1" t="e" cm="1">
        <f t="array" ref="AT22">_xlfn.XLOOKUP(1,('2016 E Maize Soil VWC'!$C$2:$C$4000=$AA22)*('2016 E Maize Soil VWC'!$E$2:$E$4000=$AB22)*('2016 E Maize Soil VWC'!$F$2:$F$4000=AT$5),'2016 E Maize Soil VWC'!$G$2:$G$4000)</f>
        <v>#N/A</v>
      </c>
      <c r="AU22" s="1" t="e" cm="1">
        <f t="array" ref="AU22">_xlfn.XLOOKUP(1,('2016 E Maize Soil VWC'!$C$2:$C$4000=$AA22)*('2016 E Maize Soil VWC'!$E$2:$E$4000=$AB22)*('2016 E Maize Soil VWC'!$F$2:$F$4000=AU$5),'2016 E Maize Soil VWC'!$G$2:$G$4000)</f>
        <v>#N/A</v>
      </c>
      <c r="AV22" s="1" t="e" cm="1">
        <f t="array" ref="AV22">_xlfn.XLOOKUP(1,('2016 E Maize Soil VWC'!$C$2:$C$4000=$AA22)*('2016 E Maize Soil VWC'!$E$2:$E$4000=$AB22)*('2016 E Maize Soil VWC'!$F$2:$F$4000=AV$5),'2016 E Maize Soil VWC'!$G$2:$G$4000)</f>
        <v>#N/A</v>
      </c>
      <c r="BM22" s="1">
        <v>302</v>
      </c>
      <c r="BN22" s="21">
        <v>42671</v>
      </c>
      <c r="BO22" s="20">
        <f t="shared" si="4"/>
        <v>456.10632000289809</v>
      </c>
      <c r="BP22" s="20">
        <f t="shared" si="3"/>
        <v>433.69470290427108</v>
      </c>
      <c r="BQ22" s="20" t="e">
        <f t="shared" si="3"/>
        <v>#N/A</v>
      </c>
      <c r="BR22" s="20" t="e">
        <f t="shared" si="3"/>
        <v>#N/A</v>
      </c>
      <c r="BS22" s="20">
        <f t="shared" si="3"/>
        <v>683.30735251736019</v>
      </c>
      <c r="BT22" s="20">
        <f t="shared" si="3"/>
        <v>666.19838923280997</v>
      </c>
      <c r="BU22" s="20">
        <f t="shared" si="3"/>
        <v>621.45690186475269</v>
      </c>
      <c r="BV22" s="20">
        <f t="shared" si="3"/>
        <v>696.48495956061834</v>
      </c>
      <c r="BW22" s="20">
        <f t="shared" si="3"/>
        <v>684.90296432002867</v>
      </c>
      <c r="BX22" s="20" t="e">
        <f t="shared" si="3"/>
        <v>#N/A</v>
      </c>
      <c r="BY22" s="20" t="e">
        <f t="shared" si="3"/>
        <v>#N/A</v>
      </c>
      <c r="BZ22" s="20" t="e">
        <f t="shared" si="3"/>
        <v>#N/A</v>
      </c>
      <c r="CA22" s="20" t="e">
        <f t="shared" si="3"/>
        <v>#N/A</v>
      </c>
      <c r="CB22" s="20" t="e">
        <f t="shared" si="3"/>
        <v>#N/A</v>
      </c>
    </row>
    <row r="23" spans="25:80" x14ac:dyDescent="0.25">
      <c r="AA23" s="18">
        <f t="shared" si="5"/>
        <v>42515</v>
      </c>
      <c r="AB23" s="1">
        <f t="shared" si="6"/>
        <v>90</v>
      </c>
      <c r="AC23" s="1" t="e" cm="1">
        <f t="array" ref="AC23">_xlfn.XLOOKUP(1,('2016 E Maize Soil VWC'!$C$2:$C$4000=$AA23)*('2016 E Maize Soil VWC'!$E$2:$E$4000=$AB23)*('2016 E Maize Soil VWC'!$F$2:$F$4000=AC$5),'2016 E Maize Soil VWC'!$G$2:$G$4000)</f>
        <v>#N/A</v>
      </c>
      <c r="AD23" s="1" t="e" cm="1">
        <f t="array" ref="AD23">_xlfn.XLOOKUP(1,('2016 E Maize Soil VWC'!$C$2:$C$4000=$AA23)*('2016 E Maize Soil VWC'!$E$2:$E$4000=$AB23)*('2016 E Maize Soil VWC'!$F$2:$F$4000=AD$5),'2016 E Maize Soil VWC'!$G$2:$G$4000)</f>
        <v>#N/A</v>
      </c>
      <c r="AE23" s="1" t="e" cm="1">
        <f t="array" ref="AE23">_xlfn.XLOOKUP(1,('2016 E Maize Soil VWC'!$C$2:$C$4000=$AA23)*('2016 E Maize Soil VWC'!$E$2:$E$4000=$AB23)*('2016 E Maize Soil VWC'!$F$2:$F$4000=AE$5),'2016 E Maize Soil VWC'!$G$2:$G$4000)</f>
        <v>#N/A</v>
      </c>
      <c r="AF23" s="1" t="e" cm="1">
        <f t="array" ref="AF23">_xlfn.XLOOKUP(1,('2016 E Maize Soil VWC'!$C$2:$C$4000=$AA23)*('2016 E Maize Soil VWC'!$E$2:$E$4000=$AB23)*('2016 E Maize Soil VWC'!$F$2:$F$4000=AF$5),'2016 E Maize Soil VWC'!$G$2:$G$4000)</f>
        <v>#N/A</v>
      </c>
      <c r="AG23" s="1" cm="1">
        <f t="array" ref="AG23">_xlfn.XLOOKUP(1,('2016 E Maize Soil VWC'!$C$2:$C$4000=$AA23)*('2016 E Maize Soil VWC'!$E$2:$E$4000=$AB23)*('2016 E Maize Soil VWC'!$F$2:$F$4000=AG$5),'2016 E Maize Soil VWC'!$G$2:$G$4000)</f>
        <v>0.32736264590880215</v>
      </c>
      <c r="AH23" s="1" cm="1">
        <f t="array" ref="AH23">_xlfn.XLOOKUP(1,('2016 E Maize Soil VWC'!$C$2:$C$4000=$AA23)*('2016 E Maize Soil VWC'!$E$2:$E$4000=$AB23)*('2016 E Maize Soil VWC'!$F$2:$F$4000=AH$5),'2016 E Maize Soil VWC'!$G$2:$G$4000)</f>
        <v>0.31937113835727898</v>
      </c>
      <c r="AI23" s="1" t="e" cm="1">
        <f t="array" ref="AI23">_xlfn.XLOOKUP(1,('2016 E Maize Soil VWC'!$C$2:$C$4000=$AA23)*('2016 E Maize Soil VWC'!$E$2:$E$4000=$AB23)*('2016 E Maize Soil VWC'!$F$2:$F$4000=AI$5),'2016 E Maize Soil VWC'!$G$2:$G$4000)</f>
        <v>#N/A</v>
      </c>
      <c r="AJ23" s="1" t="e" cm="1">
        <f t="array" ref="AJ23">_xlfn.XLOOKUP(1,('2016 E Maize Soil VWC'!$C$2:$C$4000=$AA23)*('2016 E Maize Soil VWC'!$E$2:$E$4000=$AB23)*('2016 E Maize Soil VWC'!$F$2:$F$4000=AJ$5),'2016 E Maize Soil VWC'!$G$2:$G$4000)</f>
        <v>#N/A</v>
      </c>
      <c r="AK23" s="1" t="e" cm="1">
        <f t="array" ref="AK23">_xlfn.XLOOKUP(1,('2016 E Maize Soil VWC'!$C$2:$C$4000=$AA23)*('2016 E Maize Soil VWC'!$E$2:$E$4000=$AB23)*('2016 E Maize Soil VWC'!$F$2:$F$4000=AK$5),'2016 E Maize Soil VWC'!$G$2:$G$4000)</f>
        <v>#N/A</v>
      </c>
      <c r="AL23" s="1" t="e" cm="1">
        <f t="array" ref="AL23">_xlfn.XLOOKUP(1,('2016 E Maize Soil VWC'!$C$2:$C$4000=$AA23)*('2016 E Maize Soil VWC'!$E$2:$E$4000=$AB23)*('2016 E Maize Soil VWC'!$F$2:$F$4000=AL$5),'2016 E Maize Soil VWC'!$G$2:$G$4000)</f>
        <v>#N/A</v>
      </c>
      <c r="AM23" s="1" t="e" cm="1">
        <f t="array" ref="AM23">_xlfn.XLOOKUP(1,('2016 E Maize Soil VWC'!$C$2:$C$4000=$AA23)*('2016 E Maize Soil VWC'!$E$2:$E$4000=$AB23)*('2016 E Maize Soil VWC'!$F$2:$F$4000=AM$5),'2016 E Maize Soil VWC'!$G$2:$G$4000)</f>
        <v>#N/A</v>
      </c>
      <c r="AN23" s="1" t="e" cm="1">
        <f t="array" ref="AN23">_xlfn.XLOOKUP(1,('2016 E Maize Soil VWC'!$C$2:$C$4000=$AA23)*('2016 E Maize Soil VWC'!$E$2:$E$4000=$AB23)*('2016 E Maize Soil VWC'!$F$2:$F$4000=AN$5),'2016 E Maize Soil VWC'!$G$2:$G$4000)</f>
        <v>#N/A</v>
      </c>
      <c r="AO23" s="1" t="e" cm="1">
        <f t="array" ref="AO23">_xlfn.XLOOKUP(1,('2016 E Maize Soil VWC'!$C$2:$C$4000=$AA23)*('2016 E Maize Soil VWC'!$E$2:$E$4000=$AB23)*('2016 E Maize Soil VWC'!$F$2:$F$4000=AO$5),'2016 E Maize Soil VWC'!$G$2:$G$4000)</f>
        <v>#N/A</v>
      </c>
      <c r="AP23" s="1" t="e" cm="1">
        <f t="array" ref="AP23">_xlfn.XLOOKUP(1,('2016 E Maize Soil VWC'!$C$2:$C$4000=$AA23)*('2016 E Maize Soil VWC'!$E$2:$E$4000=$AB23)*('2016 E Maize Soil VWC'!$F$2:$F$4000=AP$5),'2016 E Maize Soil VWC'!$G$2:$G$4000)</f>
        <v>#N/A</v>
      </c>
      <c r="AQ23" s="1" cm="1">
        <f t="array" ref="AQ23">_xlfn.XLOOKUP(1,('2016 E Maize Soil VWC'!$C$2:$C$4000=$AA23)*('2016 E Maize Soil VWC'!$E$2:$E$4000=$AB23)*('2016 E Maize Soil VWC'!$F$2:$F$4000=AQ$5),'2016 E Maize Soil VWC'!$G$2:$G$4000)</f>
        <v>0.33320171303097518</v>
      </c>
      <c r="AR23" s="1" cm="1">
        <f t="array" ref="AR23">_xlfn.XLOOKUP(1,('2016 E Maize Soil VWC'!$C$2:$C$4000=$AA23)*('2016 E Maize Soil VWC'!$E$2:$E$4000=$AB23)*('2016 E Maize Soil VWC'!$F$2:$F$4000=AR$5),'2016 E Maize Soil VWC'!$G$2:$G$4000)</f>
        <v>0.3120207832740729</v>
      </c>
      <c r="AS23" s="1" t="e" cm="1">
        <f t="array" ref="AS23">_xlfn.XLOOKUP(1,('2016 E Maize Soil VWC'!$C$2:$C$4000=$AA23)*('2016 E Maize Soil VWC'!$E$2:$E$4000=$AB23)*('2016 E Maize Soil VWC'!$F$2:$F$4000=AS$5),'2016 E Maize Soil VWC'!$G$2:$G$4000)</f>
        <v>#N/A</v>
      </c>
      <c r="AT23" s="1" t="e" cm="1">
        <f t="array" ref="AT23">_xlfn.XLOOKUP(1,('2016 E Maize Soil VWC'!$C$2:$C$4000=$AA23)*('2016 E Maize Soil VWC'!$E$2:$E$4000=$AB23)*('2016 E Maize Soil VWC'!$F$2:$F$4000=AT$5),'2016 E Maize Soil VWC'!$G$2:$G$4000)</f>
        <v>#N/A</v>
      </c>
      <c r="AU23" s="1" t="e" cm="1">
        <f t="array" ref="AU23">_xlfn.XLOOKUP(1,('2016 E Maize Soil VWC'!$C$2:$C$4000=$AA23)*('2016 E Maize Soil VWC'!$E$2:$E$4000=$AB23)*('2016 E Maize Soil VWC'!$F$2:$F$4000=AU$5),'2016 E Maize Soil VWC'!$G$2:$G$4000)</f>
        <v>#N/A</v>
      </c>
      <c r="AV23" s="1" t="e" cm="1">
        <f t="array" ref="AV23">_xlfn.XLOOKUP(1,('2016 E Maize Soil VWC'!$C$2:$C$4000=$AA23)*('2016 E Maize Soil VWC'!$E$2:$E$4000=$AB23)*('2016 E Maize Soil VWC'!$F$2:$F$4000=AV$5),'2016 E Maize Soil VWC'!$G$2:$G$4000)</f>
        <v>#N/A</v>
      </c>
      <c r="BN23" s="15"/>
      <c r="BO23" s="20" t="e">
        <f t="shared" si="4"/>
        <v>#N/A</v>
      </c>
      <c r="BP23" s="20" t="e">
        <f t="shared" si="3"/>
        <v>#N/A</v>
      </c>
      <c r="BQ23" s="20" t="e">
        <f t="shared" si="3"/>
        <v>#N/A</v>
      </c>
      <c r="BR23" s="20" t="e">
        <f t="shared" si="3"/>
        <v>#N/A</v>
      </c>
      <c r="BS23" s="20" t="e">
        <f t="shared" si="3"/>
        <v>#N/A</v>
      </c>
      <c r="BT23" s="20" t="e">
        <f t="shared" si="3"/>
        <v>#N/A</v>
      </c>
      <c r="BU23" s="20" t="e">
        <f t="shared" si="3"/>
        <v>#N/A</v>
      </c>
      <c r="BV23" s="20" t="e">
        <f t="shared" si="3"/>
        <v>#N/A</v>
      </c>
      <c r="BW23" s="20" t="e">
        <f t="shared" si="3"/>
        <v>#N/A</v>
      </c>
      <c r="BX23" s="20" t="e">
        <f t="shared" si="3"/>
        <v>#N/A</v>
      </c>
      <c r="BY23" s="20" t="e">
        <f t="shared" si="3"/>
        <v>#N/A</v>
      </c>
      <c r="BZ23" s="20" t="e">
        <f t="shared" si="3"/>
        <v>#N/A</v>
      </c>
      <c r="CA23" s="20" t="e">
        <f t="shared" si="3"/>
        <v>#N/A</v>
      </c>
      <c r="CB23" s="20" t="e">
        <f t="shared" si="3"/>
        <v>#N/A</v>
      </c>
    </row>
    <row r="24" spans="25:80" x14ac:dyDescent="0.25">
      <c r="AA24" s="18">
        <f t="shared" si="5"/>
        <v>42515</v>
      </c>
      <c r="AB24" s="1">
        <f t="shared" si="6"/>
        <v>110</v>
      </c>
      <c r="AC24" s="1" t="e" cm="1">
        <f t="array" ref="AC24">_xlfn.XLOOKUP(1,('2016 E Maize Soil VWC'!$C$2:$C$4000=$AA24)*('2016 E Maize Soil VWC'!$E$2:$E$4000=$AB24)*('2016 E Maize Soil VWC'!$F$2:$F$4000=AC$5),'2016 E Maize Soil VWC'!$G$2:$G$4000)</f>
        <v>#N/A</v>
      </c>
      <c r="AD24" s="1" t="e" cm="1">
        <f t="array" ref="AD24">_xlfn.XLOOKUP(1,('2016 E Maize Soil VWC'!$C$2:$C$4000=$AA24)*('2016 E Maize Soil VWC'!$E$2:$E$4000=$AB24)*('2016 E Maize Soil VWC'!$F$2:$F$4000=AD$5),'2016 E Maize Soil VWC'!$G$2:$G$4000)</f>
        <v>#N/A</v>
      </c>
      <c r="AE24" s="1" t="e" cm="1">
        <f t="array" ref="AE24">_xlfn.XLOOKUP(1,('2016 E Maize Soil VWC'!$C$2:$C$4000=$AA24)*('2016 E Maize Soil VWC'!$E$2:$E$4000=$AB24)*('2016 E Maize Soil VWC'!$F$2:$F$4000=AE$5),'2016 E Maize Soil VWC'!$G$2:$G$4000)</f>
        <v>#N/A</v>
      </c>
      <c r="AF24" s="1" t="e" cm="1">
        <f t="array" ref="AF24">_xlfn.XLOOKUP(1,('2016 E Maize Soil VWC'!$C$2:$C$4000=$AA24)*('2016 E Maize Soil VWC'!$E$2:$E$4000=$AB24)*('2016 E Maize Soil VWC'!$F$2:$F$4000=AF$5),'2016 E Maize Soil VWC'!$G$2:$G$4000)</f>
        <v>#N/A</v>
      </c>
      <c r="AG24" s="1" cm="1">
        <f t="array" ref="AG24">_xlfn.XLOOKUP(1,('2016 E Maize Soil VWC'!$C$2:$C$4000=$AA24)*('2016 E Maize Soil VWC'!$E$2:$E$4000=$AB24)*('2016 E Maize Soil VWC'!$F$2:$F$4000=AG$5),'2016 E Maize Soil VWC'!$G$2:$G$4000)</f>
        <v>0.33576632290424335</v>
      </c>
      <c r="AH24" s="1" cm="1">
        <f t="array" ref="AH24">_xlfn.XLOOKUP(1,('2016 E Maize Soil VWC'!$C$2:$C$4000=$AA24)*('2016 E Maize Soil VWC'!$E$2:$E$4000=$AB24)*('2016 E Maize Soil VWC'!$F$2:$F$4000=AH$5),'2016 E Maize Soil VWC'!$G$2:$G$4000)</f>
        <v>0.33343069605537412</v>
      </c>
      <c r="AI24" s="1" t="e" cm="1">
        <f t="array" ref="AI24">_xlfn.XLOOKUP(1,('2016 E Maize Soil VWC'!$C$2:$C$4000=$AA24)*('2016 E Maize Soil VWC'!$E$2:$E$4000=$AB24)*('2016 E Maize Soil VWC'!$F$2:$F$4000=AI$5),'2016 E Maize Soil VWC'!$G$2:$G$4000)</f>
        <v>#N/A</v>
      </c>
      <c r="AJ24" s="1" t="e" cm="1">
        <f t="array" ref="AJ24">_xlfn.XLOOKUP(1,('2016 E Maize Soil VWC'!$C$2:$C$4000=$AA24)*('2016 E Maize Soil VWC'!$E$2:$E$4000=$AB24)*('2016 E Maize Soil VWC'!$F$2:$F$4000=AJ$5),'2016 E Maize Soil VWC'!$G$2:$G$4000)</f>
        <v>#N/A</v>
      </c>
      <c r="AK24" s="1" t="e" cm="1">
        <f t="array" ref="AK24">_xlfn.XLOOKUP(1,('2016 E Maize Soil VWC'!$C$2:$C$4000=$AA24)*('2016 E Maize Soil VWC'!$E$2:$E$4000=$AB24)*('2016 E Maize Soil VWC'!$F$2:$F$4000=AK$5),'2016 E Maize Soil VWC'!$G$2:$G$4000)</f>
        <v>#N/A</v>
      </c>
      <c r="AL24" s="1" t="e" cm="1">
        <f t="array" ref="AL24">_xlfn.XLOOKUP(1,('2016 E Maize Soil VWC'!$C$2:$C$4000=$AA24)*('2016 E Maize Soil VWC'!$E$2:$E$4000=$AB24)*('2016 E Maize Soil VWC'!$F$2:$F$4000=AL$5),'2016 E Maize Soil VWC'!$G$2:$G$4000)</f>
        <v>#N/A</v>
      </c>
      <c r="AM24" s="1" t="e" cm="1">
        <f t="array" ref="AM24">_xlfn.XLOOKUP(1,('2016 E Maize Soil VWC'!$C$2:$C$4000=$AA24)*('2016 E Maize Soil VWC'!$E$2:$E$4000=$AB24)*('2016 E Maize Soil VWC'!$F$2:$F$4000=AM$5),'2016 E Maize Soil VWC'!$G$2:$G$4000)</f>
        <v>#N/A</v>
      </c>
      <c r="AN24" s="1" t="e" cm="1">
        <f t="array" ref="AN24">_xlfn.XLOOKUP(1,('2016 E Maize Soil VWC'!$C$2:$C$4000=$AA24)*('2016 E Maize Soil VWC'!$E$2:$E$4000=$AB24)*('2016 E Maize Soil VWC'!$F$2:$F$4000=AN$5),'2016 E Maize Soil VWC'!$G$2:$G$4000)</f>
        <v>#N/A</v>
      </c>
      <c r="AO24" s="1" t="e" cm="1">
        <f t="array" ref="AO24">_xlfn.XLOOKUP(1,('2016 E Maize Soil VWC'!$C$2:$C$4000=$AA24)*('2016 E Maize Soil VWC'!$E$2:$E$4000=$AB24)*('2016 E Maize Soil VWC'!$F$2:$F$4000=AO$5),'2016 E Maize Soil VWC'!$G$2:$G$4000)</f>
        <v>#N/A</v>
      </c>
      <c r="AP24" s="1" t="e" cm="1">
        <f t="array" ref="AP24">_xlfn.XLOOKUP(1,('2016 E Maize Soil VWC'!$C$2:$C$4000=$AA24)*('2016 E Maize Soil VWC'!$E$2:$E$4000=$AB24)*('2016 E Maize Soil VWC'!$F$2:$F$4000=AP$5),'2016 E Maize Soil VWC'!$G$2:$G$4000)</f>
        <v>#N/A</v>
      </c>
      <c r="AQ24" s="1" cm="1">
        <f t="array" ref="AQ24">_xlfn.XLOOKUP(1,('2016 E Maize Soil VWC'!$C$2:$C$4000=$AA24)*('2016 E Maize Soil VWC'!$E$2:$E$4000=$AB24)*('2016 E Maize Soil VWC'!$F$2:$F$4000=AQ$5),'2016 E Maize Soil VWC'!$G$2:$G$4000)</f>
        <v>0.32365312091353926</v>
      </c>
      <c r="AR24" s="1" cm="1">
        <f t="array" ref="AR24">_xlfn.XLOOKUP(1,('2016 E Maize Soil VWC'!$C$2:$C$4000=$AA24)*('2016 E Maize Soil VWC'!$E$2:$E$4000=$AB24)*('2016 E Maize Soil VWC'!$F$2:$F$4000=AR$5),'2016 E Maize Soil VWC'!$G$2:$G$4000)</f>
        <v>0.33033942522598836</v>
      </c>
      <c r="AS24" s="1" t="e" cm="1">
        <f t="array" ref="AS24">_xlfn.XLOOKUP(1,('2016 E Maize Soil VWC'!$C$2:$C$4000=$AA24)*('2016 E Maize Soil VWC'!$E$2:$E$4000=$AB24)*('2016 E Maize Soil VWC'!$F$2:$F$4000=AS$5),'2016 E Maize Soil VWC'!$G$2:$G$4000)</f>
        <v>#N/A</v>
      </c>
      <c r="AT24" s="1" t="e" cm="1">
        <f t="array" ref="AT24">_xlfn.XLOOKUP(1,('2016 E Maize Soil VWC'!$C$2:$C$4000=$AA24)*('2016 E Maize Soil VWC'!$E$2:$E$4000=$AB24)*('2016 E Maize Soil VWC'!$F$2:$F$4000=AT$5),'2016 E Maize Soil VWC'!$G$2:$G$4000)</f>
        <v>#N/A</v>
      </c>
      <c r="AU24" s="1" t="e" cm="1">
        <f t="array" ref="AU24">_xlfn.XLOOKUP(1,('2016 E Maize Soil VWC'!$C$2:$C$4000=$AA24)*('2016 E Maize Soil VWC'!$E$2:$E$4000=$AB24)*('2016 E Maize Soil VWC'!$F$2:$F$4000=AU$5),'2016 E Maize Soil VWC'!$G$2:$G$4000)</f>
        <v>#N/A</v>
      </c>
      <c r="AV24" s="1" t="e" cm="1">
        <f t="array" ref="AV24">_xlfn.XLOOKUP(1,('2016 E Maize Soil VWC'!$C$2:$C$4000=$AA24)*('2016 E Maize Soil VWC'!$E$2:$E$4000=$AB24)*('2016 E Maize Soil VWC'!$F$2:$F$4000=AV$5),'2016 E Maize Soil VWC'!$G$2:$G$4000)</f>
        <v>#N/A</v>
      </c>
      <c r="BN24" s="15"/>
      <c r="BO24" s="20" t="e">
        <f t="shared" si="4"/>
        <v>#N/A</v>
      </c>
      <c r="BP24" s="20" t="e">
        <f t="shared" si="3"/>
        <v>#N/A</v>
      </c>
      <c r="BQ24" s="20" t="e">
        <f t="shared" si="3"/>
        <v>#N/A</v>
      </c>
      <c r="BR24" s="20" t="e">
        <f t="shared" si="3"/>
        <v>#N/A</v>
      </c>
      <c r="BS24" s="20" t="e">
        <f t="shared" si="3"/>
        <v>#N/A</v>
      </c>
      <c r="BT24" s="20" t="e">
        <f t="shared" si="3"/>
        <v>#N/A</v>
      </c>
      <c r="BU24" s="20" t="e">
        <f t="shared" si="3"/>
        <v>#N/A</v>
      </c>
      <c r="BV24" s="20" t="e">
        <f t="shared" si="3"/>
        <v>#N/A</v>
      </c>
      <c r="BW24" s="20" t="e">
        <f t="shared" si="3"/>
        <v>#N/A</v>
      </c>
      <c r="BX24" s="20" t="e">
        <f t="shared" si="3"/>
        <v>#N/A</v>
      </c>
      <c r="BY24" s="20" t="e">
        <f t="shared" si="3"/>
        <v>#N/A</v>
      </c>
      <c r="BZ24" s="20" t="e">
        <f t="shared" si="3"/>
        <v>#N/A</v>
      </c>
      <c r="CA24" s="20" t="e">
        <f t="shared" si="3"/>
        <v>#N/A</v>
      </c>
      <c r="CB24" s="20" t="e">
        <f t="shared" si="3"/>
        <v>#N/A</v>
      </c>
    </row>
    <row r="25" spans="25:80" x14ac:dyDescent="0.25">
      <c r="AA25" s="18">
        <f t="shared" si="5"/>
        <v>42515</v>
      </c>
      <c r="AB25" s="1">
        <f t="shared" si="6"/>
        <v>130</v>
      </c>
      <c r="AC25" s="1" t="e" cm="1">
        <f t="array" ref="AC25">_xlfn.XLOOKUP(1,('2016 E Maize Soil VWC'!$C$2:$C$4000=$AA25)*('2016 E Maize Soil VWC'!$E$2:$E$4000=$AB25)*('2016 E Maize Soil VWC'!$F$2:$F$4000=AC$5),'2016 E Maize Soil VWC'!$G$2:$G$4000)</f>
        <v>#N/A</v>
      </c>
      <c r="AD25" s="1" t="e" cm="1">
        <f t="array" ref="AD25">_xlfn.XLOOKUP(1,('2016 E Maize Soil VWC'!$C$2:$C$4000=$AA25)*('2016 E Maize Soil VWC'!$E$2:$E$4000=$AB25)*('2016 E Maize Soil VWC'!$F$2:$F$4000=AD$5),'2016 E Maize Soil VWC'!$G$2:$G$4000)</f>
        <v>#N/A</v>
      </c>
      <c r="AE25" s="1" t="e" cm="1">
        <f t="array" ref="AE25">_xlfn.XLOOKUP(1,('2016 E Maize Soil VWC'!$C$2:$C$4000=$AA25)*('2016 E Maize Soil VWC'!$E$2:$E$4000=$AB25)*('2016 E Maize Soil VWC'!$F$2:$F$4000=AE$5),'2016 E Maize Soil VWC'!$G$2:$G$4000)</f>
        <v>#N/A</v>
      </c>
      <c r="AF25" s="1" t="e" cm="1">
        <f t="array" ref="AF25">_xlfn.XLOOKUP(1,('2016 E Maize Soil VWC'!$C$2:$C$4000=$AA25)*('2016 E Maize Soil VWC'!$E$2:$E$4000=$AB25)*('2016 E Maize Soil VWC'!$F$2:$F$4000=AF$5),'2016 E Maize Soil VWC'!$G$2:$G$4000)</f>
        <v>#N/A</v>
      </c>
      <c r="AG25" s="1" cm="1">
        <f t="array" ref="AG25">_xlfn.XLOOKUP(1,('2016 E Maize Soil VWC'!$C$2:$C$4000=$AA25)*('2016 E Maize Soil VWC'!$E$2:$E$4000=$AB25)*('2016 E Maize Soil VWC'!$F$2:$F$4000=AG$5),'2016 E Maize Soil VWC'!$G$2:$G$4000)</f>
        <v>0.30879580973505583</v>
      </c>
      <c r="AH25" s="1" cm="1">
        <f t="array" ref="AH25">_xlfn.XLOOKUP(1,('2016 E Maize Soil VWC'!$C$2:$C$4000=$AA25)*('2016 E Maize Soil VWC'!$E$2:$E$4000=$AB25)*('2016 E Maize Soil VWC'!$F$2:$F$4000=AH$5),'2016 E Maize Soil VWC'!$G$2:$G$4000)</f>
        <v>0.30062071761204684</v>
      </c>
      <c r="AI25" s="1" t="e" cm="1">
        <f t="array" ref="AI25">_xlfn.XLOOKUP(1,('2016 E Maize Soil VWC'!$C$2:$C$4000=$AA25)*('2016 E Maize Soil VWC'!$E$2:$E$4000=$AB25)*('2016 E Maize Soil VWC'!$F$2:$F$4000=AI$5),'2016 E Maize Soil VWC'!$G$2:$G$4000)</f>
        <v>#N/A</v>
      </c>
      <c r="AJ25" s="1" t="e" cm="1">
        <f t="array" ref="AJ25">_xlfn.XLOOKUP(1,('2016 E Maize Soil VWC'!$C$2:$C$4000=$AA25)*('2016 E Maize Soil VWC'!$E$2:$E$4000=$AB25)*('2016 E Maize Soil VWC'!$F$2:$F$4000=AJ$5),'2016 E Maize Soil VWC'!$G$2:$G$4000)</f>
        <v>#N/A</v>
      </c>
      <c r="AK25" s="1" t="e" cm="1">
        <f t="array" ref="AK25">_xlfn.XLOOKUP(1,('2016 E Maize Soil VWC'!$C$2:$C$4000=$AA25)*('2016 E Maize Soil VWC'!$E$2:$E$4000=$AB25)*('2016 E Maize Soil VWC'!$F$2:$F$4000=AK$5),'2016 E Maize Soil VWC'!$G$2:$G$4000)</f>
        <v>#N/A</v>
      </c>
      <c r="AL25" s="1" t="e" cm="1">
        <f t="array" ref="AL25">_xlfn.XLOOKUP(1,('2016 E Maize Soil VWC'!$C$2:$C$4000=$AA25)*('2016 E Maize Soil VWC'!$E$2:$E$4000=$AB25)*('2016 E Maize Soil VWC'!$F$2:$F$4000=AL$5),'2016 E Maize Soil VWC'!$G$2:$G$4000)</f>
        <v>#N/A</v>
      </c>
      <c r="AM25" s="1" t="e" cm="1">
        <f t="array" ref="AM25">_xlfn.XLOOKUP(1,('2016 E Maize Soil VWC'!$C$2:$C$4000=$AA25)*('2016 E Maize Soil VWC'!$E$2:$E$4000=$AB25)*('2016 E Maize Soil VWC'!$F$2:$F$4000=AM$5),'2016 E Maize Soil VWC'!$G$2:$G$4000)</f>
        <v>#N/A</v>
      </c>
      <c r="AN25" s="1" t="e" cm="1">
        <f t="array" ref="AN25">_xlfn.XLOOKUP(1,('2016 E Maize Soil VWC'!$C$2:$C$4000=$AA25)*('2016 E Maize Soil VWC'!$E$2:$E$4000=$AB25)*('2016 E Maize Soil VWC'!$F$2:$F$4000=AN$5),'2016 E Maize Soil VWC'!$G$2:$G$4000)</f>
        <v>#N/A</v>
      </c>
      <c r="AO25" s="1" t="e" cm="1">
        <f t="array" ref="AO25">_xlfn.XLOOKUP(1,('2016 E Maize Soil VWC'!$C$2:$C$4000=$AA25)*('2016 E Maize Soil VWC'!$E$2:$E$4000=$AB25)*('2016 E Maize Soil VWC'!$F$2:$F$4000=AO$5),'2016 E Maize Soil VWC'!$G$2:$G$4000)</f>
        <v>#N/A</v>
      </c>
      <c r="AP25" s="1" t="e" cm="1">
        <f t="array" ref="AP25">_xlfn.XLOOKUP(1,('2016 E Maize Soil VWC'!$C$2:$C$4000=$AA25)*('2016 E Maize Soil VWC'!$E$2:$E$4000=$AB25)*('2016 E Maize Soil VWC'!$F$2:$F$4000=AP$5),'2016 E Maize Soil VWC'!$G$2:$G$4000)</f>
        <v>#N/A</v>
      </c>
      <c r="AQ25" s="1" cm="1">
        <f t="array" ref="AQ25">_xlfn.XLOOKUP(1,('2016 E Maize Soil VWC'!$C$2:$C$4000=$AA25)*('2016 E Maize Soil VWC'!$E$2:$E$4000=$AB25)*('2016 E Maize Soil VWC'!$F$2:$F$4000=AQ$5),'2016 E Maize Soil VWC'!$G$2:$G$4000)</f>
        <v>0.30034821454127986</v>
      </c>
      <c r="AR25" s="1" cm="1">
        <f t="array" ref="AR25">_xlfn.XLOOKUP(1,('2016 E Maize Soil VWC'!$C$2:$C$4000=$AA25)*('2016 E Maize Soil VWC'!$E$2:$E$4000=$AB25)*('2016 E Maize Soil VWC'!$F$2:$F$4000=AR$5),'2016 E Maize Soil VWC'!$G$2:$G$4000)</f>
        <v>0.28919505314488897</v>
      </c>
      <c r="AS25" s="1" t="e" cm="1">
        <f t="array" ref="AS25">_xlfn.XLOOKUP(1,('2016 E Maize Soil VWC'!$C$2:$C$4000=$AA25)*('2016 E Maize Soil VWC'!$E$2:$E$4000=$AB25)*('2016 E Maize Soil VWC'!$F$2:$F$4000=AS$5),'2016 E Maize Soil VWC'!$G$2:$G$4000)</f>
        <v>#N/A</v>
      </c>
      <c r="AT25" s="1" t="e" cm="1">
        <f t="array" ref="AT25">_xlfn.XLOOKUP(1,('2016 E Maize Soil VWC'!$C$2:$C$4000=$AA25)*('2016 E Maize Soil VWC'!$E$2:$E$4000=$AB25)*('2016 E Maize Soil VWC'!$F$2:$F$4000=AT$5),'2016 E Maize Soil VWC'!$G$2:$G$4000)</f>
        <v>#N/A</v>
      </c>
      <c r="AU25" s="1" t="e" cm="1">
        <f t="array" ref="AU25">_xlfn.XLOOKUP(1,('2016 E Maize Soil VWC'!$C$2:$C$4000=$AA25)*('2016 E Maize Soil VWC'!$E$2:$E$4000=$AB25)*('2016 E Maize Soil VWC'!$F$2:$F$4000=AU$5),'2016 E Maize Soil VWC'!$G$2:$G$4000)</f>
        <v>#N/A</v>
      </c>
      <c r="AV25" s="1" t="e" cm="1">
        <f t="array" ref="AV25">_xlfn.XLOOKUP(1,('2016 E Maize Soil VWC'!$C$2:$C$4000=$AA25)*('2016 E Maize Soil VWC'!$E$2:$E$4000=$AB25)*('2016 E Maize Soil VWC'!$F$2:$F$4000=AV$5),'2016 E Maize Soil VWC'!$G$2:$G$4000)</f>
        <v>#N/A</v>
      </c>
      <c r="BN25" s="15"/>
      <c r="BO25" s="20" t="e">
        <f t="shared" si="4"/>
        <v>#N/A</v>
      </c>
      <c r="BP25" s="20" t="e">
        <f t="shared" si="3"/>
        <v>#N/A</v>
      </c>
      <c r="BQ25" s="20" t="e">
        <f t="shared" si="3"/>
        <v>#N/A</v>
      </c>
      <c r="BR25" s="20" t="e">
        <f t="shared" si="3"/>
        <v>#N/A</v>
      </c>
      <c r="BS25" s="20" t="e">
        <f t="shared" si="3"/>
        <v>#N/A</v>
      </c>
      <c r="BT25" s="20" t="e">
        <f t="shared" si="3"/>
        <v>#N/A</v>
      </c>
      <c r="BU25" s="20" t="e">
        <f t="shared" si="3"/>
        <v>#N/A</v>
      </c>
      <c r="BV25" s="20" t="e">
        <f t="shared" si="3"/>
        <v>#N/A</v>
      </c>
      <c r="BW25" s="20" t="e">
        <f t="shared" si="3"/>
        <v>#N/A</v>
      </c>
      <c r="BX25" s="20" t="e">
        <f t="shared" si="3"/>
        <v>#N/A</v>
      </c>
      <c r="BY25" s="20" t="e">
        <f t="shared" si="3"/>
        <v>#N/A</v>
      </c>
      <c r="BZ25" s="20" t="e">
        <f t="shared" si="3"/>
        <v>#N/A</v>
      </c>
      <c r="CA25" s="20" t="e">
        <f t="shared" si="3"/>
        <v>#N/A</v>
      </c>
      <c r="CB25" s="20" t="e">
        <f t="shared" si="3"/>
        <v>#N/A</v>
      </c>
    </row>
    <row r="26" spans="25:80" x14ac:dyDescent="0.25">
      <c r="AA26" s="18">
        <f t="shared" si="5"/>
        <v>42515</v>
      </c>
      <c r="AB26" s="1">
        <f t="shared" si="6"/>
        <v>150</v>
      </c>
      <c r="AC26" s="1" t="e" cm="1">
        <f t="array" ref="AC26">_xlfn.XLOOKUP(1,('2016 E Maize Soil VWC'!$C$2:$C$4000=$AA26)*('2016 E Maize Soil VWC'!$E$2:$E$4000=$AB26)*('2016 E Maize Soil VWC'!$F$2:$F$4000=AC$5),'2016 E Maize Soil VWC'!$G$2:$G$4000)</f>
        <v>#N/A</v>
      </c>
      <c r="AD26" s="1" t="e" cm="1">
        <f t="array" ref="AD26">_xlfn.XLOOKUP(1,('2016 E Maize Soil VWC'!$C$2:$C$4000=$AA26)*('2016 E Maize Soil VWC'!$E$2:$E$4000=$AB26)*('2016 E Maize Soil VWC'!$F$2:$F$4000=AD$5),'2016 E Maize Soil VWC'!$G$2:$G$4000)</f>
        <v>#N/A</v>
      </c>
      <c r="AE26" s="1" t="e" cm="1">
        <f t="array" ref="AE26">_xlfn.XLOOKUP(1,('2016 E Maize Soil VWC'!$C$2:$C$4000=$AA26)*('2016 E Maize Soil VWC'!$E$2:$E$4000=$AB26)*('2016 E Maize Soil VWC'!$F$2:$F$4000=AE$5),'2016 E Maize Soil VWC'!$G$2:$G$4000)</f>
        <v>#N/A</v>
      </c>
      <c r="AF26" s="1" t="e" cm="1">
        <f t="array" ref="AF26">_xlfn.XLOOKUP(1,('2016 E Maize Soil VWC'!$C$2:$C$4000=$AA26)*('2016 E Maize Soil VWC'!$E$2:$E$4000=$AB26)*('2016 E Maize Soil VWC'!$F$2:$F$4000=AF$5),'2016 E Maize Soil VWC'!$G$2:$G$4000)</f>
        <v>#N/A</v>
      </c>
      <c r="AG26" s="1" cm="1">
        <f t="array" ref="AG26">_xlfn.XLOOKUP(1,('2016 E Maize Soil VWC'!$C$2:$C$4000=$AA26)*('2016 E Maize Soil VWC'!$E$2:$E$4000=$AB26)*('2016 E Maize Soil VWC'!$F$2:$F$4000=AG$5),'2016 E Maize Soil VWC'!$G$2:$G$4000)</f>
        <v>0.35333059730040017</v>
      </c>
      <c r="AH26" s="1" cm="1">
        <f t="array" ref="AH26">_xlfn.XLOOKUP(1,('2016 E Maize Soil VWC'!$C$2:$C$4000=$AA26)*('2016 E Maize Soil VWC'!$E$2:$E$4000=$AB26)*('2016 E Maize Soil VWC'!$F$2:$F$4000=AH$5),'2016 E Maize Soil VWC'!$G$2:$G$4000)</f>
        <v>0.33964705024688752</v>
      </c>
      <c r="AI26" s="1" t="e" cm="1">
        <f t="array" ref="AI26">_xlfn.XLOOKUP(1,('2016 E Maize Soil VWC'!$C$2:$C$4000=$AA26)*('2016 E Maize Soil VWC'!$E$2:$E$4000=$AB26)*('2016 E Maize Soil VWC'!$F$2:$F$4000=AI$5),'2016 E Maize Soil VWC'!$G$2:$G$4000)</f>
        <v>#N/A</v>
      </c>
      <c r="AJ26" s="1" t="e" cm="1">
        <f t="array" ref="AJ26">_xlfn.XLOOKUP(1,('2016 E Maize Soil VWC'!$C$2:$C$4000=$AA26)*('2016 E Maize Soil VWC'!$E$2:$E$4000=$AB26)*('2016 E Maize Soil VWC'!$F$2:$F$4000=AJ$5),'2016 E Maize Soil VWC'!$G$2:$G$4000)</f>
        <v>#N/A</v>
      </c>
      <c r="AK26" s="1" t="e" cm="1">
        <f t="array" ref="AK26">_xlfn.XLOOKUP(1,('2016 E Maize Soil VWC'!$C$2:$C$4000=$AA26)*('2016 E Maize Soil VWC'!$E$2:$E$4000=$AB26)*('2016 E Maize Soil VWC'!$F$2:$F$4000=AK$5),'2016 E Maize Soil VWC'!$G$2:$G$4000)</f>
        <v>#N/A</v>
      </c>
      <c r="AL26" s="1" t="e" cm="1">
        <f t="array" ref="AL26">_xlfn.XLOOKUP(1,('2016 E Maize Soil VWC'!$C$2:$C$4000=$AA26)*('2016 E Maize Soil VWC'!$E$2:$E$4000=$AB26)*('2016 E Maize Soil VWC'!$F$2:$F$4000=AL$5),'2016 E Maize Soil VWC'!$G$2:$G$4000)</f>
        <v>#N/A</v>
      </c>
      <c r="AM26" s="1" t="e" cm="1">
        <f t="array" ref="AM26">_xlfn.XLOOKUP(1,('2016 E Maize Soil VWC'!$C$2:$C$4000=$AA26)*('2016 E Maize Soil VWC'!$E$2:$E$4000=$AB26)*('2016 E Maize Soil VWC'!$F$2:$F$4000=AM$5),'2016 E Maize Soil VWC'!$G$2:$G$4000)</f>
        <v>#N/A</v>
      </c>
      <c r="AN26" s="1" t="e" cm="1">
        <f t="array" ref="AN26">_xlfn.XLOOKUP(1,('2016 E Maize Soil VWC'!$C$2:$C$4000=$AA26)*('2016 E Maize Soil VWC'!$E$2:$E$4000=$AB26)*('2016 E Maize Soil VWC'!$F$2:$F$4000=AN$5),'2016 E Maize Soil VWC'!$G$2:$G$4000)</f>
        <v>#N/A</v>
      </c>
      <c r="AO26" s="1" t="e" cm="1">
        <f t="array" ref="AO26">_xlfn.XLOOKUP(1,('2016 E Maize Soil VWC'!$C$2:$C$4000=$AA26)*('2016 E Maize Soil VWC'!$E$2:$E$4000=$AB26)*('2016 E Maize Soil VWC'!$F$2:$F$4000=AO$5),'2016 E Maize Soil VWC'!$G$2:$G$4000)</f>
        <v>#N/A</v>
      </c>
      <c r="AP26" s="1" t="e" cm="1">
        <f t="array" ref="AP26">_xlfn.XLOOKUP(1,('2016 E Maize Soil VWC'!$C$2:$C$4000=$AA26)*('2016 E Maize Soil VWC'!$E$2:$E$4000=$AB26)*('2016 E Maize Soil VWC'!$F$2:$F$4000=AP$5),'2016 E Maize Soil VWC'!$G$2:$G$4000)</f>
        <v>#N/A</v>
      </c>
      <c r="AQ26" s="1" cm="1">
        <f t="array" ref="AQ26">_xlfn.XLOOKUP(1,('2016 E Maize Soil VWC'!$C$2:$C$4000=$AA26)*('2016 E Maize Soil VWC'!$E$2:$E$4000=$AB26)*('2016 E Maize Soil VWC'!$F$2:$F$4000=AQ$5),'2016 E Maize Soil VWC'!$G$2:$G$4000)</f>
        <v>0.33374930521528812</v>
      </c>
      <c r="AR26" s="1" cm="1">
        <f t="array" ref="AR26">_xlfn.XLOOKUP(1,('2016 E Maize Soil VWC'!$C$2:$C$4000=$AA26)*('2016 E Maize Soil VWC'!$E$2:$E$4000=$AB26)*('2016 E Maize Soil VWC'!$F$2:$F$4000=AR$5),'2016 E Maize Soil VWC'!$G$2:$G$4000)</f>
        <v>0.32049397727298062</v>
      </c>
      <c r="AS26" s="1" t="e" cm="1">
        <f t="array" ref="AS26">_xlfn.XLOOKUP(1,('2016 E Maize Soil VWC'!$C$2:$C$4000=$AA26)*('2016 E Maize Soil VWC'!$E$2:$E$4000=$AB26)*('2016 E Maize Soil VWC'!$F$2:$F$4000=AS$5),'2016 E Maize Soil VWC'!$G$2:$G$4000)</f>
        <v>#N/A</v>
      </c>
      <c r="AT26" s="1" t="e" cm="1">
        <f t="array" ref="AT26">_xlfn.XLOOKUP(1,('2016 E Maize Soil VWC'!$C$2:$C$4000=$AA26)*('2016 E Maize Soil VWC'!$E$2:$E$4000=$AB26)*('2016 E Maize Soil VWC'!$F$2:$F$4000=AT$5),'2016 E Maize Soil VWC'!$G$2:$G$4000)</f>
        <v>#N/A</v>
      </c>
      <c r="AU26" s="1" t="e" cm="1">
        <f t="array" ref="AU26">_xlfn.XLOOKUP(1,('2016 E Maize Soil VWC'!$C$2:$C$4000=$AA26)*('2016 E Maize Soil VWC'!$E$2:$E$4000=$AB26)*('2016 E Maize Soil VWC'!$F$2:$F$4000=AU$5),'2016 E Maize Soil VWC'!$G$2:$G$4000)</f>
        <v>#N/A</v>
      </c>
      <c r="AV26" s="1" t="e" cm="1">
        <f t="array" ref="AV26">_xlfn.XLOOKUP(1,('2016 E Maize Soil VWC'!$C$2:$C$4000=$AA26)*('2016 E Maize Soil VWC'!$E$2:$E$4000=$AB26)*('2016 E Maize Soil VWC'!$F$2:$F$4000=AV$5),'2016 E Maize Soil VWC'!$G$2:$G$4000)</f>
        <v>#N/A</v>
      </c>
      <c r="BN26" s="15"/>
      <c r="BO26" s="20" t="e">
        <f t="shared" si="4"/>
        <v>#N/A</v>
      </c>
      <c r="BP26" s="20" t="e">
        <f t="shared" si="3"/>
        <v>#N/A</v>
      </c>
      <c r="BQ26" s="20" t="e">
        <f t="shared" si="3"/>
        <v>#N/A</v>
      </c>
      <c r="BR26" s="20" t="e">
        <f t="shared" si="3"/>
        <v>#N/A</v>
      </c>
      <c r="BS26" s="20" t="e">
        <f t="shared" si="3"/>
        <v>#N/A</v>
      </c>
      <c r="BT26" s="20" t="e">
        <f t="shared" si="3"/>
        <v>#N/A</v>
      </c>
      <c r="BU26" s="20" t="e">
        <f t="shared" si="3"/>
        <v>#N/A</v>
      </c>
      <c r="BV26" s="20" t="e">
        <f t="shared" si="3"/>
        <v>#N/A</v>
      </c>
      <c r="BW26" s="20" t="e">
        <f t="shared" si="3"/>
        <v>#N/A</v>
      </c>
      <c r="BX26" s="20" t="e">
        <f t="shared" si="3"/>
        <v>#N/A</v>
      </c>
      <c r="BY26" s="20" t="e">
        <f t="shared" si="3"/>
        <v>#N/A</v>
      </c>
      <c r="BZ26" s="20" t="e">
        <f t="shared" si="3"/>
        <v>#N/A</v>
      </c>
      <c r="CA26" s="20" t="e">
        <f t="shared" si="3"/>
        <v>#N/A</v>
      </c>
      <c r="CB26" s="20" t="e">
        <f t="shared" si="3"/>
        <v>#N/A</v>
      </c>
    </row>
    <row r="27" spans="25:80" x14ac:dyDescent="0.25">
      <c r="AA27" s="18">
        <f t="shared" si="5"/>
        <v>42515</v>
      </c>
      <c r="AB27" s="1">
        <f t="shared" si="6"/>
        <v>170</v>
      </c>
      <c r="AC27" s="1" t="e" cm="1">
        <f t="array" ref="AC27">_xlfn.XLOOKUP(1,('2016 E Maize Soil VWC'!$C$2:$C$4000=$AA27)*('2016 E Maize Soil VWC'!$E$2:$E$4000=$AB27)*('2016 E Maize Soil VWC'!$F$2:$F$4000=AC$5),'2016 E Maize Soil VWC'!$G$2:$G$4000)</f>
        <v>#N/A</v>
      </c>
      <c r="AD27" s="1" t="e" cm="1">
        <f t="array" ref="AD27">_xlfn.XLOOKUP(1,('2016 E Maize Soil VWC'!$C$2:$C$4000=$AA27)*('2016 E Maize Soil VWC'!$E$2:$E$4000=$AB27)*('2016 E Maize Soil VWC'!$F$2:$F$4000=AD$5),'2016 E Maize Soil VWC'!$G$2:$G$4000)</f>
        <v>#N/A</v>
      </c>
      <c r="AE27" s="1" t="e" cm="1">
        <f t="array" ref="AE27">_xlfn.XLOOKUP(1,('2016 E Maize Soil VWC'!$C$2:$C$4000=$AA27)*('2016 E Maize Soil VWC'!$E$2:$E$4000=$AB27)*('2016 E Maize Soil VWC'!$F$2:$F$4000=AE$5),'2016 E Maize Soil VWC'!$G$2:$G$4000)</f>
        <v>#N/A</v>
      </c>
      <c r="AF27" s="1" t="e" cm="1">
        <f t="array" ref="AF27">_xlfn.XLOOKUP(1,('2016 E Maize Soil VWC'!$C$2:$C$4000=$AA27)*('2016 E Maize Soil VWC'!$E$2:$E$4000=$AB27)*('2016 E Maize Soil VWC'!$F$2:$F$4000=AF$5),'2016 E Maize Soil VWC'!$G$2:$G$4000)</f>
        <v>#N/A</v>
      </c>
      <c r="AG27" s="1" cm="1">
        <f t="array" ref="AG27">_xlfn.XLOOKUP(1,('2016 E Maize Soil VWC'!$C$2:$C$4000=$AA27)*('2016 E Maize Soil VWC'!$E$2:$E$4000=$AB27)*('2016 E Maize Soil VWC'!$F$2:$F$4000=AG$5),'2016 E Maize Soil VWC'!$G$2:$G$4000)</f>
        <v>0.32859121137577052</v>
      </c>
      <c r="AH27" s="1" cm="1">
        <f t="array" ref="AH27">_xlfn.XLOOKUP(1,('2016 E Maize Soil VWC'!$C$2:$C$4000=$AA27)*('2016 E Maize Soil VWC'!$E$2:$E$4000=$AB27)*('2016 E Maize Soil VWC'!$F$2:$F$4000=AH$5),'2016 E Maize Soil VWC'!$G$2:$G$4000)</f>
        <v>0.33608504582186211</v>
      </c>
      <c r="AI27" s="1" t="e" cm="1">
        <f t="array" ref="AI27">_xlfn.XLOOKUP(1,('2016 E Maize Soil VWC'!$C$2:$C$4000=$AA27)*('2016 E Maize Soil VWC'!$E$2:$E$4000=$AB27)*('2016 E Maize Soil VWC'!$F$2:$F$4000=AI$5),'2016 E Maize Soil VWC'!$G$2:$G$4000)</f>
        <v>#N/A</v>
      </c>
      <c r="AJ27" s="1" t="e" cm="1">
        <f t="array" ref="AJ27">_xlfn.XLOOKUP(1,('2016 E Maize Soil VWC'!$C$2:$C$4000=$AA27)*('2016 E Maize Soil VWC'!$E$2:$E$4000=$AB27)*('2016 E Maize Soil VWC'!$F$2:$F$4000=AJ$5),'2016 E Maize Soil VWC'!$G$2:$G$4000)</f>
        <v>#N/A</v>
      </c>
      <c r="AK27" s="1" t="e" cm="1">
        <f t="array" ref="AK27">_xlfn.XLOOKUP(1,('2016 E Maize Soil VWC'!$C$2:$C$4000=$AA27)*('2016 E Maize Soil VWC'!$E$2:$E$4000=$AB27)*('2016 E Maize Soil VWC'!$F$2:$F$4000=AK$5),'2016 E Maize Soil VWC'!$G$2:$G$4000)</f>
        <v>#N/A</v>
      </c>
      <c r="AL27" s="1" t="e" cm="1">
        <f t="array" ref="AL27">_xlfn.XLOOKUP(1,('2016 E Maize Soil VWC'!$C$2:$C$4000=$AA27)*('2016 E Maize Soil VWC'!$E$2:$E$4000=$AB27)*('2016 E Maize Soil VWC'!$F$2:$F$4000=AL$5),'2016 E Maize Soil VWC'!$G$2:$G$4000)</f>
        <v>#N/A</v>
      </c>
      <c r="AM27" s="1" t="e" cm="1">
        <f t="array" ref="AM27">_xlfn.XLOOKUP(1,('2016 E Maize Soil VWC'!$C$2:$C$4000=$AA27)*('2016 E Maize Soil VWC'!$E$2:$E$4000=$AB27)*('2016 E Maize Soil VWC'!$F$2:$F$4000=AM$5),'2016 E Maize Soil VWC'!$G$2:$G$4000)</f>
        <v>#N/A</v>
      </c>
      <c r="AN27" s="1" t="e" cm="1">
        <f t="array" ref="AN27">_xlfn.XLOOKUP(1,('2016 E Maize Soil VWC'!$C$2:$C$4000=$AA27)*('2016 E Maize Soil VWC'!$E$2:$E$4000=$AB27)*('2016 E Maize Soil VWC'!$F$2:$F$4000=AN$5),'2016 E Maize Soil VWC'!$G$2:$G$4000)</f>
        <v>#N/A</v>
      </c>
      <c r="AO27" s="1" t="e" cm="1">
        <f t="array" ref="AO27">_xlfn.XLOOKUP(1,('2016 E Maize Soil VWC'!$C$2:$C$4000=$AA27)*('2016 E Maize Soil VWC'!$E$2:$E$4000=$AB27)*('2016 E Maize Soil VWC'!$F$2:$F$4000=AO$5),'2016 E Maize Soil VWC'!$G$2:$G$4000)</f>
        <v>#N/A</v>
      </c>
      <c r="AP27" s="1" t="e" cm="1">
        <f t="array" ref="AP27">_xlfn.XLOOKUP(1,('2016 E Maize Soil VWC'!$C$2:$C$4000=$AA27)*('2016 E Maize Soil VWC'!$E$2:$E$4000=$AB27)*('2016 E Maize Soil VWC'!$F$2:$F$4000=AP$5),'2016 E Maize Soil VWC'!$G$2:$G$4000)</f>
        <v>#N/A</v>
      </c>
      <c r="AQ27" s="1" cm="1">
        <f t="array" ref="AQ27">_xlfn.XLOOKUP(1,('2016 E Maize Soil VWC'!$C$2:$C$4000=$AA27)*('2016 E Maize Soil VWC'!$E$2:$E$4000=$AB27)*('2016 E Maize Soil VWC'!$F$2:$F$4000=AQ$5),'2016 E Maize Soil VWC'!$G$2:$G$4000)</f>
        <v>0.33633808438757429</v>
      </c>
      <c r="AR27" s="1" cm="1">
        <f t="array" ref="AR27">_xlfn.XLOOKUP(1,('2016 E Maize Soil VWC'!$C$2:$C$4000=$AA27)*('2016 E Maize Soil VWC'!$E$2:$E$4000=$AB27)*('2016 E Maize Soil VWC'!$F$2:$F$4000=AR$5),'2016 E Maize Soil VWC'!$G$2:$G$4000)</f>
        <v>0.32329686600086943</v>
      </c>
      <c r="AS27" s="1" t="e" cm="1">
        <f t="array" ref="AS27">_xlfn.XLOOKUP(1,('2016 E Maize Soil VWC'!$C$2:$C$4000=$AA27)*('2016 E Maize Soil VWC'!$E$2:$E$4000=$AB27)*('2016 E Maize Soil VWC'!$F$2:$F$4000=AS$5),'2016 E Maize Soil VWC'!$G$2:$G$4000)</f>
        <v>#N/A</v>
      </c>
      <c r="AT27" s="1" t="e" cm="1">
        <f t="array" ref="AT27">_xlfn.XLOOKUP(1,('2016 E Maize Soil VWC'!$C$2:$C$4000=$AA27)*('2016 E Maize Soil VWC'!$E$2:$E$4000=$AB27)*('2016 E Maize Soil VWC'!$F$2:$F$4000=AT$5),'2016 E Maize Soil VWC'!$G$2:$G$4000)</f>
        <v>#N/A</v>
      </c>
      <c r="AU27" s="1" t="e" cm="1">
        <f t="array" ref="AU27">_xlfn.XLOOKUP(1,('2016 E Maize Soil VWC'!$C$2:$C$4000=$AA27)*('2016 E Maize Soil VWC'!$E$2:$E$4000=$AB27)*('2016 E Maize Soil VWC'!$F$2:$F$4000=AU$5),'2016 E Maize Soil VWC'!$G$2:$G$4000)</f>
        <v>#N/A</v>
      </c>
      <c r="AV27" s="1" t="e" cm="1">
        <f t="array" ref="AV27">_xlfn.XLOOKUP(1,('2016 E Maize Soil VWC'!$C$2:$C$4000=$AA27)*('2016 E Maize Soil VWC'!$E$2:$E$4000=$AB27)*('2016 E Maize Soil VWC'!$F$2:$F$4000=AV$5),'2016 E Maize Soil VWC'!$G$2:$G$4000)</f>
        <v>#N/A</v>
      </c>
      <c r="BN27" s="15"/>
      <c r="BO27" s="20" t="e">
        <f t="shared" si="4"/>
        <v>#N/A</v>
      </c>
      <c r="BP27" s="20" t="e">
        <f t="shared" si="3"/>
        <v>#N/A</v>
      </c>
      <c r="BQ27" s="20" t="e">
        <f t="shared" si="3"/>
        <v>#N/A</v>
      </c>
      <c r="BR27" s="20" t="e">
        <f t="shared" si="3"/>
        <v>#N/A</v>
      </c>
      <c r="BS27" s="20" t="e">
        <f t="shared" si="3"/>
        <v>#N/A</v>
      </c>
      <c r="BT27" s="20" t="e">
        <f t="shared" si="3"/>
        <v>#N/A</v>
      </c>
      <c r="BU27" s="20" t="e">
        <f t="shared" si="3"/>
        <v>#N/A</v>
      </c>
      <c r="BV27" s="20" t="e">
        <f t="shared" si="3"/>
        <v>#N/A</v>
      </c>
      <c r="BW27" s="20" t="e">
        <f t="shared" si="3"/>
        <v>#N/A</v>
      </c>
      <c r="BX27" s="20" t="e">
        <f t="shared" si="3"/>
        <v>#N/A</v>
      </c>
      <c r="BY27" s="20" t="e">
        <f t="shared" si="3"/>
        <v>#N/A</v>
      </c>
      <c r="BZ27" s="20" t="e">
        <f t="shared" si="3"/>
        <v>#N/A</v>
      </c>
      <c r="CA27" s="20" t="e">
        <f t="shared" si="3"/>
        <v>#N/A</v>
      </c>
      <c r="CB27" s="20" t="e">
        <f t="shared" si="3"/>
        <v>#N/A</v>
      </c>
    </row>
    <row r="28" spans="25:80" x14ac:dyDescent="0.25">
      <c r="AA28" s="18">
        <f t="shared" si="5"/>
        <v>42515</v>
      </c>
      <c r="AB28" s="1">
        <f t="shared" si="6"/>
        <v>190</v>
      </c>
      <c r="AC28" s="1" t="e" cm="1">
        <f t="array" ref="AC28">_xlfn.XLOOKUP(1,('2016 E Maize Soil VWC'!$C$2:$C$4000=$AA28)*('2016 E Maize Soil VWC'!$E$2:$E$4000=$AB28)*('2016 E Maize Soil VWC'!$F$2:$F$4000=AC$5),'2016 E Maize Soil VWC'!$G$2:$G$4000)</f>
        <v>#N/A</v>
      </c>
      <c r="AD28" s="1" t="e" cm="1">
        <f t="array" ref="AD28">_xlfn.XLOOKUP(1,('2016 E Maize Soil VWC'!$C$2:$C$4000=$AA28)*('2016 E Maize Soil VWC'!$E$2:$E$4000=$AB28)*('2016 E Maize Soil VWC'!$F$2:$F$4000=AD$5),'2016 E Maize Soil VWC'!$G$2:$G$4000)</f>
        <v>#N/A</v>
      </c>
      <c r="AE28" s="1" t="e" cm="1">
        <f t="array" ref="AE28">_xlfn.XLOOKUP(1,('2016 E Maize Soil VWC'!$C$2:$C$4000=$AA28)*('2016 E Maize Soil VWC'!$E$2:$E$4000=$AB28)*('2016 E Maize Soil VWC'!$F$2:$F$4000=AE$5),'2016 E Maize Soil VWC'!$G$2:$G$4000)</f>
        <v>#N/A</v>
      </c>
      <c r="AF28" s="1" t="e" cm="1">
        <f t="array" ref="AF28">_xlfn.XLOOKUP(1,('2016 E Maize Soil VWC'!$C$2:$C$4000=$AA28)*('2016 E Maize Soil VWC'!$E$2:$E$4000=$AB28)*('2016 E Maize Soil VWC'!$F$2:$F$4000=AF$5),'2016 E Maize Soil VWC'!$G$2:$G$4000)</f>
        <v>#N/A</v>
      </c>
      <c r="AG28" s="1" cm="1">
        <f t="array" ref="AG28">_xlfn.XLOOKUP(1,('2016 E Maize Soil VWC'!$C$2:$C$4000=$AA28)*('2016 E Maize Soil VWC'!$E$2:$E$4000=$AB28)*('2016 E Maize Soil VWC'!$F$2:$F$4000=AG$5),'2016 E Maize Soil VWC'!$G$2:$G$4000)</f>
        <v>0.324503665314266</v>
      </c>
      <c r="AH28" s="1" cm="1">
        <f t="array" ref="AH28">_xlfn.XLOOKUP(1,('2016 E Maize Soil VWC'!$C$2:$C$4000=$AA28)*('2016 E Maize Soil VWC'!$E$2:$E$4000=$AB28)*('2016 E Maize Soil VWC'!$F$2:$F$4000=AH$5),'2016 E Maize Soil VWC'!$G$2:$G$4000)</f>
        <v>0.33343787313441159</v>
      </c>
      <c r="AI28" s="1" t="e" cm="1">
        <f t="array" ref="AI28">_xlfn.XLOOKUP(1,('2016 E Maize Soil VWC'!$C$2:$C$4000=$AA28)*('2016 E Maize Soil VWC'!$E$2:$E$4000=$AB28)*('2016 E Maize Soil VWC'!$F$2:$F$4000=AI$5),'2016 E Maize Soil VWC'!$G$2:$G$4000)</f>
        <v>#N/A</v>
      </c>
      <c r="AJ28" s="1" t="e" cm="1">
        <f t="array" ref="AJ28">_xlfn.XLOOKUP(1,('2016 E Maize Soil VWC'!$C$2:$C$4000=$AA28)*('2016 E Maize Soil VWC'!$E$2:$E$4000=$AB28)*('2016 E Maize Soil VWC'!$F$2:$F$4000=AJ$5),'2016 E Maize Soil VWC'!$G$2:$G$4000)</f>
        <v>#N/A</v>
      </c>
      <c r="AK28" s="1" t="e" cm="1">
        <f t="array" ref="AK28">_xlfn.XLOOKUP(1,('2016 E Maize Soil VWC'!$C$2:$C$4000=$AA28)*('2016 E Maize Soil VWC'!$E$2:$E$4000=$AB28)*('2016 E Maize Soil VWC'!$F$2:$F$4000=AK$5),'2016 E Maize Soil VWC'!$G$2:$G$4000)</f>
        <v>#N/A</v>
      </c>
      <c r="AL28" s="1" t="e" cm="1">
        <f t="array" ref="AL28">_xlfn.XLOOKUP(1,('2016 E Maize Soil VWC'!$C$2:$C$4000=$AA28)*('2016 E Maize Soil VWC'!$E$2:$E$4000=$AB28)*('2016 E Maize Soil VWC'!$F$2:$F$4000=AL$5),'2016 E Maize Soil VWC'!$G$2:$G$4000)</f>
        <v>#N/A</v>
      </c>
      <c r="AM28" s="1" t="e" cm="1">
        <f t="array" ref="AM28">_xlfn.XLOOKUP(1,('2016 E Maize Soil VWC'!$C$2:$C$4000=$AA28)*('2016 E Maize Soil VWC'!$E$2:$E$4000=$AB28)*('2016 E Maize Soil VWC'!$F$2:$F$4000=AM$5),'2016 E Maize Soil VWC'!$G$2:$G$4000)</f>
        <v>#N/A</v>
      </c>
      <c r="AN28" s="1" t="e" cm="1">
        <f t="array" ref="AN28">_xlfn.XLOOKUP(1,('2016 E Maize Soil VWC'!$C$2:$C$4000=$AA28)*('2016 E Maize Soil VWC'!$E$2:$E$4000=$AB28)*('2016 E Maize Soil VWC'!$F$2:$F$4000=AN$5),'2016 E Maize Soil VWC'!$G$2:$G$4000)</f>
        <v>#N/A</v>
      </c>
      <c r="AO28" s="1" t="e" cm="1">
        <f t="array" ref="AO28">_xlfn.XLOOKUP(1,('2016 E Maize Soil VWC'!$C$2:$C$4000=$AA28)*('2016 E Maize Soil VWC'!$E$2:$E$4000=$AB28)*('2016 E Maize Soil VWC'!$F$2:$F$4000=AO$5),'2016 E Maize Soil VWC'!$G$2:$G$4000)</f>
        <v>#N/A</v>
      </c>
      <c r="AP28" s="1" t="e" cm="1">
        <f t="array" ref="AP28">_xlfn.XLOOKUP(1,('2016 E Maize Soil VWC'!$C$2:$C$4000=$AA28)*('2016 E Maize Soil VWC'!$E$2:$E$4000=$AB28)*('2016 E Maize Soil VWC'!$F$2:$F$4000=AP$5),'2016 E Maize Soil VWC'!$G$2:$G$4000)</f>
        <v>#N/A</v>
      </c>
      <c r="AQ28" s="1" cm="1">
        <f t="array" ref="AQ28">_xlfn.XLOOKUP(1,('2016 E Maize Soil VWC'!$C$2:$C$4000=$AA28)*('2016 E Maize Soil VWC'!$E$2:$E$4000=$AB28)*('2016 E Maize Soil VWC'!$F$2:$F$4000=AQ$5),'2016 E Maize Soil VWC'!$G$2:$G$4000)</f>
        <v>0.32843549533533228</v>
      </c>
      <c r="AR28" s="1" cm="1">
        <f t="array" ref="AR28">_xlfn.XLOOKUP(1,('2016 E Maize Soil VWC'!$C$2:$C$4000=$AA28)*('2016 E Maize Soil VWC'!$E$2:$E$4000=$AB28)*('2016 E Maize Soil VWC'!$F$2:$F$4000=AR$5),'2016 E Maize Soil VWC'!$G$2:$G$4000)</f>
        <v>0.31737965646421529</v>
      </c>
      <c r="AS28" s="1" t="e" cm="1">
        <f t="array" ref="AS28">_xlfn.XLOOKUP(1,('2016 E Maize Soil VWC'!$C$2:$C$4000=$AA28)*('2016 E Maize Soil VWC'!$E$2:$E$4000=$AB28)*('2016 E Maize Soil VWC'!$F$2:$F$4000=AS$5),'2016 E Maize Soil VWC'!$G$2:$G$4000)</f>
        <v>#N/A</v>
      </c>
      <c r="AT28" s="1" t="e" cm="1">
        <f t="array" ref="AT28">_xlfn.XLOOKUP(1,('2016 E Maize Soil VWC'!$C$2:$C$4000=$AA28)*('2016 E Maize Soil VWC'!$E$2:$E$4000=$AB28)*('2016 E Maize Soil VWC'!$F$2:$F$4000=AT$5),'2016 E Maize Soil VWC'!$G$2:$G$4000)</f>
        <v>#N/A</v>
      </c>
      <c r="AU28" s="1" t="e" cm="1">
        <f t="array" ref="AU28">_xlfn.XLOOKUP(1,('2016 E Maize Soil VWC'!$C$2:$C$4000=$AA28)*('2016 E Maize Soil VWC'!$E$2:$E$4000=$AB28)*('2016 E Maize Soil VWC'!$F$2:$F$4000=AU$5),'2016 E Maize Soil VWC'!$G$2:$G$4000)</f>
        <v>#N/A</v>
      </c>
      <c r="AV28" s="1" t="e" cm="1">
        <f t="array" ref="AV28">_xlfn.XLOOKUP(1,('2016 E Maize Soil VWC'!$C$2:$C$4000=$AA28)*('2016 E Maize Soil VWC'!$E$2:$E$4000=$AB28)*('2016 E Maize Soil VWC'!$F$2:$F$4000=AV$5),'2016 E Maize Soil VWC'!$G$2:$G$4000)</f>
        <v>#N/A</v>
      </c>
      <c r="BN28" s="15"/>
      <c r="BO28" s="20" t="e">
        <f t="shared" si="4"/>
        <v>#N/A</v>
      </c>
      <c r="BP28" s="20" t="e">
        <f t="shared" si="3"/>
        <v>#N/A</v>
      </c>
      <c r="BQ28" s="20" t="e">
        <f t="shared" si="3"/>
        <v>#N/A</v>
      </c>
      <c r="BR28" s="20" t="e">
        <f t="shared" si="3"/>
        <v>#N/A</v>
      </c>
      <c r="BS28" s="20" t="e">
        <f t="shared" si="3"/>
        <v>#N/A</v>
      </c>
      <c r="BT28" s="20" t="e">
        <f t="shared" si="3"/>
        <v>#N/A</v>
      </c>
      <c r="BU28" s="20" t="e">
        <f t="shared" si="3"/>
        <v>#N/A</v>
      </c>
      <c r="BV28" s="20" t="e">
        <f t="shared" si="3"/>
        <v>#N/A</v>
      </c>
      <c r="BW28" s="20" t="e">
        <f t="shared" si="3"/>
        <v>#N/A</v>
      </c>
      <c r="BX28" s="20" t="e">
        <f t="shared" si="3"/>
        <v>#N/A</v>
      </c>
      <c r="BY28" s="20" t="e">
        <f t="shared" si="3"/>
        <v>#N/A</v>
      </c>
      <c r="BZ28" s="20" t="e">
        <f t="shared" si="3"/>
        <v>#N/A</v>
      </c>
      <c r="CA28" s="20" t="e">
        <f t="shared" si="3"/>
        <v>#N/A</v>
      </c>
      <c r="CB28" s="20" t="e">
        <f t="shared" si="3"/>
        <v>#N/A</v>
      </c>
    </row>
    <row r="29" spans="25:80" x14ac:dyDescent="0.25">
      <c r="AA29" s="18">
        <f t="shared" si="5"/>
        <v>42515</v>
      </c>
      <c r="AB29" s="1">
        <f t="shared" si="6"/>
        <v>210</v>
      </c>
      <c r="AC29" s="1" t="e" cm="1">
        <f t="array" ref="AC29">_xlfn.XLOOKUP(1,('2016 E Maize Soil VWC'!$C$2:$C$4000=$AA29)*('2016 E Maize Soil VWC'!$E$2:$E$4000=$AB29)*('2016 E Maize Soil VWC'!$F$2:$F$4000=AC$5),'2016 E Maize Soil VWC'!$G$2:$G$4000)</f>
        <v>#N/A</v>
      </c>
      <c r="AD29" s="1" t="e" cm="1">
        <f t="array" ref="AD29">_xlfn.XLOOKUP(1,('2016 E Maize Soil VWC'!$C$2:$C$4000=$AA29)*('2016 E Maize Soil VWC'!$E$2:$E$4000=$AB29)*('2016 E Maize Soil VWC'!$F$2:$F$4000=AD$5),'2016 E Maize Soil VWC'!$G$2:$G$4000)</f>
        <v>#N/A</v>
      </c>
      <c r="AE29" s="1" t="e" cm="1">
        <f t="array" ref="AE29">_xlfn.XLOOKUP(1,('2016 E Maize Soil VWC'!$C$2:$C$4000=$AA29)*('2016 E Maize Soil VWC'!$E$2:$E$4000=$AB29)*('2016 E Maize Soil VWC'!$F$2:$F$4000=AE$5),'2016 E Maize Soil VWC'!$G$2:$G$4000)</f>
        <v>#N/A</v>
      </c>
      <c r="AF29" s="1" t="e" cm="1">
        <f t="array" ref="AF29">_xlfn.XLOOKUP(1,('2016 E Maize Soil VWC'!$C$2:$C$4000=$AA29)*('2016 E Maize Soil VWC'!$E$2:$E$4000=$AB29)*('2016 E Maize Soil VWC'!$F$2:$F$4000=AF$5),'2016 E Maize Soil VWC'!$G$2:$G$4000)</f>
        <v>#N/A</v>
      </c>
      <c r="AG29" s="1" t="e" cm="1">
        <f t="array" ref="AG29">_xlfn.XLOOKUP(1,('2016 E Maize Soil VWC'!$C$2:$C$4000=$AA29)*('2016 E Maize Soil VWC'!$E$2:$E$4000=$AB29)*('2016 E Maize Soil VWC'!$F$2:$F$4000=AG$5),'2016 E Maize Soil VWC'!$G$2:$G$4000)</f>
        <v>#N/A</v>
      </c>
      <c r="AH29" s="1" t="e" cm="1">
        <f t="array" ref="AH29">_xlfn.XLOOKUP(1,('2016 E Maize Soil VWC'!$C$2:$C$4000=$AA29)*('2016 E Maize Soil VWC'!$E$2:$E$4000=$AB29)*('2016 E Maize Soil VWC'!$F$2:$F$4000=AH$5),'2016 E Maize Soil VWC'!$G$2:$G$4000)</f>
        <v>#N/A</v>
      </c>
      <c r="AI29" s="1" t="e" cm="1">
        <f t="array" ref="AI29">_xlfn.XLOOKUP(1,('2016 E Maize Soil VWC'!$C$2:$C$4000=$AA29)*('2016 E Maize Soil VWC'!$E$2:$E$4000=$AB29)*('2016 E Maize Soil VWC'!$F$2:$F$4000=AI$5),'2016 E Maize Soil VWC'!$G$2:$G$4000)</f>
        <v>#N/A</v>
      </c>
      <c r="AJ29" s="1" t="e" cm="1">
        <f t="array" ref="AJ29">_xlfn.XLOOKUP(1,('2016 E Maize Soil VWC'!$C$2:$C$4000=$AA29)*('2016 E Maize Soil VWC'!$E$2:$E$4000=$AB29)*('2016 E Maize Soil VWC'!$F$2:$F$4000=AJ$5),'2016 E Maize Soil VWC'!$G$2:$G$4000)</f>
        <v>#N/A</v>
      </c>
      <c r="AK29" s="1" t="e" cm="1">
        <f t="array" ref="AK29">_xlfn.XLOOKUP(1,('2016 E Maize Soil VWC'!$C$2:$C$4000=$AA29)*('2016 E Maize Soil VWC'!$E$2:$E$4000=$AB29)*('2016 E Maize Soil VWC'!$F$2:$F$4000=AK$5),'2016 E Maize Soil VWC'!$G$2:$G$4000)</f>
        <v>#N/A</v>
      </c>
      <c r="AL29" s="1" t="e" cm="1">
        <f t="array" ref="AL29">_xlfn.XLOOKUP(1,('2016 E Maize Soil VWC'!$C$2:$C$4000=$AA29)*('2016 E Maize Soil VWC'!$E$2:$E$4000=$AB29)*('2016 E Maize Soil VWC'!$F$2:$F$4000=AL$5),'2016 E Maize Soil VWC'!$G$2:$G$4000)</f>
        <v>#N/A</v>
      </c>
      <c r="AM29" s="1" t="e" cm="1">
        <f t="array" ref="AM29">_xlfn.XLOOKUP(1,('2016 E Maize Soil VWC'!$C$2:$C$4000=$AA29)*('2016 E Maize Soil VWC'!$E$2:$E$4000=$AB29)*('2016 E Maize Soil VWC'!$F$2:$F$4000=AM$5),'2016 E Maize Soil VWC'!$G$2:$G$4000)</f>
        <v>#N/A</v>
      </c>
      <c r="AN29" s="1" t="e" cm="1">
        <f t="array" ref="AN29">_xlfn.XLOOKUP(1,('2016 E Maize Soil VWC'!$C$2:$C$4000=$AA29)*('2016 E Maize Soil VWC'!$E$2:$E$4000=$AB29)*('2016 E Maize Soil VWC'!$F$2:$F$4000=AN$5),'2016 E Maize Soil VWC'!$G$2:$G$4000)</f>
        <v>#N/A</v>
      </c>
      <c r="AO29" s="1" t="e" cm="1">
        <f t="array" ref="AO29">_xlfn.XLOOKUP(1,('2016 E Maize Soil VWC'!$C$2:$C$4000=$AA29)*('2016 E Maize Soil VWC'!$E$2:$E$4000=$AB29)*('2016 E Maize Soil VWC'!$F$2:$F$4000=AO$5),'2016 E Maize Soil VWC'!$G$2:$G$4000)</f>
        <v>#N/A</v>
      </c>
      <c r="AP29" s="1" t="e" cm="1">
        <f t="array" ref="AP29">_xlfn.XLOOKUP(1,('2016 E Maize Soil VWC'!$C$2:$C$4000=$AA29)*('2016 E Maize Soil VWC'!$E$2:$E$4000=$AB29)*('2016 E Maize Soil VWC'!$F$2:$F$4000=AP$5),'2016 E Maize Soil VWC'!$G$2:$G$4000)</f>
        <v>#N/A</v>
      </c>
      <c r="AQ29" s="1" t="e" cm="1">
        <f t="array" ref="AQ29">_xlfn.XLOOKUP(1,('2016 E Maize Soil VWC'!$C$2:$C$4000=$AA29)*('2016 E Maize Soil VWC'!$E$2:$E$4000=$AB29)*('2016 E Maize Soil VWC'!$F$2:$F$4000=AQ$5),'2016 E Maize Soil VWC'!$G$2:$G$4000)</f>
        <v>#N/A</v>
      </c>
      <c r="AR29" s="1" t="e" cm="1">
        <f t="array" ref="AR29">_xlfn.XLOOKUP(1,('2016 E Maize Soil VWC'!$C$2:$C$4000=$AA29)*('2016 E Maize Soil VWC'!$E$2:$E$4000=$AB29)*('2016 E Maize Soil VWC'!$F$2:$F$4000=AR$5),'2016 E Maize Soil VWC'!$G$2:$G$4000)</f>
        <v>#N/A</v>
      </c>
      <c r="AS29" s="1" t="e" cm="1">
        <f t="array" ref="AS29">_xlfn.XLOOKUP(1,('2016 E Maize Soil VWC'!$C$2:$C$4000=$AA29)*('2016 E Maize Soil VWC'!$E$2:$E$4000=$AB29)*('2016 E Maize Soil VWC'!$F$2:$F$4000=AS$5),'2016 E Maize Soil VWC'!$G$2:$G$4000)</f>
        <v>#N/A</v>
      </c>
      <c r="AT29" s="1" t="e" cm="1">
        <f t="array" ref="AT29">_xlfn.XLOOKUP(1,('2016 E Maize Soil VWC'!$C$2:$C$4000=$AA29)*('2016 E Maize Soil VWC'!$E$2:$E$4000=$AB29)*('2016 E Maize Soil VWC'!$F$2:$F$4000=AT$5),'2016 E Maize Soil VWC'!$G$2:$G$4000)</f>
        <v>#N/A</v>
      </c>
      <c r="AU29" s="1" t="e" cm="1">
        <f t="array" ref="AU29">_xlfn.XLOOKUP(1,('2016 E Maize Soil VWC'!$C$2:$C$4000=$AA29)*('2016 E Maize Soil VWC'!$E$2:$E$4000=$AB29)*('2016 E Maize Soil VWC'!$F$2:$F$4000=AU$5),'2016 E Maize Soil VWC'!$G$2:$G$4000)</f>
        <v>#N/A</v>
      </c>
      <c r="AV29" s="1" t="e" cm="1">
        <f t="array" ref="AV29">_xlfn.XLOOKUP(1,('2016 E Maize Soil VWC'!$C$2:$C$4000=$AA29)*('2016 E Maize Soil VWC'!$E$2:$E$4000=$AB29)*('2016 E Maize Soil VWC'!$F$2:$F$4000=AV$5),'2016 E Maize Soil VWC'!$G$2:$G$4000)</f>
        <v>#N/A</v>
      </c>
      <c r="BN29" s="15"/>
    </row>
    <row r="30" spans="25:80" x14ac:dyDescent="0.25">
      <c r="AA30" s="18">
        <f t="shared" si="5"/>
        <v>42515</v>
      </c>
      <c r="AB30" s="1">
        <f t="shared" si="6"/>
        <v>230</v>
      </c>
      <c r="AC30" s="1" t="e" cm="1">
        <f t="array" ref="AC30">_xlfn.XLOOKUP(1,('2016 E Maize Soil VWC'!$C$2:$C$4000=$AA30)*('2016 E Maize Soil VWC'!$E$2:$E$4000=$AB30)*('2016 E Maize Soil VWC'!$F$2:$F$4000=AC$5),'2016 E Maize Soil VWC'!$G$2:$G$4000)</f>
        <v>#N/A</v>
      </c>
      <c r="AD30" s="1" t="e" cm="1">
        <f t="array" ref="AD30">_xlfn.XLOOKUP(1,('2016 E Maize Soil VWC'!$C$2:$C$4000=$AA30)*('2016 E Maize Soil VWC'!$E$2:$E$4000=$AB30)*('2016 E Maize Soil VWC'!$F$2:$F$4000=AD$5),'2016 E Maize Soil VWC'!$G$2:$G$4000)</f>
        <v>#N/A</v>
      </c>
      <c r="AE30" s="1" t="e" cm="1">
        <f t="array" ref="AE30">_xlfn.XLOOKUP(1,('2016 E Maize Soil VWC'!$C$2:$C$4000=$AA30)*('2016 E Maize Soil VWC'!$E$2:$E$4000=$AB30)*('2016 E Maize Soil VWC'!$F$2:$F$4000=AE$5),'2016 E Maize Soil VWC'!$G$2:$G$4000)</f>
        <v>#N/A</v>
      </c>
      <c r="AF30" s="1" t="e" cm="1">
        <f t="array" ref="AF30">_xlfn.XLOOKUP(1,('2016 E Maize Soil VWC'!$C$2:$C$4000=$AA30)*('2016 E Maize Soil VWC'!$E$2:$E$4000=$AB30)*('2016 E Maize Soil VWC'!$F$2:$F$4000=AF$5),'2016 E Maize Soil VWC'!$G$2:$G$4000)</f>
        <v>#N/A</v>
      </c>
      <c r="AG30" s="1" t="e" cm="1">
        <f t="array" ref="AG30">_xlfn.XLOOKUP(1,('2016 E Maize Soil VWC'!$C$2:$C$4000=$AA30)*('2016 E Maize Soil VWC'!$E$2:$E$4000=$AB30)*('2016 E Maize Soil VWC'!$F$2:$F$4000=AG$5),'2016 E Maize Soil VWC'!$G$2:$G$4000)</f>
        <v>#N/A</v>
      </c>
      <c r="AH30" s="1" t="e" cm="1">
        <f t="array" ref="AH30">_xlfn.XLOOKUP(1,('2016 E Maize Soil VWC'!$C$2:$C$4000=$AA30)*('2016 E Maize Soil VWC'!$E$2:$E$4000=$AB30)*('2016 E Maize Soil VWC'!$F$2:$F$4000=AH$5),'2016 E Maize Soil VWC'!$G$2:$G$4000)</f>
        <v>#N/A</v>
      </c>
      <c r="AI30" s="1" t="e" cm="1">
        <f t="array" ref="AI30">_xlfn.XLOOKUP(1,('2016 E Maize Soil VWC'!$C$2:$C$4000=$AA30)*('2016 E Maize Soil VWC'!$E$2:$E$4000=$AB30)*('2016 E Maize Soil VWC'!$F$2:$F$4000=AI$5),'2016 E Maize Soil VWC'!$G$2:$G$4000)</f>
        <v>#N/A</v>
      </c>
      <c r="AJ30" s="1" t="e" cm="1">
        <f t="array" ref="AJ30">_xlfn.XLOOKUP(1,('2016 E Maize Soil VWC'!$C$2:$C$4000=$AA30)*('2016 E Maize Soil VWC'!$E$2:$E$4000=$AB30)*('2016 E Maize Soil VWC'!$F$2:$F$4000=AJ$5),'2016 E Maize Soil VWC'!$G$2:$G$4000)</f>
        <v>#N/A</v>
      </c>
      <c r="AK30" s="1" t="e" cm="1">
        <f t="array" ref="AK30">_xlfn.XLOOKUP(1,('2016 E Maize Soil VWC'!$C$2:$C$4000=$AA30)*('2016 E Maize Soil VWC'!$E$2:$E$4000=$AB30)*('2016 E Maize Soil VWC'!$F$2:$F$4000=AK$5),'2016 E Maize Soil VWC'!$G$2:$G$4000)</f>
        <v>#N/A</v>
      </c>
      <c r="AL30" s="1" t="e" cm="1">
        <f t="array" ref="AL30">_xlfn.XLOOKUP(1,('2016 E Maize Soil VWC'!$C$2:$C$4000=$AA30)*('2016 E Maize Soil VWC'!$E$2:$E$4000=$AB30)*('2016 E Maize Soil VWC'!$F$2:$F$4000=AL$5),'2016 E Maize Soil VWC'!$G$2:$G$4000)</f>
        <v>#N/A</v>
      </c>
      <c r="AM30" s="1" t="e" cm="1">
        <f t="array" ref="AM30">_xlfn.XLOOKUP(1,('2016 E Maize Soil VWC'!$C$2:$C$4000=$AA30)*('2016 E Maize Soil VWC'!$E$2:$E$4000=$AB30)*('2016 E Maize Soil VWC'!$F$2:$F$4000=AM$5),'2016 E Maize Soil VWC'!$G$2:$G$4000)</f>
        <v>#N/A</v>
      </c>
      <c r="AN30" s="1" t="e" cm="1">
        <f t="array" ref="AN30">_xlfn.XLOOKUP(1,('2016 E Maize Soil VWC'!$C$2:$C$4000=$AA30)*('2016 E Maize Soil VWC'!$E$2:$E$4000=$AB30)*('2016 E Maize Soil VWC'!$F$2:$F$4000=AN$5),'2016 E Maize Soil VWC'!$G$2:$G$4000)</f>
        <v>#N/A</v>
      </c>
      <c r="AO30" s="1" t="e" cm="1">
        <f t="array" ref="AO30">_xlfn.XLOOKUP(1,('2016 E Maize Soil VWC'!$C$2:$C$4000=$AA30)*('2016 E Maize Soil VWC'!$E$2:$E$4000=$AB30)*('2016 E Maize Soil VWC'!$F$2:$F$4000=AO$5),'2016 E Maize Soil VWC'!$G$2:$G$4000)</f>
        <v>#N/A</v>
      </c>
      <c r="AP30" s="1" t="e" cm="1">
        <f t="array" ref="AP30">_xlfn.XLOOKUP(1,('2016 E Maize Soil VWC'!$C$2:$C$4000=$AA30)*('2016 E Maize Soil VWC'!$E$2:$E$4000=$AB30)*('2016 E Maize Soil VWC'!$F$2:$F$4000=AP$5),'2016 E Maize Soil VWC'!$G$2:$G$4000)</f>
        <v>#N/A</v>
      </c>
      <c r="AQ30" s="1" t="e" cm="1">
        <f t="array" ref="AQ30">_xlfn.XLOOKUP(1,('2016 E Maize Soil VWC'!$C$2:$C$4000=$AA30)*('2016 E Maize Soil VWC'!$E$2:$E$4000=$AB30)*('2016 E Maize Soil VWC'!$F$2:$F$4000=AQ$5),'2016 E Maize Soil VWC'!$G$2:$G$4000)</f>
        <v>#N/A</v>
      </c>
      <c r="AR30" s="1" t="e" cm="1">
        <f t="array" ref="AR30">_xlfn.XLOOKUP(1,('2016 E Maize Soil VWC'!$C$2:$C$4000=$AA30)*('2016 E Maize Soil VWC'!$E$2:$E$4000=$AB30)*('2016 E Maize Soil VWC'!$F$2:$F$4000=AR$5),'2016 E Maize Soil VWC'!$G$2:$G$4000)</f>
        <v>#N/A</v>
      </c>
      <c r="AS30" s="1" t="e" cm="1">
        <f t="array" ref="AS30">_xlfn.XLOOKUP(1,('2016 E Maize Soil VWC'!$C$2:$C$4000=$AA30)*('2016 E Maize Soil VWC'!$E$2:$E$4000=$AB30)*('2016 E Maize Soil VWC'!$F$2:$F$4000=AS$5),'2016 E Maize Soil VWC'!$G$2:$G$4000)</f>
        <v>#N/A</v>
      </c>
      <c r="AT30" s="1" t="e" cm="1">
        <f t="array" ref="AT30">_xlfn.XLOOKUP(1,('2016 E Maize Soil VWC'!$C$2:$C$4000=$AA30)*('2016 E Maize Soil VWC'!$E$2:$E$4000=$AB30)*('2016 E Maize Soil VWC'!$F$2:$F$4000=AT$5),'2016 E Maize Soil VWC'!$G$2:$G$4000)</f>
        <v>#N/A</v>
      </c>
      <c r="AU30" s="1" t="e" cm="1">
        <f t="array" ref="AU30">_xlfn.XLOOKUP(1,('2016 E Maize Soil VWC'!$C$2:$C$4000=$AA30)*('2016 E Maize Soil VWC'!$E$2:$E$4000=$AB30)*('2016 E Maize Soil VWC'!$F$2:$F$4000=AU$5),'2016 E Maize Soil VWC'!$G$2:$G$4000)</f>
        <v>#N/A</v>
      </c>
      <c r="AV30" s="1" t="e" cm="1">
        <f t="array" ref="AV30">_xlfn.XLOOKUP(1,('2016 E Maize Soil VWC'!$C$2:$C$4000=$AA30)*('2016 E Maize Soil VWC'!$E$2:$E$4000=$AB30)*('2016 E Maize Soil VWC'!$F$2:$F$4000=AV$5),'2016 E Maize Soil VWC'!$G$2:$G$4000)</f>
        <v>#N/A</v>
      </c>
    </row>
    <row r="31" spans="25:80" x14ac:dyDescent="0.25">
      <c r="AA31" s="18"/>
      <c r="BM31" s="1">
        <v>127</v>
      </c>
      <c r="BN31" s="15">
        <v>42496</v>
      </c>
    </row>
    <row r="32" spans="25:80" x14ac:dyDescent="0.25">
      <c r="Y32" s="1">
        <v>2016</v>
      </c>
      <c r="Z32" s="1">
        <v>161</v>
      </c>
      <c r="AA32" s="18">
        <f>DATE(Y32,1,Z32)</f>
        <v>42530</v>
      </c>
      <c r="AB32" s="1">
        <v>10</v>
      </c>
      <c r="AC32" s="1" cm="1">
        <f t="array" ref="AC32">_xlfn.XLOOKUP(1,('2016 E Maize Soil VWC'!$C$2:$C$4000=$AA32)*('2016 E Maize Soil VWC'!$E$2:$E$4000=$AB32)*('2016 E Maize Soil VWC'!$F$2:$F$4000=AC$5),'2016 E Maize Soil VWC'!$G$2:$G$4000)</f>
        <v>0.21421761846695719</v>
      </c>
      <c r="AD32" s="1" cm="1">
        <f t="array" ref="AD32">_xlfn.XLOOKUP(1,('2016 E Maize Soil VWC'!$C$2:$C$4000=$AA32)*('2016 E Maize Soil VWC'!$E$2:$E$4000=$AB32)*('2016 E Maize Soil VWC'!$F$2:$F$4000=AD$5),'2016 E Maize Soil VWC'!$G$2:$G$4000)</f>
        <v>0.21462042817972066</v>
      </c>
      <c r="AE32" s="1" cm="1">
        <f t="array" ref="AE32">_xlfn.XLOOKUP(1,('2016 E Maize Soil VWC'!$C$2:$C$4000=$AA32)*('2016 E Maize Soil VWC'!$E$2:$E$4000=$AB32)*('2016 E Maize Soil VWC'!$F$2:$F$4000=AE$5),'2016 E Maize Soil VWC'!$G$2:$G$4000)</f>
        <v>0.22756788323283217</v>
      </c>
      <c r="AF32" s="1" cm="1">
        <f t="array" ref="AF32">_xlfn.XLOOKUP(1,('2016 E Maize Soil VWC'!$C$2:$C$4000=$AA32)*('2016 E Maize Soil VWC'!$E$2:$E$4000=$AB32)*('2016 E Maize Soil VWC'!$F$2:$F$4000=AF$5),'2016 E Maize Soil VWC'!$G$2:$G$4000)</f>
        <v>0.23474173240300056</v>
      </c>
      <c r="AG32" s="1" cm="1">
        <f t="array" ref="AG32">_xlfn.XLOOKUP(1,('2016 E Maize Soil VWC'!$C$2:$C$4000=$AA32)*('2016 E Maize Soil VWC'!$E$2:$E$4000=$AB32)*('2016 E Maize Soil VWC'!$F$2:$F$4000=AG$5),'2016 E Maize Soil VWC'!$G$2:$G$4000)</f>
        <v>0.24847562546674545</v>
      </c>
      <c r="AH32" s="1" cm="1">
        <f t="array" ref="AH32">_xlfn.XLOOKUP(1,('2016 E Maize Soil VWC'!$C$2:$C$4000=$AA32)*('2016 E Maize Soil VWC'!$E$2:$E$4000=$AB32)*('2016 E Maize Soil VWC'!$F$2:$F$4000=AH$5),'2016 E Maize Soil VWC'!$G$2:$G$4000)</f>
        <v>0.23514454211576402</v>
      </c>
      <c r="AI32" s="1" cm="1">
        <f t="array" ref="AI32">_xlfn.XLOOKUP(1,('2016 E Maize Soil VWC'!$C$2:$C$4000=$AA32)*('2016 E Maize Soil VWC'!$E$2:$E$4000=$AB32)*('2016 E Maize Soil VWC'!$F$2:$F$4000=AI$5),'2016 E Maize Soil VWC'!$G$2:$G$4000)</f>
        <v>0.222983525073286</v>
      </c>
      <c r="AJ32" s="1" cm="1">
        <f t="array" ref="AJ32">_xlfn.XLOOKUP(1,('2016 E Maize Soil VWC'!$C$2:$C$4000=$AA32)*('2016 E Maize Soil VWC'!$E$2:$E$4000=$AB32)*('2016 E Maize Soil VWC'!$F$2:$F$4000=AJ$5),'2016 E Maize Soil VWC'!$G$2:$G$4000)</f>
        <v>0.22676226380730519</v>
      </c>
      <c r="AK32" s="1" cm="1">
        <f t="array" ref="AK32">_xlfn.XLOOKUP(1,('2016 E Maize Soil VWC'!$C$2:$C$4000=$AA32)*('2016 E Maize Soil VWC'!$E$2:$E$4000=$AB32)*('2016 E Maize Soil VWC'!$F$2:$F$4000=AK$5),'2016 E Maize Soil VWC'!$G$2:$G$4000)</f>
        <v>0.1994671104138569</v>
      </c>
      <c r="AL32" s="1" cm="1">
        <f t="array" ref="AL32">_xlfn.XLOOKUP(1,('2016 E Maize Soil VWC'!$C$2:$C$4000=$AA32)*('2016 E Maize Soil VWC'!$E$2:$E$4000=$AB32)*('2016 E Maize Soil VWC'!$F$2:$F$4000=AL$5),'2016 E Maize Soil VWC'!$G$2:$G$4000)</f>
        <v>0.24830299273270395</v>
      </c>
      <c r="AM32" s="1" cm="1">
        <f t="array" ref="AM32">_xlfn.XLOOKUP(1,('2016 E Maize Soil VWC'!$C$2:$C$4000=$AA32)*('2016 E Maize Soil VWC'!$E$2:$E$4000=$AB32)*('2016 E Maize Soil VWC'!$F$2:$F$4000=AM$5),'2016 E Maize Soil VWC'!$G$2:$G$4000)</f>
        <v>0.21264474244569037</v>
      </c>
      <c r="AN32" s="1" cm="1">
        <f t="array" ref="AN32">_xlfn.XLOOKUP(1,('2016 E Maize Soil VWC'!$C$2:$C$4000=$AA32)*('2016 E Maize Soil VWC'!$E$2:$E$4000=$AB32)*('2016 E Maize Soil VWC'!$F$2:$F$4000=AN$5),'2016 E Maize Soil VWC'!$G$2:$G$4000)</f>
        <v>0.19820113703088599</v>
      </c>
      <c r="AO32" s="1" cm="1">
        <f t="array" ref="AO32">_xlfn.XLOOKUP(1,('2016 E Maize Soil VWC'!$C$2:$C$4000=$AA32)*('2016 E Maize Soil VWC'!$E$2:$E$4000=$AB32)*('2016 E Maize Soil VWC'!$F$2:$F$4000=AO$5),'2016 E Maize Soil VWC'!$G$2:$G$4000)</f>
        <v>0.20846319399890767</v>
      </c>
      <c r="AP32" s="1" cm="1">
        <f t="array" ref="AP32">_xlfn.XLOOKUP(1,('2016 E Maize Soil VWC'!$C$2:$C$4000=$AA32)*('2016 E Maize Soil VWC'!$E$2:$E$4000=$AB32)*('2016 E Maize Soil VWC'!$F$2:$F$4000=AP$5),'2016 E Maize Soil VWC'!$G$2:$G$4000)</f>
        <v>0.18556058461607056</v>
      </c>
      <c r="AQ32" s="1" cm="1">
        <f t="array" ref="AQ32">_xlfn.XLOOKUP(1,('2016 E Maize Soil VWC'!$C$2:$C$4000=$AA32)*('2016 E Maize Soil VWC'!$E$2:$E$4000=$AB32)*('2016 E Maize Soil VWC'!$F$2:$F$4000=AQ$5),'2016 E Maize Soil VWC'!$G$2:$G$4000)</f>
        <v>0.22373160025413247</v>
      </c>
      <c r="AR32" s="1" cm="1">
        <f t="array" ref="AR32">_xlfn.XLOOKUP(1,('2016 E Maize Soil VWC'!$C$2:$C$4000=$AA32)*('2016 E Maize Soil VWC'!$E$2:$E$4000=$AB32)*('2016 E Maize Soil VWC'!$F$2:$F$4000=AR$5),'2016 E Maize Soil VWC'!$G$2:$G$4000)</f>
        <v>0.20915372493507361</v>
      </c>
      <c r="AS32" s="1" cm="1">
        <f t="array" ref="AS32">_xlfn.XLOOKUP(1,('2016 E Maize Soil VWC'!$C$2:$C$4000=$AA32)*('2016 E Maize Soil VWC'!$E$2:$E$4000=$AB32)*('2016 E Maize Soil VWC'!$F$2:$F$4000=AS$5),'2016 E Maize Soil VWC'!$G$2:$G$4000)</f>
        <v>0.2267430823924117</v>
      </c>
      <c r="AT32" s="1" cm="1">
        <f t="array" ref="AT32">_xlfn.XLOOKUP(1,('2016 E Maize Soil VWC'!$C$2:$C$4000=$AA32)*('2016 E Maize Soil VWC'!$E$2:$E$4000=$AB32)*('2016 E Maize Soil VWC'!$F$2:$F$4000=AT$5),'2016 E Maize Soil VWC'!$G$2:$G$4000)</f>
        <v>0.19894921221173245</v>
      </c>
      <c r="AU32" s="1" cm="1">
        <f t="array" ref="AU32">_xlfn.XLOOKUP(1,('2016 E Maize Soil VWC'!$C$2:$C$4000=$AA32)*('2016 E Maize Soil VWC'!$E$2:$E$4000=$AB32)*('2016 E Maize Soil VWC'!$F$2:$F$4000=AU$5),'2016 E Maize Soil VWC'!$G$2:$G$4000)</f>
        <v>0.23017655565834794</v>
      </c>
      <c r="AV32" s="1" cm="1">
        <f t="array" ref="AV32">_xlfn.XLOOKUP(1,('2016 E Maize Soil VWC'!$C$2:$C$4000=$AA32)*('2016 E Maize Soil VWC'!$E$2:$E$4000=$AB32)*('2016 E Maize Soil VWC'!$F$2:$F$4000=AV$5),'2016 E Maize Soil VWC'!$G$2:$G$4000)</f>
        <v>0.23017655565834794</v>
      </c>
      <c r="AW32" s="1">
        <f>Z32</f>
        <v>161</v>
      </c>
      <c r="AX32" s="15">
        <f>AA32</f>
        <v>42530</v>
      </c>
      <c r="AY32" s="1">
        <f>1400*AVERAGE(AG32:AH38)+100*AVERAGE(AG39:AH39)</f>
        <v>483.51502436606211</v>
      </c>
      <c r="AZ32" s="1">
        <f>1400*AVERAGE(AC32:AF38,AI32:AL38)+100*AVERAGE(AC39:AF39,AI39:AL39)</f>
        <v>478.26975738293748</v>
      </c>
      <c r="BA32" s="1">
        <f>1400*AVERAGE(AQ32:AR38)+100*AVERAGE(AQ39:AR39)</f>
        <v>466.67061003600219</v>
      </c>
      <c r="BB32" s="1">
        <f>1400*AVERAGE(AM32:AP38,AS32:AV38)+100*AVERAGE(AM39:AP39,AS39:AV39)</f>
        <v>461.33498111352918</v>
      </c>
      <c r="BC32" s="1">
        <f>AVERAGE(AC32:AD43)*2400</f>
        <v>740.78354979658263</v>
      </c>
      <c r="BD32" s="1">
        <f>AVERAGE(AE32:AF43)*2400</f>
        <v>727.12301099122828</v>
      </c>
      <c r="BE32" s="1">
        <f>AVERAGE(AG32:AH41)*2000</f>
        <v>651.36776835270928</v>
      </c>
      <c r="BF32" s="1">
        <f>AVERAGE(AI32:AJ43)*2400</f>
        <v>746.52819474347109</v>
      </c>
      <c r="BG32" s="1">
        <f>AVERAGE(AK32:AL43)*2400</f>
        <v>748.78383501900419</v>
      </c>
      <c r="BH32" s="1">
        <f>AVERAGE(AM32:AN43)*2400</f>
        <v>741.59186696501229</v>
      </c>
      <c r="BI32" s="1">
        <f>AVERAGE(AO32:AP43)*2400</f>
        <v>688.98875395855873</v>
      </c>
      <c r="BJ32" s="1">
        <f>AVERAGE(AQ32:AR41)*2000</f>
        <v>628.60906416175305</v>
      </c>
      <c r="BK32" s="1">
        <f>AVERAGE(AS32:AT43)*2400</f>
        <v>751.99848572957194</v>
      </c>
      <c r="BL32" s="1">
        <f>AVERAGE(AU32:AV43)*2400</f>
        <v>743.91998730006605</v>
      </c>
      <c r="BM32" s="1">
        <v>146</v>
      </c>
      <c r="BN32" s="15">
        <v>42515</v>
      </c>
    </row>
    <row r="33" spans="25:66" x14ac:dyDescent="0.25">
      <c r="AA33" s="18">
        <f t="shared" ref="AA33:AA43" si="7">AA32</f>
        <v>42530</v>
      </c>
      <c r="AB33" s="1">
        <f t="shared" ref="AB33:AB43" si="8">AB32+20</f>
        <v>30</v>
      </c>
      <c r="AC33" s="1" cm="1">
        <f t="array" ref="AC33">_xlfn.XLOOKUP(1,('2016 E Maize Soil VWC'!$C$2:$C$4000=$AA33)*('2016 E Maize Soil VWC'!$E$2:$E$4000=$AB33)*('2016 E Maize Soil VWC'!$F$2:$F$4000=AC$5),'2016 E Maize Soil VWC'!$G$2:$G$4000)</f>
        <v>0.31243295271799104</v>
      </c>
      <c r="AD33" s="1" cm="1">
        <f t="array" ref="AD33">_xlfn.XLOOKUP(1,('2016 E Maize Soil VWC'!$C$2:$C$4000=$AA33)*('2016 E Maize Soil VWC'!$E$2:$E$4000=$AB33)*('2016 E Maize Soil VWC'!$F$2:$F$4000=AD$5),'2016 E Maize Soil VWC'!$G$2:$G$4000)</f>
        <v>0.31758507076696729</v>
      </c>
      <c r="AE33" s="1" cm="1">
        <f t="array" ref="AE33">_xlfn.XLOOKUP(1,('2016 E Maize Soil VWC'!$C$2:$C$4000=$AA33)*('2016 E Maize Soil VWC'!$E$2:$E$4000=$AB33)*('2016 E Maize Soil VWC'!$F$2:$F$4000=AE$5),'2016 E Maize Soil VWC'!$G$2:$G$4000)</f>
        <v>0.32431717168429619</v>
      </c>
      <c r="AF33" s="1" cm="1">
        <f t="array" ref="AF33">_xlfn.XLOOKUP(1,('2016 E Maize Soil VWC'!$C$2:$C$4000=$AA33)*('2016 E Maize Soil VWC'!$E$2:$E$4000=$AB33)*('2016 E Maize Soil VWC'!$F$2:$F$4000=AF$5),'2016 E Maize Soil VWC'!$G$2:$G$4000)</f>
        <v>0.32122590085491048</v>
      </c>
      <c r="AG33" s="1" cm="1">
        <f t="array" ref="AG33">_xlfn.XLOOKUP(1,('2016 E Maize Soil VWC'!$C$2:$C$4000=$AA33)*('2016 E Maize Soil VWC'!$E$2:$E$4000=$AB33)*('2016 E Maize Soil VWC'!$F$2:$F$4000=AG$5),'2016 E Maize Soil VWC'!$G$2:$G$4000)</f>
        <v>0.34542940653387877</v>
      </c>
      <c r="AH33" s="1" cm="1">
        <f t="array" ref="AH33">_xlfn.XLOOKUP(1,('2016 E Maize Soil VWC'!$C$2:$C$4000=$AA33)*('2016 E Maize Soil VWC'!$E$2:$E$4000=$AB33)*('2016 E Maize Soil VWC'!$F$2:$F$4000=AH$5),'2016 E Maize Soil VWC'!$G$2:$G$4000)</f>
        <v>0.33702572953843757</v>
      </c>
      <c r="AI33" s="1" cm="1">
        <f t="array" ref="AI33">_xlfn.XLOOKUP(1,('2016 E Maize Soil VWC'!$C$2:$C$4000=$AA33)*('2016 E Maize Soil VWC'!$E$2:$E$4000=$AB33)*('2016 E Maize Soil VWC'!$F$2:$F$4000=AI$5),'2016 E Maize Soil VWC'!$G$2:$G$4000)</f>
        <v>0.29912903900041243</v>
      </c>
      <c r="AJ33" s="1" cm="1">
        <f t="array" ref="AJ33">_xlfn.XLOOKUP(1,('2016 E Maize Soil VWC'!$C$2:$C$4000=$AA33)*('2016 E Maize Soil VWC'!$E$2:$E$4000=$AB33)*('2016 E Maize Soil VWC'!$F$2:$F$4000=AJ$5),'2016 E Maize Soil VWC'!$G$2:$G$4000)</f>
        <v>0.32321805316718122</v>
      </c>
      <c r="AK33" s="1" cm="1">
        <f t="array" ref="AK33">_xlfn.XLOOKUP(1,('2016 E Maize Soil VWC'!$C$2:$C$4000=$AA33)*('2016 E Maize Soil VWC'!$E$2:$E$4000=$AB33)*('2016 E Maize Soil VWC'!$F$2:$F$4000=AK$5),'2016 E Maize Soil VWC'!$G$2:$G$4000)</f>
        <v>0.31012022417156171</v>
      </c>
      <c r="AL33" s="1" cm="1">
        <f t="array" ref="AL33">_xlfn.XLOOKUP(1,('2016 E Maize Soil VWC'!$C$2:$C$4000=$AA33)*('2016 E Maize Soil VWC'!$E$2:$E$4000=$AB33)*('2016 E Maize Soil VWC'!$F$2:$F$4000=AL$5),'2016 E Maize Soil VWC'!$G$2:$G$4000)</f>
        <v>0.33638457707012048</v>
      </c>
      <c r="AM33" s="1" cm="1">
        <f t="array" ref="AM33">_xlfn.XLOOKUP(1,('2016 E Maize Soil VWC'!$C$2:$C$4000=$AA33)*('2016 E Maize Soil VWC'!$E$2:$E$4000=$AB33)*('2016 E Maize Soil VWC'!$F$2:$F$4000=AM$5),'2016 E Maize Soil VWC'!$G$2:$G$4000)</f>
        <v>0.30570085180066209</v>
      </c>
      <c r="AN33" s="1" cm="1">
        <f t="array" ref="AN33">_xlfn.XLOOKUP(1,('2016 E Maize Soil VWC'!$C$2:$C$4000=$AA33)*('2016 E Maize Soil VWC'!$E$2:$E$4000=$AB33)*('2016 E Maize Soil VWC'!$F$2:$F$4000=AN$5),'2016 E Maize Soil VWC'!$G$2:$G$4000)</f>
        <v>0.27957388871674266</v>
      </c>
      <c r="AO33" s="1" cm="1">
        <f t="array" ref="AO33">_xlfn.XLOOKUP(1,('2016 E Maize Soil VWC'!$C$2:$C$4000=$AA33)*('2016 E Maize Soil VWC'!$E$2:$E$4000=$AB33)*('2016 E Maize Soil VWC'!$F$2:$F$4000=AO$5),'2016 E Maize Soil VWC'!$G$2:$G$4000)</f>
        <v>0.20886393078234894</v>
      </c>
      <c r="AP33" s="1" cm="1">
        <f t="array" ref="AP33">_xlfn.XLOOKUP(1,('2016 E Maize Soil VWC'!$C$2:$C$4000=$AA33)*('2016 E Maize Soil VWC'!$E$2:$E$4000=$AB33)*('2016 E Maize Soil VWC'!$F$2:$F$4000=AP$5),'2016 E Maize Soil VWC'!$G$2:$G$4000)</f>
        <v>0.17666891755185749</v>
      </c>
      <c r="AQ33" s="1" cm="1">
        <f t="array" ref="AQ33">_xlfn.XLOOKUP(1,('2016 E Maize Soil VWC'!$C$2:$C$4000=$AA33)*('2016 E Maize Soil VWC'!$E$2:$E$4000=$AB33)*('2016 E Maize Soil VWC'!$F$2:$F$4000=AQ$5),'2016 E Maize Soil VWC'!$G$2:$G$4000)</f>
        <v>0.336064000835962</v>
      </c>
      <c r="AR33" s="1" cm="1">
        <f t="array" ref="AR33">_xlfn.XLOOKUP(1,('2016 E Maize Soil VWC'!$C$2:$C$4000=$AA33)*('2016 E Maize Soil VWC'!$E$2:$E$4000=$AB33)*('2016 E Maize Soil VWC'!$F$2:$F$4000=AR$5),'2016 E Maize Soil VWC'!$G$2:$G$4000)</f>
        <v>0.33125535732358413</v>
      </c>
      <c r="AS33" s="1" cm="1">
        <f t="array" ref="AS33">_xlfn.XLOOKUP(1,('2016 E Maize Soil VWC'!$C$2:$C$4000=$AA33)*('2016 E Maize Soil VWC'!$E$2:$E$4000=$AB33)*('2016 E Maize Soil VWC'!$F$2:$F$4000=AS$5),'2016 E Maize Soil VWC'!$G$2:$G$4000)</f>
        <v>0.33677384821159873</v>
      </c>
      <c r="AT33" s="1" cm="1">
        <f t="array" ref="AT33">_xlfn.XLOOKUP(1,('2016 E Maize Soil VWC'!$C$2:$C$4000=$AA33)*('2016 E Maize Soil VWC'!$E$2:$E$4000=$AB33)*('2016 E Maize Soil VWC'!$F$2:$F$4000=AT$5),'2016 E Maize Soil VWC'!$G$2:$G$4000)</f>
        <v>0.31025761398620111</v>
      </c>
      <c r="AU33" s="1" cm="1">
        <f t="array" ref="AU33">_xlfn.XLOOKUP(1,('2016 E Maize Soil VWC'!$C$2:$C$4000=$AA33)*('2016 E Maize Soil VWC'!$E$2:$E$4000=$AB33)*('2016 E Maize Soil VWC'!$F$2:$F$4000=AU$5),'2016 E Maize Soil VWC'!$G$2:$G$4000)</f>
        <v>0.32170676520614822</v>
      </c>
      <c r="AV33" s="1" cm="1">
        <f t="array" ref="AV33">_xlfn.XLOOKUP(1,('2016 E Maize Soil VWC'!$C$2:$C$4000=$AA33)*('2016 E Maize Soil VWC'!$E$2:$E$4000=$AB33)*('2016 E Maize Soil VWC'!$F$2:$F$4000=AV$5),'2016 E Maize Soil VWC'!$G$2:$G$4000)</f>
        <v>0.32170676520614822</v>
      </c>
      <c r="BM33" s="1">
        <v>161</v>
      </c>
      <c r="BN33" s="15">
        <v>42530</v>
      </c>
    </row>
    <row r="34" spans="25:66" x14ac:dyDescent="0.25">
      <c r="AA34" s="18">
        <f t="shared" si="7"/>
        <v>42530</v>
      </c>
      <c r="AB34" s="1">
        <f t="shared" si="8"/>
        <v>50</v>
      </c>
      <c r="AC34" s="1" cm="1">
        <f t="array" ref="AC34">_xlfn.XLOOKUP(1,('2016 E Maize Soil VWC'!$C$2:$C$4000=$AA34)*('2016 E Maize Soil VWC'!$E$2:$E$4000=$AB34)*('2016 E Maize Soil VWC'!$F$2:$F$4000=AC$5),'2016 E Maize Soil VWC'!$G$2:$G$4000)</f>
        <v>0.35048993137309542</v>
      </c>
      <c r="AD34" s="1" cm="1">
        <f t="array" ref="AD34">_xlfn.XLOOKUP(1,('2016 E Maize Soil VWC'!$C$2:$C$4000=$AA34)*('2016 E Maize Soil VWC'!$E$2:$E$4000=$AB34)*('2016 E Maize Soil VWC'!$F$2:$F$4000=AD$5),'2016 E Maize Soil VWC'!$G$2:$G$4000)</f>
        <v>0.35630610019282855</v>
      </c>
      <c r="AE34" s="1" cm="1">
        <f t="array" ref="AE34">_xlfn.XLOOKUP(1,('2016 E Maize Soil VWC'!$C$2:$C$4000=$AA34)*('2016 E Maize Soil VWC'!$E$2:$E$4000=$AB34)*('2016 E Maize Soil VWC'!$F$2:$F$4000=AE$5),'2016 E Maize Soil VWC'!$G$2:$G$4000)</f>
        <v>0.35229889726584707</v>
      </c>
      <c r="AF34" s="1" cm="1">
        <f t="array" ref="AF34">_xlfn.XLOOKUP(1,('2016 E Maize Soil VWC'!$C$2:$C$4000=$AA34)*('2016 E Maize Soil VWC'!$E$2:$E$4000=$AB34)*('2016 E Maize Soil VWC'!$F$2:$F$4000=AF$5),'2016 E Maize Soil VWC'!$G$2:$G$4000)</f>
        <v>0.34668881316807298</v>
      </c>
      <c r="AG34" s="1" cm="1">
        <f t="array" ref="AG34">_xlfn.XLOOKUP(1,('2016 E Maize Soil VWC'!$C$2:$C$4000=$AA34)*('2016 E Maize Soil VWC'!$E$2:$E$4000=$AB34)*('2016 E Maize Soil VWC'!$F$2:$F$4000=AG$5),'2016 E Maize Soil VWC'!$G$2:$G$4000)</f>
        <v>0.34797111810470704</v>
      </c>
      <c r="AH34" s="1" cm="1">
        <f t="array" ref="AH34">_xlfn.XLOOKUP(1,('2016 E Maize Soil VWC'!$C$2:$C$4000=$AA34)*('2016 E Maize Soil VWC'!$E$2:$E$4000=$AB34)*('2016 E Maize Soil VWC'!$F$2:$F$4000=AH$5),'2016 E Maize Soil VWC'!$G$2:$G$4000)</f>
        <v>0.34975718569501885</v>
      </c>
      <c r="AI34" s="1" cm="1">
        <f t="array" ref="AI34">_xlfn.XLOOKUP(1,('2016 E Maize Soil VWC'!$C$2:$C$4000=$AA34)*('2016 E Maize Soil VWC'!$E$2:$E$4000=$AB34)*('2016 E Maize Soil VWC'!$F$2:$F$4000=AI$5),'2016 E Maize Soil VWC'!$G$2:$G$4000)</f>
        <v>0.35811506608558019</v>
      </c>
      <c r="AJ34" s="1" cm="1">
        <f t="array" ref="AJ34">_xlfn.XLOOKUP(1,('2016 E Maize Soil VWC'!$C$2:$C$4000=$AA34)*('2016 E Maize Soil VWC'!$E$2:$E$4000=$AB34)*('2016 E Maize Soil VWC'!$F$2:$F$4000=AJ$5),'2016 E Maize Soil VWC'!$G$2:$G$4000)</f>
        <v>0.34508593199728033</v>
      </c>
      <c r="AK34" s="1" cm="1">
        <f t="array" ref="AK34">_xlfn.XLOOKUP(1,('2016 E Maize Soil VWC'!$C$2:$C$4000=$AA34)*('2016 E Maize Soil VWC'!$E$2:$E$4000=$AB34)*('2016 E Maize Soil VWC'!$F$2:$F$4000=AK$5),'2016 E Maize Soil VWC'!$G$2:$G$4000)</f>
        <v>0.35630610019282855</v>
      </c>
      <c r="AL34" s="1" cm="1">
        <f t="array" ref="AL34">_xlfn.XLOOKUP(1,('2016 E Maize Soil VWC'!$C$2:$C$4000=$AA34)*('2016 E Maize Soil VWC'!$E$2:$E$4000=$AB34)*('2016 E Maize Soil VWC'!$F$2:$F$4000=AL$5),'2016 E Maize Soil VWC'!$G$2:$G$4000)</f>
        <v>0.35893940497341642</v>
      </c>
      <c r="AM34" s="1" cm="1">
        <f t="array" ref="AM34">_xlfn.XLOOKUP(1,('2016 E Maize Soil VWC'!$C$2:$C$4000=$AA34)*('2016 E Maize Soil VWC'!$E$2:$E$4000=$AB34)*('2016 E Maize Soil VWC'!$F$2:$F$4000=AM$5),'2016 E Maize Soil VWC'!$G$2:$G$4000)</f>
        <v>0.35397047334395937</v>
      </c>
      <c r="AN34" s="1" cm="1">
        <f t="array" ref="AN34">_xlfn.XLOOKUP(1,('2016 E Maize Soil VWC'!$C$2:$C$4000=$AA34)*('2016 E Maize Soil VWC'!$E$2:$E$4000=$AB34)*('2016 E Maize Soil VWC'!$F$2:$F$4000=AN$5),'2016 E Maize Soil VWC'!$G$2:$G$4000)</f>
        <v>0.34506303369484048</v>
      </c>
      <c r="AO34" s="1" cm="1">
        <f t="array" ref="AO34">_xlfn.XLOOKUP(1,('2016 E Maize Soil VWC'!$C$2:$C$4000=$AA34)*('2016 E Maize Soil VWC'!$E$2:$E$4000=$AB34)*('2016 E Maize Soil VWC'!$F$2:$F$4000=AO$5),'2016 E Maize Soil VWC'!$G$2:$G$4000)</f>
        <v>0.31355496953754586</v>
      </c>
      <c r="AP34" s="1" cm="1">
        <f t="array" ref="AP34">_xlfn.XLOOKUP(1,('2016 E Maize Soil VWC'!$C$2:$C$4000=$AA34)*('2016 E Maize Soil VWC'!$E$2:$E$4000=$AB34)*('2016 E Maize Soil VWC'!$F$2:$F$4000=AP$5),'2016 E Maize Soil VWC'!$G$2:$G$4000)</f>
        <v>0.29926642881505183</v>
      </c>
      <c r="AQ34" s="1" cm="1">
        <f t="array" ref="AQ34">_xlfn.XLOOKUP(1,('2016 E Maize Soil VWC'!$C$2:$C$4000=$AA34)*('2016 E Maize Soil VWC'!$E$2:$E$4000=$AB34)*('2016 E Maize Soil VWC'!$F$2:$F$4000=AQ$5),'2016 E Maize Soil VWC'!$G$2:$G$4000)</f>
        <v>0.33672805160671893</v>
      </c>
      <c r="AR34" s="1" cm="1">
        <f t="array" ref="AR34">_xlfn.XLOOKUP(1,('2016 E Maize Soil VWC'!$C$2:$C$4000=$AA34)*('2016 E Maize Soil VWC'!$E$2:$E$4000=$AB34)*('2016 E Maize Soil VWC'!$F$2:$F$4000=AR$5),'2016 E Maize Soil VWC'!$G$2:$G$4000)</f>
        <v>0.34311667798744944</v>
      </c>
      <c r="AS34" s="1" cm="1">
        <f t="array" ref="AS34">_xlfn.XLOOKUP(1,('2016 E Maize Soil VWC'!$C$2:$C$4000=$AA34)*('2016 E Maize Soil VWC'!$E$2:$E$4000=$AB34)*('2016 E Maize Soil VWC'!$F$2:$F$4000=AS$5),'2016 E Maize Soil VWC'!$G$2:$G$4000)</f>
        <v>0.36191618429060268</v>
      </c>
      <c r="AT34" s="1" cm="1">
        <f t="array" ref="AT34">_xlfn.XLOOKUP(1,('2016 E Maize Soil VWC'!$C$2:$C$4000=$AA34)*('2016 E Maize Soil VWC'!$E$2:$E$4000=$AB34)*('2016 E Maize Soil VWC'!$F$2:$F$4000=AT$5),'2016 E Maize Soil VWC'!$G$2:$G$4000)</f>
        <v>0.34597896579243625</v>
      </c>
      <c r="AU34" s="1" cm="1">
        <f t="array" ref="AU34">_xlfn.XLOOKUP(1,('2016 E Maize Soil VWC'!$C$2:$C$4000=$AA34)*('2016 E Maize Soil VWC'!$E$2:$E$4000=$AB34)*('2016 E Maize Soil VWC'!$F$2:$F$4000=AU$5),'2016 E Maize Soil VWC'!$G$2:$G$4000)</f>
        <v>0.34884125359742307</v>
      </c>
      <c r="AV34" s="1" cm="1">
        <f t="array" ref="AV34">_xlfn.XLOOKUP(1,('2016 E Maize Soil VWC'!$C$2:$C$4000=$AA34)*('2016 E Maize Soil VWC'!$E$2:$E$4000=$AB34)*('2016 E Maize Soil VWC'!$F$2:$F$4000=AV$5),'2016 E Maize Soil VWC'!$G$2:$G$4000)</f>
        <v>0.34884125359742307</v>
      </c>
      <c r="BM34" s="1">
        <v>167</v>
      </c>
      <c r="BN34" s="1">
        <v>42536</v>
      </c>
    </row>
    <row r="35" spans="25:66" x14ac:dyDescent="0.25">
      <c r="AA35" s="18">
        <f t="shared" si="7"/>
        <v>42530</v>
      </c>
      <c r="AB35" s="1">
        <f t="shared" si="8"/>
        <v>70</v>
      </c>
      <c r="AC35" s="1" cm="1">
        <f t="array" ref="AC35">_xlfn.XLOOKUP(1,('2016 E Maize Soil VWC'!$C$2:$C$4000=$AA35)*('2016 E Maize Soil VWC'!$E$2:$E$4000=$AB35)*('2016 E Maize Soil VWC'!$F$2:$F$4000=AC$5),'2016 E Maize Soil VWC'!$G$2:$G$4000)</f>
        <v>0.34384942366552607</v>
      </c>
      <c r="AD35" s="1" cm="1">
        <f t="array" ref="AD35">_xlfn.XLOOKUP(1,('2016 E Maize Soil VWC'!$C$2:$C$4000=$AA35)*('2016 E Maize Soil VWC'!$E$2:$E$4000=$AB35)*('2016 E Maize Soil VWC'!$F$2:$F$4000=AD$5),'2016 E Maize Soil VWC'!$G$2:$G$4000)</f>
        <v>0.35122267705117205</v>
      </c>
      <c r="AE35" s="1" cm="1">
        <f t="array" ref="AE35">_xlfn.XLOOKUP(1,('2016 E Maize Soil VWC'!$C$2:$C$4000=$AA35)*('2016 E Maize Soil VWC'!$E$2:$E$4000=$AB35)*('2016 E Maize Soil VWC'!$F$2:$F$4000=AE$5),'2016 E Maize Soil VWC'!$G$2:$G$4000)</f>
        <v>0.34426159310944421</v>
      </c>
      <c r="AF35" s="1" cm="1">
        <f t="array" ref="AF35">_xlfn.XLOOKUP(1,('2016 E Maize Soil VWC'!$C$2:$C$4000=$AA35)*('2016 E Maize Soil VWC'!$E$2:$E$4000=$AB35)*('2016 E Maize Soil VWC'!$F$2:$F$4000=AF$5),'2016 E Maize Soil VWC'!$G$2:$G$4000)</f>
        <v>0.33844542428971103</v>
      </c>
      <c r="AG35" s="1" cm="1">
        <f t="array" ref="AG35">_xlfn.XLOOKUP(1,('2016 E Maize Soil VWC'!$C$2:$C$4000=$AA35)*('2016 E Maize Soil VWC'!$E$2:$E$4000=$AB35)*('2016 E Maize Soil VWC'!$F$2:$F$4000=AG$5),'2016 E Maize Soil VWC'!$G$2:$G$4000)</f>
        <v>0.34378072875820637</v>
      </c>
      <c r="AH35" s="1" cm="1">
        <f t="array" ref="AH35">_xlfn.XLOOKUP(1,('2016 E Maize Soil VWC'!$C$2:$C$4000=$AA35)*('2016 E Maize Soil VWC'!$E$2:$E$4000=$AB35)*('2016 E Maize Soil VWC'!$F$2:$F$4000=AH$5),'2016 E Maize Soil VWC'!$G$2:$G$4000)</f>
        <v>0.34201755947033452</v>
      </c>
      <c r="AI35" s="1" cm="1">
        <f t="array" ref="AI35">_xlfn.XLOOKUP(1,('2016 E Maize Soil VWC'!$C$2:$C$4000=$AA35)*('2016 E Maize Soil VWC'!$E$2:$E$4000=$AB35)*('2016 E Maize Soil VWC'!$F$2:$F$4000=AI$5),'2016 E Maize Soil VWC'!$G$2:$G$4000)</f>
        <v>0.34291059326549039</v>
      </c>
      <c r="AJ35" s="1" cm="1">
        <f t="array" ref="AJ35">_xlfn.XLOOKUP(1,('2016 E Maize Soil VWC'!$C$2:$C$4000=$AA35)*('2016 E Maize Soil VWC'!$E$2:$E$4000=$AB35)*('2016 E Maize Soil VWC'!$F$2:$F$4000=AJ$5),'2016 E Maize Soil VWC'!$G$2:$G$4000)</f>
        <v>0.34270450854353135</v>
      </c>
      <c r="AK35" s="1" cm="1">
        <f t="array" ref="AK35">_xlfn.XLOOKUP(1,('2016 E Maize Soil VWC'!$C$2:$C$4000=$AA35)*('2016 E Maize Soil VWC'!$E$2:$E$4000=$AB35)*('2016 E Maize Soil VWC'!$F$2:$F$4000=AK$5),'2016 E Maize Soil VWC'!$G$2:$G$4000)</f>
        <v>0.34135350869957759</v>
      </c>
      <c r="AL35" s="1" cm="1">
        <f t="array" ref="AL35">_xlfn.XLOOKUP(1,('2016 E Maize Soil VWC'!$C$2:$C$4000=$AA35)*('2016 E Maize Soil VWC'!$E$2:$E$4000=$AB35)*('2016 E Maize Soil VWC'!$F$2:$F$4000=AL$5),'2016 E Maize Soil VWC'!$G$2:$G$4000)</f>
        <v>0.35087920251457366</v>
      </c>
      <c r="AM35" s="1" cm="1">
        <f t="array" ref="AM35">_xlfn.XLOOKUP(1,('2016 E Maize Soil VWC'!$C$2:$C$4000=$AA35)*('2016 E Maize Soil VWC'!$E$2:$E$4000=$AB35)*('2016 E Maize Soil VWC'!$F$2:$F$4000=AM$5),'2016 E Maize Soil VWC'!$G$2:$G$4000)</f>
        <v>0.34192596626057498</v>
      </c>
      <c r="AN35" s="1" cm="1">
        <f t="array" ref="AN35">_xlfn.XLOOKUP(1,('2016 E Maize Soil VWC'!$C$2:$C$4000=$AA35)*('2016 E Maize Soil VWC'!$E$2:$E$4000=$AB35)*('2016 E Maize Soil VWC'!$F$2:$F$4000=AN$5),'2016 E Maize Soil VWC'!$G$2:$G$4000)</f>
        <v>0.33620139065060134</v>
      </c>
      <c r="AO35" s="1" cm="1">
        <f t="array" ref="AO35">_xlfn.XLOOKUP(1,('2016 E Maize Soil VWC'!$C$2:$C$4000=$AA35)*('2016 E Maize Soil VWC'!$E$2:$E$4000=$AB35)*('2016 E Maize Soil VWC'!$F$2:$F$4000=AO$5),'2016 E Maize Soil VWC'!$G$2:$G$4000)</f>
        <v>0.33143854374310333</v>
      </c>
      <c r="AP35" s="1" cm="1">
        <f t="array" ref="AP35">_xlfn.XLOOKUP(1,('2016 E Maize Soil VWC'!$C$2:$C$4000=$AA35)*('2016 E Maize Soil VWC'!$E$2:$E$4000=$AB35)*('2016 E Maize Soil VWC'!$F$2:$F$4000=AP$5),'2016 E Maize Soil VWC'!$G$2:$G$4000)</f>
        <v>0.3407581528361403</v>
      </c>
      <c r="AQ35" s="1" cm="1">
        <f t="array" ref="AQ35">_xlfn.XLOOKUP(1,('2016 E Maize Soil VWC'!$C$2:$C$4000=$AA35)*('2016 E Maize Soil VWC'!$E$2:$E$4000=$AB35)*('2016 E Maize Soil VWC'!$F$2:$F$4000=AQ$5),'2016 E Maize Soil VWC'!$G$2:$G$4000)</f>
        <v>0.32875944235763571</v>
      </c>
      <c r="AR35" s="1" cm="1">
        <f t="array" ref="AR35">_xlfn.XLOOKUP(1,('2016 E Maize Soil VWC'!$C$2:$C$4000=$AA35)*('2016 E Maize Soil VWC'!$E$2:$E$4000=$AB35)*('2016 E Maize Soil VWC'!$F$2:$F$4000=AR$5),'2016 E Maize Soil VWC'!$G$2:$G$4000)</f>
        <v>0.33178201827970172</v>
      </c>
      <c r="AS35" s="1" cm="1">
        <f t="array" ref="AS35">_xlfn.XLOOKUP(1,('2016 E Maize Soil VWC'!$C$2:$C$4000=$AA35)*('2016 E Maize Soil VWC'!$E$2:$E$4000=$AB35)*('2016 E Maize Soil VWC'!$F$2:$F$4000=AS$5),'2016 E Maize Soil VWC'!$G$2:$G$4000)</f>
        <v>0.34311667798744944</v>
      </c>
      <c r="AT35" s="1" cm="1">
        <f t="array" ref="AT35">_xlfn.XLOOKUP(1,('2016 E Maize Soil VWC'!$C$2:$C$4000=$AA35)*('2016 E Maize Soil VWC'!$E$2:$E$4000=$AB35)*('2016 E Maize Soil VWC'!$F$2:$F$4000=AT$5),'2016 E Maize Soil VWC'!$G$2:$G$4000)</f>
        <v>0.33036232352842831</v>
      </c>
      <c r="AU35" s="1" cm="1">
        <f t="array" ref="AU35">_xlfn.XLOOKUP(1,('2016 E Maize Soil VWC'!$C$2:$C$4000=$AA35)*('2016 E Maize Soil VWC'!$E$2:$E$4000=$AB35)*('2016 E Maize Soil VWC'!$F$2:$F$4000=AU$5),'2016 E Maize Soil VWC'!$G$2:$G$4000)</f>
        <v>0.3391781699677876</v>
      </c>
      <c r="AV35" s="1" cm="1">
        <f t="array" ref="AV35">_xlfn.XLOOKUP(1,('2016 E Maize Soil VWC'!$C$2:$C$4000=$AA35)*('2016 E Maize Soil VWC'!$E$2:$E$4000=$AB35)*('2016 E Maize Soil VWC'!$F$2:$F$4000=AV$5),'2016 E Maize Soil VWC'!$G$2:$G$4000)</f>
        <v>0.3391781699677876</v>
      </c>
      <c r="BM35" s="1">
        <v>173</v>
      </c>
      <c r="BN35" s="1">
        <v>42542</v>
      </c>
    </row>
    <row r="36" spans="25:66" x14ac:dyDescent="0.25">
      <c r="AA36" s="18">
        <f t="shared" si="7"/>
        <v>42530</v>
      </c>
      <c r="AB36" s="1">
        <f t="shared" si="8"/>
        <v>90</v>
      </c>
      <c r="AC36" s="1" cm="1">
        <f t="array" ref="AC36">_xlfn.XLOOKUP(1,('2016 E Maize Soil VWC'!$C$2:$C$4000=$AA36)*('2016 E Maize Soil VWC'!$E$2:$E$4000=$AB36)*('2016 E Maize Soil VWC'!$F$2:$F$4000=AC$5),'2016 E Maize Soil VWC'!$G$2:$G$4000)</f>
        <v>0.34149089851421693</v>
      </c>
      <c r="AD36" s="1" cm="1">
        <f t="array" ref="AD36">_xlfn.XLOOKUP(1,('2016 E Maize Soil VWC'!$C$2:$C$4000=$AA36)*('2016 E Maize Soil VWC'!$E$2:$E$4000=$AB36)*('2016 E Maize Soil VWC'!$F$2:$F$4000=AD$5),'2016 E Maize Soil VWC'!$G$2:$G$4000)</f>
        <v>0.34091844095321955</v>
      </c>
      <c r="AE36" s="1" cm="1">
        <f t="array" ref="AE36">_xlfn.XLOOKUP(1,('2016 E Maize Soil VWC'!$C$2:$C$4000=$AA36)*('2016 E Maize Soil VWC'!$E$2:$E$4000=$AB36)*('2016 E Maize Soil VWC'!$F$2:$F$4000=AE$5),'2016 E Maize Soil VWC'!$G$2:$G$4000)</f>
        <v>0.33386576380173216</v>
      </c>
      <c r="AF36" s="1" cm="1">
        <f t="array" ref="AF36">_xlfn.XLOOKUP(1,('2016 E Maize Soil VWC'!$C$2:$C$4000=$AA36)*('2016 E Maize Soil VWC'!$E$2:$E$4000=$AB36)*('2016 E Maize Soil VWC'!$F$2:$F$4000=AF$5),'2016 E Maize Soil VWC'!$G$2:$G$4000)</f>
        <v>0.3377355769140743</v>
      </c>
      <c r="AG36" s="1" cm="1">
        <f t="array" ref="AG36">_xlfn.XLOOKUP(1,('2016 E Maize Soil VWC'!$C$2:$C$4000=$AA36)*('2016 E Maize Soil VWC'!$E$2:$E$4000=$AB36)*('2016 E Maize Soil VWC'!$F$2:$F$4000=AG$5),'2016 E Maize Soil VWC'!$G$2:$G$4000)</f>
        <v>0.33400315361637145</v>
      </c>
      <c r="AH36" s="1" cm="1">
        <f t="array" ref="AH36">_xlfn.XLOOKUP(1,('2016 E Maize Soil VWC'!$C$2:$C$4000=$AA36)*('2016 E Maize Soil VWC'!$E$2:$E$4000=$AB36)*('2016 E Maize Soil VWC'!$F$2:$F$4000=AH$5),'2016 E Maize Soil VWC'!$G$2:$G$4000)</f>
        <v>0.32667569683560527</v>
      </c>
      <c r="AI36" s="1" cm="1">
        <f t="array" ref="AI36">_xlfn.XLOOKUP(1,('2016 E Maize Soil VWC'!$C$2:$C$4000=$AA36)*('2016 E Maize Soil VWC'!$E$2:$E$4000=$AB36)*('2016 E Maize Soil VWC'!$F$2:$F$4000=AI$5),'2016 E Maize Soil VWC'!$G$2:$G$4000)</f>
        <v>0.34007120376294353</v>
      </c>
      <c r="AJ36" s="1" cm="1">
        <f t="array" ref="AJ36">_xlfn.XLOOKUP(1,('2016 E Maize Soil VWC'!$C$2:$C$4000=$AA36)*('2016 E Maize Soil VWC'!$E$2:$E$4000=$AB36)*('2016 E Maize Soil VWC'!$F$2:$F$4000=AJ$5),'2016 E Maize Soil VWC'!$G$2:$G$4000)</f>
        <v>0.33258345886509805</v>
      </c>
      <c r="AK36" s="1" cm="1">
        <f t="array" ref="AK36">_xlfn.XLOOKUP(1,('2016 E Maize Soil VWC'!$C$2:$C$4000=$AA36)*('2016 E Maize Soil VWC'!$E$2:$E$4000=$AB36)*('2016 E Maize Soil VWC'!$F$2:$F$4000=AK$5),'2016 E Maize Soil VWC'!$G$2:$G$4000)</f>
        <v>0.34025439018246267</v>
      </c>
      <c r="AL36" s="1" cm="1">
        <f t="array" ref="AL36">_xlfn.XLOOKUP(1,('2016 E Maize Soil VWC'!$C$2:$C$4000=$AA36)*('2016 E Maize Soil VWC'!$E$2:$E$4000=$AB36)*('2016 E Maize Soil VWC'!$F$2:$F$4000=AL$5),'2016 E Maize Soil VWC'!$G$2:$G$4000)</f>
        <v>0.34066655962638076</v>
      </c>
      <c r="AM36" s="1" cm="1">
        <f t="array" ref="AM36">_xlfn.XLOOKUP(1,('2016 E Maize Soil VWC'!$C$2:$C$4000=$AA36)*('2016 E Maize Soil VWC'!$E$2:$E$4000=$AB36)*('2016 E Maize Soil VWC'!$F$2:$F$4000=AM$5),'2016 E Maize Soil VWC'!$G$2:$G$4000)</f>
        <v>0.33565183139204385</v>
      </c>
      <c r="AN36" s="1" cm="1">
        <f t="array" ref="AN36">_xlfn.XLOOKUP(1,('2016 E Maize Soil VWC'!$C$2:$C$4000=$AA36)*('2016 E Maize Soil VWC'!$E$2:$E$4000=$AB36)*('2016 E Maize Soil VWC'!$F$2:$F$4000=AN$5),'2016 E Maize Soil VWC'!$G$2:$G$4000)</f>
        <v>0.33631588216280084</v>
      </c>
      <c r="AO36" s="1" cm="1">
        <f t="array" ref="AO36">_xlfn.XLOOKUP(1,('2016 E Maize Soil VWC'!$C$2:$C$4000=$AA36)*('2016 E Maize Soil VWC'!$E$2:$E$4000=$AB36)*('2016 E Maize Soil VWC'!$F$2:$F$4000=AO$5),'2016 E Maize Soil VWC'!$G$2:$G$4000)</f>
        <v>0.33118666241626449</v>
      </c>
      <c r="AP36" s="1" cm="1">
        <f t="array" ref="AP36">_xlfn.XLOOKUP(1,('2016 E Maize Soil VWC'!$C$2:$C$4000=$AA36)*('2016 E Maize Soil VWC'!$E$2:$E$4000=$AB36)*('2016 E Maize Soil VWC'!$F$2:$F$4000=AP$5),'2016 E Maize Soil VWC'!$G$2:$G$4000)</f>
        <v>0.32530179868921166</v>
      </c>
      <c r="AQ36" s="1" cm="1">
        <f t="array" ref="AQ36">_xlfn.XLOOKUP(1,('2016 E Maize Soil VWC'!$C$2:$C$4000=$AA36)*('2016 E Maize Soil VWC'!$E$2:$E$4000=$AB36)*('2016 E Maize Soil VWC'!$F$2:$F$4000=AQ$5),'2016 E Maize Soil VWC'!$G$2:$G$4000)</f>
        <v>0.32365312091353926</v>
      </c>
      <c r="AR36" s="1" cm="1">
        <f t="array" ref="AR36">_xlfn.XLOOKUP(1,('2016 E Maize Soil VWC'!$C$2:$C$4000=$AA36)*('2016 E Maize Soil VWC'!$E$2:$E$4000=$AB36)*('2016 E Maize Soil VWC'!$F$2:$F$4000=AR$5),'2016 E Maize Soil VWC'!$G$2:$G$4000)</f>
        <v>0.32679018834780477</v>
      </c>
      <c r="AS36" s="1" cm="1">
        <f t="array" ref="AS36">_xlfn.XLOOKUP(1,('2016 E Maize Soil VWC'!$C$2:$C$4000=$AA36)*('2016 E Maize Soil VWC'!$E$2:$E$4000=$AB36)*('2016 E Maize Soil VWC'!$F$2:$F$4000=AS$5),'2016 E Maize Soil VWC'!$G$2:$G$4000)</f>
        <v>0.3375981870994349</v>
      </c>
      <c r="AT36" s="1" cm="1">
        <f t="array" ref="AT36">_xlfn.XLOOKUP(1,('2016 E Maize Soil VWC'!$C$2:$C$4000=$AA36)*('2016 E Maize Soil VWC'!$E$2:$E$4000=$AB36)*('2016 E Maize Soil VWC'!$F$2:$F$4000=AT$5),'2016 E Maize Soil VWC'!$G$2:$G$4000)</f>
        <v>0.33276664528461719</v>
      </c>
      <c r="AU36" s="1" cm="1">
        <f t="array" ref="AU36">_xlfn.XLOOKUP(1,('2016 E Maize Soil VWC'!$C$2:$C$4000=$AA36)*('2016 E Maize Soil VWC'!$E$2:$E$4000=$AB36)*('2016 E Maize Soil VWC'!$F$2:$F$4000=AU$5),'2016 E Maize Soil VWC'!$G$2:$G$4000)</f>
        <v>0.33100347599674534</v>
      </c>
      <c r="AV36" s="1" cm="1">
        <f t="array" ref="AV36">_xlfn.XLOOKUP(1,('2016 E Maize Soil VWC'!$C$2:$C$4000=$AA36)*('2016 E Maize Soil VWC'!$E$2:$E$4000=$AB36)*('2016 E Maize Soil VWC'!$F$2:$F$4000=AV$5),'2016 E Maize Soil VWC'!$G$2:$G$4000)</f>
        <v>0.33100347599674534</v>
      </c>
      <c r="BM36" s="1">
        <v>180</v>
      </c>
      <c r="BN36" s="1">
        <v>42549</v>
      </c>
    </row>
    <row r="37" spans="25:66" x14ac:dyDescent="0.25">
      <c r="AA37" s="18">
        <f t="shared" si="7"/>
        <v>42530</v>
      </c>
      <c r="AB37" s="1">
        <f t="shared" si="8"/>
        <v>110</v>
      </c>
      <c r="AC37" s="1" cm="1">
        <f t="array" ref="AC37">_xlfn.XLOOKUP(1,('2016 E Maize Soil VWC'!$C$2:$C$4000=$AA37)*('2016 E Maize Soil VWC'!$E$2:$E$4000=$AB37)*('2016 E Maize Soil VWC'!$F$2:$F$4000=AC$5),'2016 E Maize Soil VWC'!$G$2:$G$4000)</f>
        <v>0.33842252598727113</v>
      </c>
      <c r="AD37" s="1" cm="1">
        <f t="array" ref="AD37">_xlfn.XLOOKUP(1,('2016 E Maize Soil VWC'!$C$2:$C$4000=$AA37)*('2016 E Maize Soil VWC'!$E$2:$E$4000=$AB37)*('2016 E Maize Soil VWC'!$F$2:$F$4000=AD$5),'2016 E Maize Soil VWC'!$G$2:$G$4000)</f>
        <v>0.34068945792882066</v>
      </c>
      <c r="AE37" s="1" cm="1">
        <f t="array" ref="AE37">_xlfn.XLOOKUP(1,('2016 E Maize Soil VWC'!$C$2:$C$4000=$AA37)*('2016 E Maize Soil VWC'!$E$2:$E$4000=$AB37)*('2016 E Maize Soil VWC'!$F$2:$F$4000=AE$5),'2016 E Maize Soil VWC'!$G$2:$G$4000)</f>
        <v>0.32498122245505312</v>
      </c>
      <c r="AF37" s="1" cm="1">
        <f t="array" ref="AF37">_xlfn.XLOOKUP(1,('2016 E Maize Soil VWC'!$C$2:$C$4000=$AA37)*('2016 E Maize Soil VWC'!$E$2:$E$4000=$AB37)*('2016 E Maize Soil VWC'!$F$2:$F$4000=AF$5),'2016 E Maize Soil VWC'!$G$2:$G$4000)</f>
        <v>0.33677384821159873</v>
      </c>
      <c r="AG37" s="1" cm="1">
        <f t="array" ref="AG37">_xlfn.XLOOKUP(1,('2016 E Maize Soil VWC'!$C$2:$C$4000=$AA37)*('2016 E Maize Soil VWC'!$E$2:$E$4000=$AB37)*('2016 E Maize Soil VWC'!$F$2:$F$4000=AG$5),'2016 E Maize Soil VWC'!$G$2:$G$4000)</f>
        <v>0.33173622167482197</v>
      </c>
      <c r="AH37" s="1" cm="1">
        <f t="array" ref="AH37">_xlfn.XLOOKUP(1,('2016 E Maize Soil VWC'!$C$2:$C$4000=$AA37)*('2016 E Maize Soil VWC'!$E$2:$E$4000=$AB37)*('2016 E Maize Soil VWC'!$F$2:$F$4000=AH$5),'2016 E Maize Soil VWC'!$G$2:$G$4000)</f>
        <v>0.32305776505010203</v>
      </c>
      <c r="AI37" s="1" cm="1">
        <f t="array" ref="AI37">_xlfn.XLOOKUP(1,('2016 E Maize Soil VWC'!$C$2:$C$4000=$AA37)*('2016 E Maize Soil VWC'!$E$2:$E$4000=$AB37)*('2016 E Maize Soil VWC'!$F$2:$F$4000=AI$5),'2016 E Maize Soil VWC'!$G$2:$G$4000)</f>
        <v>0.33968193262146529</v>
      </c>
      <c r="AJ37" s="1" cm="1">
        <f t="array" ref="AJ37">_xlfn.XLOOKUP(1,('2016 E Maize Soil VWC'!$C$2:$C$4000=$AA37)*('2016 E Maize Soil VWC'!$E$2:$E$4000=$AB37)*('2016 E Maize Soil VWC'!$F$2:$F$4000=AJ$5),'2016 E Maize Soil VWC'!$G$2:$G$4000)</f>
        <v>0.33826223787019183</v>
      </c>
      <c r="AK37" s="1" cm="1">
        <f t="array" ref="AK37">_xlfn.XLOOKUP(1,('2016 E Maize Soil VWC'!$C$2:$C$4000=$AA37)*('2016 E Maize Soil VWC'!$E$2:$E$4000=$AB37)*('2016 E Maize Soil VWC'!$F$2:$F$4000=AK$5),'2016 E Maize Soil VWC'!$G$2:$G$4000)</f>
        <v>0.33393445870905181</v>
      </c>
      <c r="AL37" s="1" cm="1">
        <f t="array" ref="AL37">_xlfn.XLOOKUP(1,('2016 E Maize Soil VWC'!$C$2:$C$4000=$AA37)*('2016 E Maize Soil VWC'!$E$2:$E$4000=$AB37)*('2016 E Maize Soil VWC'!$F$2:$F$4000=AL$5),'2016 E Maize Soil VWC'!$G$2:$G$4000)</f>
        <v>0.34112452567517859</v>
      </c>
      <c r="AM37" s="1" cm="1">
        <f t="array" ref="AM37">_xlfn.XLOOKUP(1,('2016 E Maize Soil VWC'!$C$2:$C$4000=$AA37)*('2016 E Maize Soil VWC'!$E$2:$E$4000=$AB37)*('2016 E Maize Soil VWC'!$F$2:$F$4000=AM$5),'2016 E Maize Soil VWC'!$G$2:$G$4000)</f>
        <v>0.32820988309907823</v>
      </c>
      <c r="AN37" s="1" cm="1">
        <f t="array" ref="AN37">_xlfn.XLOOKUP(1,('2016 E Maize Soil VWC'!$C$2:$C$4000=$AA37)*('2016 E Maize Soil VWC'!$E$2:$E$4000=$AB37)*('2016 E Maize Soil VWC'!$F$2:$F$4000=AN$5),'2016 E Maize Soil VWC'!$G$2:$G$4000)</f>
        <v>0.34144510190933713</v>
      </c>
      <c r="AO37" s="1" cm="1">
        <f t="array" ref="AO37">_xlfn.XLOOKUP(1,('2016 E Maize Soil VWC'!$C$2:$C$4000=$AA37)*('2016 E Maize Soil VWC'!$E$2:$E$4000=$AB37)*('2016 E Maize Soil VWC'!$F$2:$F$4000=AO$5),'2016 E Maize Soil VWC'!$G$2:$G$4000)</f>
        <v>0.33393445870905181</v>
      </c>
      <c r="AP37" s="1" cm="1">
        <f t="array" ref="AP37">_xlfn.XLOOKUP(1,('2016 E Maize Soil VWC'!$C$2:$C$4000=$AA37)*('2016 E Maize Soil VWC'!$E$2:$E$4000=$AB37)*('2016 E Maize Soil VWC'!$F$2:$F$4000=AP$5),'2016 E Maize Soil VWC'!$G$2:$G$4000)</f>
        <v>0.3222334261622658</v>
      </c>
      <c r="AQ37" s="1" cm="1">
        <f t="array" ref="AQ37">_xlfn.XLOOKUP(1,('2016 E Maize Soil VWC'!$C$2:$C$4000=$AA37)*('2016 E Maize Soil VWC'!$E$2:$E$4000=$AB37)*('2016 E Maize Soil VWC'!$F$2:$F$4000=AQ$5),'2016 E Maize Soil VWC'!$G$2:$G$4000)</f>
        <v>0.33132405223090389</v>
      </c>
      <c r="AR37" s="1" cm="1">
        <f t="array" ref="AR37">_xlfn.XLOOKUP(1,('2016 E Maize Soil VWC'!$C$2:$C$4000=$AA37)*('2016 E Maize Soil VWC'!$E$2:$E$4000=$AB37)*('2016 E Maize Soil VWC'!$F$2:$F$4000=AR$5),'2016 E Maize Soil VWC'!$G$2:$G$4000)</f>
        <v>0.32138618897198967</v>
      </c>
      <c r="AS37" s="1" cm="1">
        <f t="array" ref="AS37">_xlfn.XLOOKUP(1,('2016 E Maize Soil VWC'!$C$2:$C$4000=$AA37)*('2016 E Maize Soil VWC'!$E$2:$E$4000=$AB37)*('2016 E Maize Soil VWC'!$F$2:$F$4000=AS$5),'2016 E Maize Soil VWC'!$G$2:$G$4000)</f>
        <v>0.33636167876768058</v>
      </c>
      <c r="AT37" s="1" cm="1">
        <f t="array" ref="AT37">_xlfn.XLOOKUP(1,('2016 E Maize Soil VWC'!$C$2:$C$4000=$AA37)*('2016 E Maize Soil VWC'!$E$2:$E$4000=$AB37)*('2016 E Maize Soil VWC'!$F$2:$F$4000=AT$5),'2016 E Maize Soil VWC'!$G$2:$G$4000)</f>
        <v>0.33521676364568587</v>
      </c>
      <c r="AU37" s="1" cm="1">
        <f t="array" ref="AU37">_xlfn.XLOOKUP(1,('2016 E Maize Soil VWC'!$C$2:$C$4000=$AA37)*('2016 E Maize Soil VWC'!$E$2:$E$4000=$AB37)*('2016 E Maize Soil VWC'!$F$2:$F$4000=AU$5),'2016 E Maize Soil VWC'!$G$2:$G$4000)</f>
        <v>0.33963613601658549</v>
      </c>
      <c r="AV37" s="1" cm="1">
        <f t="array" ref="AV37">_xlfn.XLOOKUP(1,('2016 E Maize Soil VWC'!$C$2:$C$4000=$AA37)*('2016 E Maize Soil VWC'!$E$2:$E$4000=$AB37)*('2016 E Maize Soil VWC'!$F$2:$F$4000=AV$5),'2016 E Maize Soil VWC'!$G$2:$G$4000)</f>
        <v>0.33963613601658549</v>
      </c>
      <c r="BM37" s="1">
        <v>193</v>
      </c>
      <c r="BN37" s="1">
        <v>42562</v>
      </c>
    </row>
    <row r="38" spans="25:66" x14ac:dyDescent="0.25">
      <c r="AA38" s="18">
        <f t="shared" si="7"/>
        <v>42530</v>
      </c>
      <c r="AB38" s="1">
        <f t="shared" si="8"/>
        <v>130</v>
      </c>
      <c r="AC38" s="1" cm="1">
        <f t="array" ref="AC38">_xlfn.XLOOKUP(1,('2016 E Maize Soil VWC'!$C$2:$C$4000=$AA38)*('2016 E Maize Soil VWC'!$E$2:$E$4000=$AB38)*('2016 E Maize Soil VWC'!$F$2:$F$4000=AC$5),'2016 E Maize Soil VWC'!$G$2:$G$4000)</f>
        <v>0.31420694214028561</v>
      </c>
      <c r="AD38" s="1" cm="1">
        <f t="array" ref="AD38">_xlfn.XLOOKUP(1,('2016 E Maize Soil VWC'!$C$2:$C$4000=$AA38)*('2016 E Maize Soil VWC'!$E$2:$E$4000=$AB38)*('2016 E Maize Soil VWC'!$F$2:$F$4000=AD$5),'2016 E Maize Soil VWC'!$G$2:$G$4000)</f>
        <v>0.31300014282688904</v>
      </c>
      <c r="AE38" s="1" cm="1">
        <f t="array" ref="AE38">_xlfn.XLOOKUP(1,('2016 E Maize Soil VWC'!$C$2:$C$4000=$AA38)*('2016 E Maize Soil VWC'!$E$2:$E$4000=$AB38)*('2016 E Maize Soil VWC'!$F$2:$F$4000=AE$5),'2016 E Maize Soil VWC'!$G$2:$G$4000)</f>
        <v>0.30468879916849656</v>
      </c>
      <c r="AF38" s="1" cm="1">
        <f t="array" ref="AF38">_xlfn.XLOOKUP(1,('2016 E Maize Soil VWC'!$C$2:$C$4000=$AA38)*('2016 E Maize Soil VWC'!$E$2:$E$4000=$AB38)*('2016 E Maize Soil VWC'!$F$2:$F$4000=AF$5),'2016 E Maize Soil VWC'!$G$2:$G$4000)</f>
        <v>0.3004455370665538</v>
      </c>
      <c r="AG38" s="1" cm="1">
        <f t="array" ref="AG38">_xlfn.XLOOKUP(1,('2016 E Maize Soil VWC'!$C$2:$C$4000=$AA38)*('2016 E Maize Soil VWC'!$E$2:$E$4000=$AB38)*('2016 E Maize Soil VWC'!$F$2:$F$4000=AG$5),'2016 E Maize Soil VWC'!$G$2:$G$4000)</f>
        <v>0.31115101484668461</v>
      </c>
      <c r="AH38" s="1" cm="1">
        <f t="array" ref="AH38">_xlfn.XLOOKUP(1,('2016 E Maize Soil VWC'!$C$2:$C$4000=$AA38)*('2016 E Maize Soil VWC'!$E$2:$E$4000=$AB38)*('2016 E Maize Soil VWC'!$F$2:$F$4000=AH$5),'2016 E Maize Soil VWC'!$G$2:$G$4000)</f>
        <v>0.30620703056276966</v>
      </c>
      <c r="AI38" s="1" cm="1">
        <f t="array" ref="AI38">_xlfn.XLOOKUP(1,('2016 E Maize Soil VWC'!$C$2:$C$4000=$AA38)*('2016 E Maize Soil VWC'!$E$2:$E$4000=$AB38)*('2016 E Maize Soil VWC'!$F$2:$F$4000=AI$5),'2016 E Maize Soil VWC'!$G$2:$G$4000)</f>
        <v>0.31000260904845239</v>
      </c>
      <c r="AJ38" s="1" cm="1">
        <f t="array" ref="AJ38">_xlfn.XLOOKUP(1,('2016 E Maize Soil VWC'!$C$2:$C$4000=$AA38)*('2016 E Maize Soil VWC'!$E$2:$E$4000=$AB38)*('2016 E Maize Soil VWC'!$F$2:$F$4000=AJ$5),'2016 E Maize Soil VWC'!$G$2:$G$4000)</f>
        <v>0.34190493283324241</v>
      </c>
      <c r="AK38" s="1" cm="1">
        <f t="array" ref="AK38">_xlfn.XLOOKUP(1,('2016 E Maize Soil VWC'!$C$2:$C$4000=$AA38)*('2016 E Maize Soil VWC'!$E$2:$E$4000=$AB38)*('2016 E Maize Soil VWC'!$F$2:$F$4000=AK$5),'2016 E Maize Soil VWC'!$G$2:$G$4000)</f>
        <v>0.30733597185594708</v>
      </c>
      <c r="AL38" s="1" cm="1">
        <f t="array" ref="AL38">_xlfn.XLOOKUP(1,('2016 E Maize Soil VWC'!$C$2:$C$4000=$AA38)*('2016 E Maize Soil VWC'!$E$2:$E$4000=$AB38)*('2016 E Maize Soil VWC'!$F$2:$F$4000=AL$5),'2016 E Maize Soil VWC'!$G$2:$G$4000)</f>
        <v>0.31759376601981792</v>
      </c>
      <c r="AM38" s="1" cm="1">
        <f t="array" ref="AM38">_xlfn.XLOOKUP(1,('2016 E Maize Soil VWC'!$C$2:$C$4000=$AA38)*('2016 E Maize Soil VWC'!$E$2:$E$4000=$AB38)*('2016 E Maize Soil VWC'!$F$2:$F$4000=AM$5),'2016 E Maize Soil VWC'!$G$2:$G$4000)</f>
        <v>0.30618756605771486</v>
      </c>
      <c r="AN38" s="1" cm="1">
        <f t="array" ref="AN38">_xlfn.XLOOKUP(1,('2016 E Maize Soil VWC'!$C$2:$C$4000=$AA38)*('2016 E Maize Soil VWC'!$E$2:$E$4000=$AB38)*('2016 E Maize Soil VWC'!$F$2:$F$4000=AN$5),'2016 E Maize Soil VWC'!$G$2:$G$4000)</f>
        <v>0.29768157734877454</v>
      </c>
      <c r="AO38" s="1" cm="1">
        <f t="array" ref="AO38">_xlfn.XLOOKUP(1,('2016 E Maize Soil VWC'!$C$2:$C$4000=$AA38)*('2016 E Maize Soil VWC'!$E$2:$E$4000=$AB38)*('2016 E Maize Soil VWC'!$F$2:$F$4000=AO$5),'2016 E Maize Soil VWC'!$G$2:$G$4000)</f>
        <v>0.31311692985721773</v>
      </c>
      <c r="AP38" s="1" cm="1">
        <f t="array" ref="AP38">_xlfn.XLOOKUP(1,('2016 E Maize Soil VWC'!$C$2:$C$4000=$AA38)*('2016 E Maize Soil VWC'!$E$2:$E$4000=$AB38)*('2016 E Maize Soil VWC'!$F$2:$F$4000=AP$5),'2016 E Maize Soil VWC'!$G$2:$G$4000)</f>
        <v>0.3143237291706143</v>
      </c>
      <c r="AQ38" s="1" cm="1">
        <f t="array" ref="AQ38">_xlfn.XLOOKUP(1,('2016 E Maize Soil VWC'!$C$2:$C$4000=$AA38)*('2016 E Maize Soil VWC'!$E$2:$E$4000=$AB38)*('2016 E Maize Soil VWC'!$F$2:$F$4000=AQ$5),'2016 E Maize Soil VWC'!$G$2:$G$4000)</f>
        <v>0.29980320839974589</v>
      </c>
      <c r="AR38" s="1" cm="1">
        <f t="array" ref="AR38">_xlfn.XLOOKUP(1,('2016 E Maize Soil VWC'!$C$2:$C$4000=$AA38)*('2016 E Maize Soil VWC'!$E$2:$E$4000=$AB38)*('2016 E Maize Soil VWC'!$F$2:$F$4000=AR$5),'2016 E Maize Soil VWC'!$G$2:$G$4000)</f>
        <v>0.29178383231717514</v>
      </c>
      <c r="AS38" s="1" cm="1">
        <f t="array" ref="AS38">_xlfn.XLOOKUP(1,('2016 E Maize Soil VWC'!$C$2:$C$4000=$AA38)*('2016 E Maize Soil VWC'!$E$2:$E$4000=$AB38)*('2016 E Maize Soil VWC'!$F$2:$F$4000=AS$5),'2016 E Maize Soil VWC'!$G$2:$G$4000)</f>
        <v>0.31043082815965761</v>
      </c>
      <c r="AT38" s="1" cm="1">
        <f t="array" ref="AT38">_xlfn.XLOOKUP(1,('2016 E Maize Soil VWC'!$C$2:$C$4000=$AA38)*('2016 E Maize Soil VWC'!$E$2:$E$4000=$AB38)*('2016 E Maize Soil VWC'!$F$2:$F$4000=AT$5),'2016 E Maize Soil VWC'!$G$2:$G$4000)</f>
        <v>0.30945760290691848</v>
      </c>
      <c r="AU38" s="1" cm="1">
        <f t="array" ref="AU38">_xlfn.XLOOKUP(1,('2016 E Maize Soil VWC'!$C$2:$C$4000=$AA38)*('2016 E Maize Soil VWC'!$E$2:$E$4000=$AB38)*('2016 E Maize Soil VWC'!$F$2:$F$4000=AU$5),'2016 E Maize Soil VWC'!$G$2:$G$4000)</f>
        <v>0.30340414183488085</v>
      </c>
      <c r="AV38" s="1" cm="1">
        <f t="array" ref="AV38">_xlfn.XLOOKUP(1,('2016 E Maize Soil VWC'!$C$2:$C$4000=$AA38)*('2016 E Maize Soil VWC'!$E$2:$E$4000=$AB38)*('2016 E Maize Soil VWC'!$F$2:$F$4000=AV$5),'2016 E Maize Soil VWC'!$G$2:$G$4000)</f>
        <v>0.30340414183488085</v>
      </c>
      <c r="BM38" s="1">
        <v>200</v>
      </c>
      <c r="BN38" s="1">
        <v>42569</v>
      </c>
    </row>
    <row r="39" spans="25:66" x14ac:dyDescent="0.25">
      <c r="AA39" s="18">
        <f t="shared" si="7"/>
        <v>42530</v>
      </c>
      <c r="AB39" s="1">
        <f t="shared" si="8"/>
        <v>150</v>
      </c>
      <c r="AC39" s="1" cm="1">
        <f t="array" ref="AC39">_xlfn.XLOOKUP(1,('2016 E Maize Soil VWC'!$C$2:$C$4000=$AA39)*('2016 E Maize Soil VWC'!$E$2:$E$4000=$AB39)*('2016 E Maize Soil VWC'!$F$2:$F$4000=AC$5),'2016 E Maize Soil VWC'!$G$2:$G$4000)</f>
        <v>0.33532593012472556</v>
      </c>
      <c r="AD39" s="1" cm="1">
        <f t="array" ref="AD39">_xlfn.XLOOKUP(1,('2016 E Maize Soil VWC'!$C$2:$C$4000=$AA39)*('2016 E Maize Soil VWC'!$E$2:$E$4000=$AB39)*('2016 E Maize Soil VWC'!$F$2:$F$4000=AD$5),'2016 E Maize Soil VWC'!$G$2:$G$4000)</f>
        <v>0.32576885814282691</v>
      </c>
      <c r="AE39" s="1" cm="1">
        <f t="array" ref="AE39">_xlfn.XLOOKUP(1,('2016 E Maize Soil VWC'!$C$2:$C$4000=$AA39)*('2016 E Maize Soil VWC'!$E$2:$E$4000=$AB39)*('2016 E Maize Soil VWC'!$F$2:$F$4000=AE$5),'2016 E Maize Soil VWC'!$G$2:$G$4000)</f>
        <v>0.3099247510282333</v>
      </c>
      <c r="AF39" s="1" cm="1">
        <f t="array" ref="AF39">_xlfn.XLOOKUP(1,('2016 E Maize Soil VWC'!$C$2:$C$4000=$AA39)*('2016 E Maize Soil VWC'!$E$2:$E$4000=$AB39)*('2016 E Maize Soil VWC'!$F$2:$F$4000=AF$5),'2016 E Maize Soil VWC'!$G$2:$G$4000)</f>
        <v>0.2945672565400092</v>
      </c>
      <c r="AG39" s="1" cm="1">
        <f t="array" ref="AG39">_xlfn.XLOOKUP(1,('2016 E Maize Soil VWC'!$C$2:$C$4000=$AA39)*('2016 E Maize Soil VWC'!$E$2:$E$4000=$AB39)*('2016 E Maize Soil VWC'!$F$2:$F$4000=AG$5),'2016 E Maize Soil VWC'!$G$2:$G$4000)</f>
        <v>0.36076603823132741</v>
      </c>
      <c r="AH39" s="1" cm="1">
        <f t="array" ref="AH39">_xlfn.XLOOKUP(1,('2016 E Maize Soil VWC'!$C$2:$C$4000=$AA39)*('2016 E Maize Soil VWC'!$E$2:$E$4000=$AB39)*('2016 E Maize Soil VWC'!$F$2:$F$4000=AH$5),'2016 E Maize Soil VWC'!$G$2:$G$4000)</f>
        <v>0.34466889255102157</v>
      </c>
      <c r="AI39" s="1" cm="1">
        <f t="array" ref="AI39">_xlfn.XLOOKUP(1,('2016 E Maize Soil VWC'!$C$2:$C$4000=$AA39)*('2016 E Maize Soil VWC'!$E$2:$E$4000=$AB39)*('2016 E Maize Soil VWC'!$F$2:$F$4000=AI$5),'2016 E Maize Soil VWC'!$G$2:$G$4000)</f>
        <v>0.3333016215990281</v>
      </c>
      <c r="AJ39" s="1" cm="1">
        <f t="array" ref="AJ39">_xlfn.XLOOKUP(1,('2016 E Maize Soil VWC'!$C$2:$C$4000=$AA39)*('2016 E Maize Soil VWC'!$E$2:$E$4000=$AB39)*('2016 E Maize Soil VWC'!$F$2:$F$4000=AJ$5),'2016 E Maize Soil VWC'!$G$2:$G$4000)</f>
        <v>0.33888793454975091</v>
      </c>
      <c r="AK39" s="1" cm="1">
        <f t="array" ref="AK39">_xlfn.XLOOKUP(1,('2016 E Maize Soil VWC'!$C$2:$C$4000=$AA39)*('2016 E Maize Soil VWC'!$E$2:$E$4000=$AB39)*('2016 E Maize Soil VWC'!$F$2:$F$4000=AK$5),'2016 E Maize Soil VWC'!$G$2:$G$4000)</f>
        <v>0.33201696426541244</v>
      </c>
      <c r="AL39" s="1" cm="1">
        <f t="array" ref="AL39">_xlfn.XLOOKUP(1,('2016 E Maize Soil VWC'!$C$2:$C$4000=$AA39)*('2016 E Maize Soil VWC'!$E$2:$E$4000=$AB39)*('2016 E Maize Soil VWC'!$F$2:$F$4000=AL$5),'2016 E Maize Soil VWC'!$G$2:$G$4000)</f>
        <v>0.34464942804596677</v>
      </c>
      <c r="AM39" s="1" cm="1">
        <f t="array" ref="AM39">_xlfn.XLOOKUP(1,('2016 E Maize Soil VWC'!$C$2:$C$4000=$AA39)*('2016 E Maize Soil VWC'!$E$2:$E$4000=$AB39)*('2016 E Maize Soil VWC'!$F$2:$F$4000=AM$5),'2016 E Maize Soil VWC'!$G$2:$G$4000)</f>
        <v>0.33701934206449174</v>
      </c>
      <c r="AN39" s="1" cm="1">
        <f t="array" ref="AN39">_xlfn.XLOOKUP(1,('2016 E Maize Soil VWC'!$C$2:$C$4000=$AA39)*('2016 E Maize Soil VWC'!$E$2:$E$4000=$AB39)*('2016 E Maize Soil VWC'!$F$2:$F$4000=AN$5),'2016 E Maize Soil VWC'!$G$2:$G$4000)</f>
        <v>0.3333210861040829</v>
      </c>
      <c r="AO39" s="1" cm="1">
        <f t="array" ref="AO39">_xlfn.XLOOKUP(1,('2016 E Maize Soil VWC'!$C$2:$C$4000=$AA39)*('2016 E Maize Soil VWC'!$E$2:$E$4000=$AB39)*('2016 E Maize Soil VWC'!$F$2:$F$4000=AO$5),'2016 E Maize Soil VWC'!$G$2:$G$4000)</f>
        <v>0.29908302171271894</v>
      </c>
      <c r="AP39" s="1" cm="1">
        <f t="array" ref="AP39">_xlfn.XLOOKUP(1,('2016 E Maize Soil VWC'!$C$2:$C$4000=$AA39)*('2016 E Maize Soil VWC'!$E$2:$E$4000=$AB39)*('2016 E Maize Soil VWC'!$F$2:$F$4000=AP$5),'2016 E Maize Soil VWC'!$G$2:$G$4000)</f>
        <v>0.29929713126832153</v>
      </c>
      <c r="AQ39" s="1" cm="1">
        <f t="array" ref="AQ39">_xlfn.XLOOKUP(1,('2016 E Maize Soil VWC'!$C$2:$C$4000=$AA39)*('2016 E Maize Soil VWC'!$E$2:$E$4000=$AB39)*('2016 E Maize Soil VWC'!$F$2:$F$4000=AQ$5),'2016 E Maize Soil VWC'!$G$2:$G$4000)</f>
        <v>0.33939401168117528</v>
      </c>
      <c r="AR39" s="1" cm="1">
        <f t="array" ref="AR39">_xlfn.XLOOKUP(1,('2016 E Maize Soil VWC'!$C$2:$C$4000=$AA39)*('2016 E Maize Soil VWC'!$E$2:$E$4000=$AB39)*('2016 E Maize Soil VWC'!$F$2:$F$4000=AR$5),'2016 E Maize Soil VWC'!$G$2:$G$4000)</f>
        <v>0.32335525951603378</v>
      </c>
      <c r="AS39" s="1" cm="1">
        <f t="array" ref="AS39">_xlfn.XLOOKUP(1,('2016 E Maize Soil VWC'!$C$2:$C$4000=$AA39)*('2016 E Maize Soil VWC'!$E$2:$E$4000=$AB39)*('2016 E Maize Soil VWC'!$F$2:$F$4000=AS$5),'2016 E Maize Soil VWC'!$G$2:$G$4000)</f>
        <v>0.32037719024265193</v>
      </c>
      <c r="AT39" s="1" cm="1">
        <f t="array" ref="AT39">_xlfn.XLOOKUP(1,('2016 E Maize Soil VWC'!$C$2:$C$4000=$AA39)*('2016 E Maize Soil VWC'!$E$2:$E$4000=$AB39)*('2016 E Maize Soil VWC'!$F$2:$F$4000=AT$5),'2016 E Maize Soil VWC'!$G$2:$G$4000)</f>
        <v>0.32789048919379832</v>
      </c>
      <c r="AU39" s="1" cm="1">
        <f t="array" ref="AU39">_xlfn.XLOOKUP(1,('2016 E Maize Soil VWC'!$C$2:$C$4000=$AA39)*('2016 E Maize Soil VWC'!$E$2:$E$4000=$AB39)*('2016 E Maize Soil VWC'!$F$2:$F$4000=AU$5),'2016 E Maize Soil VWC'!$G$2:$G$4000)</f>
        <v>0.32763745062808614</v>
      </c>
      <c r="AV39" s="1" cm="1">
        <f t="array" ref="AV39">_xlfn.XLOOKUP(1,('2016 E Maize Soil VWC'!$C$2:$C$4000=$AA39)*('2016 E Maize Soil VWC'!$E$2:$E$4000=$AB39)*('2016 E Maize Soil VWC'!$F$2:$F$4000=AV$5),'2016 E Maize Soil VWC'!$G$2:$G$4000)</f>
        <v>0.32763745062808614</v>
      </c>
      <c r="BM39" s="1">
        <v>208</v>
      </c>
      <c r="BN39" s="1">
        <v>42577</v>
      </c>
    </row>
    <row r="40" spans="25:66" x14ac:dyDescent="0.25">
      <c r="AA40" s="18">
        <f t="shared" si="7"/>
        <v>42530</v>
      </c>
      <c r="AB40" s="1">
        <f t="shared" si="8"/>
        <v>170</v>
      </c>
      <c r="AC40" s="1" cm="1">
        <f t="array" ref="AC40">_xlfn.XLOOKUP(1,('2016 E Maize Soil VWC'!$C$2:$C$4000=$AA40)*('2016 E Maize Soil VWC'!$E$2:$E$4000=$AB40)*('2016 E Maize Soil VWC'!$F$2:$F$4000=AC$5),'2016 E Maize Soil VWC'!$G$2:$G$4000)</f>
        <v>0.27665991188960848</v>
      </c>
      <c r="AD40" s="1" cm="1">
        <f t="array" ref="AD40">_xlfn.XLOOKUP(1,('2016 E Maize Soil VWC'!$C$2:$C$4000=$AA40)*('2016 E Maize Soil VWC'!$E$2:$E$4000=$AB40)*('2016 E Maize Soil VWC'!$F$2:$F$4000=AD$5),'2016 E Maize Soil VWC'!$G$2:$G$4000)</f>
        <v>0.27292272691909009</v>
      </c>
      <c r="AE40" s="1" cm="1">
        <f t="array" ref="AE40">_xlfn.XLOOKUP(1,('2016 E Maize Soil VWC'!$C$2:$C$4000=$AA40)*('2016 E Maize Soil VWC'!$E$2:$E$4000=$AB40)*('2016 E Maize Soil VWC'!$F$2:$F$4000=AE$5),'2016 E Maize Soil VWC'!$G$2:$G$4000)</f>
        <v>0.28756003472028718</v>
      </c>
      <c r="AF40" s="1" cm="1">
        <f t="array" ref="AF40">_xlfn.XLOOKUP(1,('2016 E Maize Soil VWC'!$C$2:$C$4000=$AA40)*('2016 E Maize Soil VWC'!$E$2:$E$4000=$AB40)*('2016 E Maize Soil VWC'!$F$2:$F$4000=AF$5),'2016 E Maize Soil VWC'!$G$2:$G$4000)</f>
        <v>0.28384231425482354</v>
      </c>
      <c r="AG40" s="1" cm="1">
        <f t="array" ref="AG40">_xlfn.XLOOKUP(1,('2016 E Maize Soil VWC'!$C$2:$C$4000=$AA40)*('2016 E Maize Soil VWC'!$E$2:$E$4000=$AB40)*('2016 E Maize Soil VWC'!$F$2:$F$4000=AG$5),'2016 E Maize Soil VWC'!$G$2:$G$4000)</f>
        <v>0.32504867145579996</v>
      </c>
      <c r="AH40" s="1" cm="1">
        <f t="array" ref="AH40">_xlfn.XLOOKUP(1,('2016 E Maize Soil VWC'!$C$2:$C$4000=$AA40)*('2016 E Maize Soil VWC'!$E$2:$E$4000=$AB40)*('2016 E Maize Soil VWC'!$F$2:$F$4000=AH$5),'2016 E Maize Soil VWC'!$G$2:$G$4000)</f>
        <v>0.32703405097138788</v>
      </c>
      <c r="AI40" s="1" cm="1">
        <f t="array" ref="AI40">_xlfn.XLOOKUP(1,('2016 E Maize Soil VWC'!$C$2:$C$4000=$AA40)*('2016 E Maize Soil VWC'!$E$2:$E$4000=$AB40)*('2016 E Maize Soil VWC'!$F$2:$F$4000=AI$5),'2016 E Maize Soil VWC'!$G$2:$G$4000)</f>
        <v>0.29991999543007458</v>
      </c>
      <c r="AJ40" s="1" cm="1">
        <f t="array" ref="AJ40">_xlfn.XLOOKUP(1,('2016 E Maize Soil VWC'!$C$2:$C$4000=$AA40)*('2016 E Maize Soil VWC'!$E$2:$E$4000=$AB40)*('2016 E Maize Soil VWC'!$F$2:$F$4000=AJ$5),'2016 E Maize Soil VWC'!$G$2:$G$4000)</f>
        <v>0.30003678246040333</v>
      </c>
      <c r="AK40" s="1" cm="1">
        <f t="array" ref="AK40">_xlfn.XLOOKUP(1,('2016 E Maize Soil VWC'!$C$2:$C$4000=$AA40)*('2016 E Maize Soil VWC'!$E$2:$E$4000=$AB40)*('2016 E Maize Soil VWC'!$F$2:$F$4000=AK$5),'2016 E Maize Soil VWC'!$G$2:$G$4000)</f>
        <v>0.2990051636924998</v>
      </c>
      <c r="AL40" s="1" cm="1">
        <f t="array" ref="AL40">_xlfn.XLOOKUP(1,('2016 E Maize Soil VWC'!$C$2:$C$4000=$AA40)*('2016 E Maize Soil VWC'!$E$2:$E$4000=$AB40)*('2016 E Maize Soil VWC'!$F$2:$F$4000=AL$5),'2016 E Maize Soil VWC'!$G$2:$G$4000)</f>
        <v>0.30618756605771486</v>
      </c>
      <c r="AM40" s="1" cm="1">
        <f t="array" ref="AM40">_xlfn.XLOOKUP(1,('2016 E Maize Soil VWC'!$C$2:$C$4000=$AA40)*('2016 E Maize Soil VWC'!$E$2:$E$4000=$AB40)*('2016 E Maize Soil VWC'!$F$2:$F$4000=AM$5),'2016 E Maize Soil VWC'!$G$2:$G$4000)</f>
        <v>0.3172823339389414</v>
      </c>
      <c r="AN40" s="1" cm="1">
        <f t="array" ref="AN40">_xlfn.XLOOKUP(1,('2016 E Maize Soil VWC'!$C$2:$C$4000=$AA40)*('2016 E Maize Soil VWC'!$E$2:$E$4000=$AB40)*('2016 E Maize Soil VWC'!$F$2:$F$4000=AN$5),'2016 E Maize Soil VWC'!$G$2:$G$4000)</f>
        <v>0.32915568202235923</v>
      </c>
      <c r="AO40" s="1" cm="1">
        <f t="array" ref="AO40">_xlfn.XLOOKUP(1,('2016 E Maize Soil VWC'!$C$2:$C$4000=$AA40)*('2016 E Maize Soil VWC'!$E$2:$E$4000=$AB40)*('2016 E Maize Soil VWC'!$F$2:$F$4000=AO$5),'2016 E Maize Soil VWC'!$G$2:$G$4000)</f>
        <v>0.29842122854085629</v>
      </c>
      <c r="AP40" s="1" cm="1">
        <f t="array" ref="AP40">_xlfn.XLOOKUP(1,('2016 E Maize Soil VWC'!$C$2:$C$4000=$AA40)*('2016 E Maize Soil VWC'!$E$2:$E$4000=$AB40)*('2016 E Maize Soil VWC'!$F$2:$F$4000=AP$5),'2016 E Maize Soil VWC'!$G$2:$G$4000)</f>
        <v>0.32362776258680076</v>
      </c>
      <c r="AQ40" s="1" cm="1">
        <f t="array" ref="AQ40">_xlfn.XLOOKUP(1,('2016 E Maize Soil VWC'!$C$2:$C$4000=$AA40)*('2016 E Maize Soil VWC'!$E$2:$E$4000=$AB40)*('2016 E Maize Soil VWC'!$F$2:$F$4000=AQ$5),'2016 E Maize Soil VWC'!$G$2:$G$4000)</f>
        <v>0.32646958032479911</v>
      </c>
      <c r="AR40" s="1" cm="1">
        <f t="array" ref="AR40">_xlfn.XLOOKUP(1,('2016 E Maize Soil VWC'!$C$2:$C$4000=$AA40)*('2016 E Maize Soil VWC'!$E$2:$E$4000=$AB40)*('2016 E Maize Soil VWC'!$F$2:$F$4000=AR$5),'2016 E Maize Soil VWC'!$G$2:$G$4000)</f>
        <v>0.31615339264576398</v>
      </c>
      <c r="AS40" s="1" cm="1">
        <f t="array" ref="AS40">_xlfn.XLOOKUP(1,('2016 E Maize Soil VWC'!$C$2:$C$4000=$AA40)*('2016 E Maize Soil VWC'!$E$2:$E$4000=$AB40)*('2016 E Maize Soil VWC'!$F$2:$F$4000=AS$5),'2016 E Maize Soil VWC'!$G$2:$G$4000)</f>
        <v>0.31788573359563965</v>
      </c>
      <c r="AT40" s="1" cm="1">
        <f t="array" ref="AT40">_xlfn.XLOOKUP(1,('2016 E Maize Soil VWC'!$C$2:$C$4000=$AA40)*('2016 E Maize Soil VWC'!$E$2:$E$4000=$AB40)*('2016 E Maize Soil VWC'!$F$2:$F$4000=AT$5),'2016 E Maize Soil VWC'!$G$2:$G$4000)</f>
        <v>0.32730655404215481</v>
      </c>
      <c r="AU40" s="1" cm="1">
        <f t="array" ref="AU40">_xlfn.XLOOKUP(1,('2016 E Maize Soil VWC'!$C$2:$C$4000=$AA40)*('2016 E Maize Soil VWC'!$E$2:$E$4000=$AB40)*('2016 E Maize Soil VWC'!$F$2:$F$4000=AU$5),'2016 E Maize Soil VWC'!$G$2:$G$4000)</f>
        <v>0.30897099028054886</v>
      </c>
      <c r="AV40" s="1" cm="1">
        <f t="array" ref="AV40">_xlfn.XLOOKUP(1,('2016 E Maize Soil VWC'!$C$2:$C$4000=$AA40)*('2016 E Maize Soil VWC'!$E$2:$E$4000=$AB40)*('2016 E Maize Soil VWC'!$F$2:$F$4000=AV$5),'2016 E Maize Soil VWC'!$G$2:$G$4000)</f>
        <v>0.30897099028054886</v>
      </c>
      <c r="BM40" s="1">
        <v>215</v>
      </c>
      <c r="BN40" s="1">
        <v>42584</v>
      </c>
    </row>
    <row r="41" spans="25:66" x14ac:dyDescent="0.25">
      <c r="AA41" s="18">
        <f t="shared" si="7"/>
        <v>42530</v>
      </c>
      <c r="AB41" s="1">
        <f t="shared" si="8"/>
        <v>190</v>
      </c>
      <c r="AC41" s="1" cm="1">
        <f t="array" ref="AC41">_xlfn.XLOOKUP(1,('2016 E Maize Soil VWC'!$C$2:$C$4000=$AA41)*('2016 E Maize Soil VWC'!$E$2:$E$4000=$AB41)*('2016 E Maize Soil VWC'!$F$2:$F$4000=AC$5),'2016 E Maize Soil VWC'!$G$2:$G$4000)</f>
        <v>0.28181800572912608</v>
      </c>
      <c r="AD41" s="1" cm="1">
        <f t="array" ref="AD41">_xlfn.XLOOKUP(1,('2016 E Maize Soil VWC'!$C$2:$C$4000=$AA41)*('2016 E Maize Soil VWC'!$E$2:$E$4000=$AB41)*('2016 E Maize Soil VWC'!$F$2:$F$4000=AD$5),'2016 E Maize Soil VWC'!$G$2:$G$4000)</f>
        <v>0.28946755621565595</v>
      </c>
      <c r="AE41" s="1" cm="1">
        <f t="array" ref="AE41">_xlfn.XLOOKUP(1,('2016 E Maize Soil VWC'!$C$2:$C$4000=$AA41)*('2016 E Maize Soil VWC'!$E$2:$E$4000=$AB41)*('2016 E Maize Soil VWC'!$F$2:$F$4000=AE$5),'2016 E Maize Soil VWC'!$G$2:$G$4000)</f>
        <v>0.29513172718659786</v>
      </c>
      <c r="AF41" s="1" cm="1">
        <f t="array" ref="AF41">_xlfn.XLOOKUP(1,('2016 E Maize Soil VWC'!$C$2:$C$4000=$AA41)*('2016 E Maize Soil VWC'!$E$2:$E$4000=$AB41)*('2016 E Maize Soil VWC'!$F$2:$F$4000=AF$5),'2016 E Maize Soil VWC'!$G$2:$G$4000)</f>
        <v>0.28623644837656187</v>
      </c>
      <c r="AG41" s="1" cm="1">
        <f t="array" ref="AG41">_xlfn.XLOOKUP(1,('2016 E Maize Soil VWC'!$C$2:$C$4000=$AA41)*('2016 E Maize Soil VWC'!$E$2:$E$4000=$AB41)*('2016 E Maize Soil VWC'!$F$2:$F$4000=AG$5),'2016 E Maize Soil VWC'!$G$2:$G$4000)</f>
        <v>0.33238678986145326</v>
      </c>
      <c r="AH41" s="1" cm="1">
        <f t="array" ref="AH41">_xlfn.XLOOKUP(1,('2016 E Maize Soil VWC'!$C$2:$C$4000=$AA41)*('2016 E Maize Soil VWC'!$E$2:$E$4000=$AB41)*('2016 E Maize Soil VWC'!$F$2:$F$4000=AH$5),'2016 E Maize Soil VWC'!$G$2:$G$4000)</f>
        <v>0.34134046218665365</v>
      </c>
      <c r="AI41" s="1" cm="1">
        <f t="array" ref="AI41">_xlfn.XLOOKUP(1,('2016 E Maize Soil VWC'!$C$2:$C$4000=$AA41)*('2016 E Maize Soil VWC'!$E$2:$E$4000=$AB41)*('2016 E Maize Soil VWC'!$F$2:$F$4000=AI$5),'2016 E Maize Soil VWC'!$G$2:$G$4000)</f>
        <v>0.28392017227504268</v>
      </c>
      <c r="AJ41" s="1" cm="1">
        <f t="array" ref="AJ41">_xlfn.XLOOKUP(1,('2016 E Maize Soil VWC'!$C$2:$C$4000=$AA41)*('2016 E Maize Soil VWC'!$E$2:$E$4000=$AB41)*('2016 E Maize Soil VWC'!$F$2:$F$4000=AJ$5),'2016 E Maize Soil VWC'!$G$2:$G$4000)</f>
        <v>0.28711235110402716</v>
      </c>
      <c r="AK41" s="1" cm="1">
        <f t="array" ref="AK41">_xlfn.XLOOKUP(1,('2016 E Maize Soil VWC'!$C$2:$C$4000=$AA41)*('2016 E Maize Soil VWC'!$E$2:$E$4000=$AB41)*('2016 E Maize Soil VWC'!$F$2:$F$4000=AK$5),'2016 E Maize Soil VWC'!$G$2:$G$4000)</f>
        <v>0.28847486645786202</v>
      </c>
      <c r="AL41" s="1" cm="1">
        <f t="array" ref="AL41">_xlfn.XLOOKUP(1,('2016 E Maize Soil VWC'!$C$2:$C$4000=$AA41)*('2016 E Maize Soil VWC'!$E$2:$E$4000=$AB41)*('2016 E Maize Soil VWC'!$F$2:$F$4000=AL$5),'2016 E Maize Soil VWC'!$G$2:$G$4000)</f>
        <v>0.2917643678121204</v>
      </c>
      <c r="AM41" s="1" cm="1">
        <f t="array" ref="AM41">_xlfn.XLOOKUP(1,('2016 E Maize Soil VWC'!$C$2:$C$4000=$AA41)*('2016 E Maize Soil VWC'!$E$2:$E$4000=$AB41)*('2016 E Maize Soil VWC'!$F$2:$F$4000=AM$5),'2016 E Maize Soil VWC'!$G$2:$G$4000)</f>
        <v>0.30149662033951202</v>
      </c>
      <c r="AN41" s="1" cm="1">
        <f t="array" ref="AN41">_xlfn.XLOOKUP(1,('2016 E Maize Soil VWC'!$C$2:$C$4000=$AA41)*('2016 E Maize Soil VWC'!$E$2:$E$4000=$AB41)*('2016 E Maize Soil VWC'!$F$2:$F$4000=AN$5),'2016 E Maize Soil VWC'!$G$2:$G$4000)</f>
        <v>0.30657685615881053</v>
      </c>
      <c r="AO41" s="1" cm="1">
        <f t="array" ref="AO41">_xlfn.XLOOKUP(1,('2016 E Maize Soil VWC'!$C$2:$C$4000=$AA41)*('2016 E Maize Soil VWC'!$E$2:$E$4000=$AB41)*('2016 E Maize Soil VWC'!$F$2:$F$4000=AO$5),'2016 E Maize Soil VWC'!$G$2:$G$4000)</f>
        <v>0.28195425726450957</v>
      </c>
      <c r="AP41" s="1" cm="1">
        <f t="array" ref="AP41">_xlfn.XLOOKUP(1,('2016 E Maize Soil VWC'!$C$2:$C$4000=$AA41)*('2016 E Maize Soil VWC'!$E$2:$E$4000=$AB41)*('2016 E Maize Soil VWC'!$F$2:$F$4000=AP$5),'2016 E Maize Soil VWC'!$G$2:$G$4000)</f>
        <v>0.29314634767101</v>
      </c>
      <c r="AQ41" s="1" cm="1">
        <f t="array" ref="AQ41">_xlfn.XLOOKUP(1,('2016 E Maize Soil VWC'!$C$2:$C$4000=$AA41)*('2016 E Maize Soil VWC'!$E$2:$E$4000=$AB41)*('2016 E Maize Soil VWC'!$F$2:$F$4000=AQ$5),'2016 E Maize Soil VWC'!$G$2:$G$4000)</f>
        <v>0.32827977929489399</v>
      </c>
      <c r="AR41" s="1" cm="1">
        <f t="array" ref="AR41">_xlfn.XLOOKUP(1,('2016 E Maize Soil VWC'!$C$2:$C$4000=$AA41)*('2016 E Maize Soil VWC'!$E$2:$E$4000=$AB41)*('2016 E Maize Soil VWC'!$F$2:$F$4000=AR$5),'2016 E Maize Soil VWC'!$G$2:$G$4000)</f>
        <v>0.31710715339344836</v>
      </c>
      <c r="AS41" s="1" cm="1">
        <f t="array" ref="AS41">_xlfn.XLOOKUP(1,('2016 E Maize Soil VWC'!$C$2:$C$4000=$AA41)*('2016 E Maize Soil VWC'!$E$2:$E$4000=$AB41)*('2016 E Maize Soil VWC'!$F$2:$F$4000=AS$5),'2016 E Maize Soil VWC'!$G$2:$G$4000)</f>
        <v>0.31593928309016134</v>
      </c>
      <c r="AT41" s="1" cm="1">
        <f t="array" ref="AT41">_xlfn.XLOOKUP(1,('2016 E Maize Soil VWC'!$C$2:$C$4000=$AA41)*('2016 E Maize Soil VWC'!$E$2:$E$4000=$AB41)*('2016 E Maize Soil VWC'!$F$2:$F$4000=AT$5),'2016 E Maize Soil VWC'!$G$2:$G$4000)</f>
        <v>0.30737490086605662</v>
      </c>
      <c r="AU41" s="1" cm="1">
        <f t="array" ref="AU41">_xlfn.XLOOKUP(1,('2016 E Maize Soil VWC'!$C$2:$C$4000=$AA41)*('2016 E Maize Soil VWC'!$E$2:$E$4000=$AB41)*('2016 E Maize Soil VWC'!$F$2:$F$4000=AU$5),'2016 E Maize Soil VWC'!$G$2:$G$4000)</f>
        <v>0.29956963433908851</v>
      </c>
      <c r="AV41" s="1" cm="1">
        <f t="array" ref="AV41">_xlfn.XLOOKUP(1,('2016 E Maize Soil VWC'!$C$2:$C$4000=$AA41)*('2016 E Maize Soil VWC'!$E$2:$E$4000=$AB41)*('2016 E Maize Soil VWC'!$F$2:$F$4000=AV$5),'2016 E Maize Soil VWC'!$G$2:$G$4000)</f>
        <v>0.29956963433908851</v>
      </c>
      <c r="BM41" s="1">
        <v>224</v>
      </c>
      <c r="BN41" s="1">
        <v>42593</v>
      </c>
    </row>
    <row r="42" spans="25:66" x14ac:dyDescent="0.25">
      <c r="AA42" s="18">
        <f t="shared" si="7"/>
        <v>42530</v>
      </c>
      <c r="AB42" s="1">
        <f t="shared" si="8"/>
        <v>210</v>
      </c>
      <c r="AC42" s="1" cm="1">
        <f t="array" ref="AC42">_xlfn.XLOOKUP(1,('2016 E Maize Soil VWC'!$C$2:$C$4000=$AA42)*('2016 E Maize Soil VWC'!$E$2:$E$4000=$AB42)*('2016 E Maize Soil VWC'!$F$2:$F$4000=AC$5),'2016 E Maize Soil VWC'!$G$2:$G$4000)</f>
        <v>0.29951124082392416</v>
      </c>
      <c r="AD42" s="1" cm="1">
        <f t="array" ref="AD42">_xlfn.XLOOKUP(1,('2016 E Maize Soil VWC'!$C$2:$C$4000=$AA42)*('2016 E Maize Soil VWC'!$E$2:$E$4000=$AB42)*('2016 E Maize Soil VWC'!$F$2:$F$4000=AD$5),'2016 E Maize Soil VWC'!$G$2:$G$4000)</f>
        <v>0.2924456254890378</v>
      </c>
      <c r="AE42" s="1" cm="1">
        <f t="array" ref="AE42">_xlfn.XLOOKUP(1,('2016 E Maize Soil VWC'!$C$2:$C$4000=$AA42)*('2016 E Maize Soil VWC'!$E$2:$E$4000=$AB42)*('2016 E Maize Soil VWC'!$F$2:$F$4000=AE$5),'2016 E Maize Soil VWC'!$G$2:$G$4000)</f>
        <v>0.27097627641361172</v>
      </c>
      <c r="AF42" s="1" cm="1">
        <f t="array" ref="AF42">_xlfn.XLOOKUP(1,('2016 E Maize Soil VWC'!$C$2:$C$4000=$AA42)*('2016 E Maize Soil VWC'!$E$2:$E$4000=$AB42)*('2016 E Maize Soil VWC'!$F$2:$F$4000=AF$5),'2016 E Maize Soil VWC'!$G$2:$G$4000)</f>
        <v>0.27305897845447352</v>
      </c>
      <c r="AG42" s="1" t="e" cm="1">
        <f t="array" ref="AG42">_xlfn.XLOOKUP(1,('2016 E Maize Soil VWC'!$C$2:$C$4000=$AA42)*('2016 E Maize Soil VWC'!$E$2:$E$4000=$AB42)*('2016 E Maize Soil VWC'!$F$2:$F$4000=AG$5),'2016 E Maize Soil VWC'!$G$2:$G$4000)</f>
        <v>#N/A</v>
      </c>
      <c r="AH42" s="1" t="e" cm="1">
        <f t="array" ref="AH42">_xlfn.XLOOKUP(1,('2016 E Maize Soil VWC'!$C$2:$C$4000=$AA42)*('2016 E Maize Soil VWC'!$E$2:$E$4000=$AB42)*('2016 E Maize Soil VWC'!$F$2:$F$4000=AH$5),'2016 E Maize Soil VWC'!$G$2:$G$4000)</f>
        <v>#N/A</v>
      </c>
      <c r="AI42" s="1" cm="1">
        <f t="array" ref="AI42">_xlfn.XLOOKUP(1,('2016 E Maize Soil VWC'!$C$2:$C$4000=$AA42)*('2016 E Maize Soil VWC'!$E$2:$E$4000=$AB42)*('2016 E Maize Soil VWC'!$F$2:$F$4000=AI$5),'2016 E Maize Soil VWC'!$G$2:$G$4000)</f>
        <v>0.27767206615245721</v>
      </c>
      <c r="AJ42" s="1" cm="1">
        <f t="array" ref="AJ42">_xlfn.XLOOKUP(1,('2016 E Maize Soil VWC'!$C$2:$C$4000=$AA42)*('2016 E Maize Soil VWC'!$E$2:$E$4000=$AB42)*('2016 E Maize Soil VWC'!$F$2:$F$4000=AJ$5),'2016 E Maize Soil VWC'!$G$2:$G$4000)</f>
        <v>0.29910248621777369</v>
      </c>
      <c r="AK42" s="1" cm="1">
        <f t="array" ref="AK42">_xlfn.XLOOKUP(1,('2016 E Maize Soil VWC'!$C$2:$C$4000=$AA42)*('2016 E Maize Soil VWC'!$E$2:$E$4000=$AB42)*('2016 E Maize Soil VWC'!$F$2:$F$4000=AK$5),'2016 E Maize Soil VWC'!$G$2:$G$4000)</f>
        <v>0.2983239060155824</v>
      </c>
      <c r="AL42" s="1" cm="1">
        <f t="array" ref="AL42">_xlfn.XLOOKUP(1,('2016 E Maize Soil VWC'!$C$2:$C$4000=$AA42)*('2016 E Maize Soil VWC'!$E$2:$E$4000=$AB42)*('2016 E Maize Soil VWC'!$F$2:$F$4000=AL$5),'2016 E Maize Soil VWC'!$G$2:$G$4000)</f>
        <v>0.26688873035210725</v>
      </c>
      <c r="AM42" s="1" cm="1">
        <f t="array" ref="AM42">_xlfn.XLOOKUP(1,('2016 E Maize Soil VWC'!$C$2:$C$4000=$AA42)*('2016 E Maize Soil VWC'!$E$2:$E$4000=$AB42)*('2016 E Maize Soil VWC'!$F$2:$F$4000=AM$5),'2016 E Maize Soil VWC'!$G$2:$G$4000)</f>
        <v>0.30034821454127986</v>
      </c>
      <c r="AN42" s="1" cm="1">
        <f t="array" ref="AN42">_xlfn.XLOOKUP(1,('2016 E Maize Soil VWC'!$C$2:$C$4000=$AA42)*('2016 E Maize Soil VWC'!$E$2:$E$4000=$AB42)*('2016 E Maize Soil VWC'!$F$2:$F$4000=AN$5),'2016 E Maize Soil VWC'!$G$2:$G$4000)</f>
        <v>0.30128251078390944</v>
      </c>
      <c r="AO42" s="1" cm="1">
        <f t="array" ref="AO42">_xlfn.XLOOKUP(1,('2016 E Maize Soil VWC'!$C$2:$C$4000=$AA42)*('2016 E Maize Soil VWC'!$E$2:$E$4000=$AB42)*('2016 E Maize Soil VWC'!$F$2:$F$4000=AO$5),'2016 E Maize Soil VWC'!$G$2:$G$4000)</f>
        <v>0.28479607500250792</v>
      </c>
      <c r="AP42" s="1" cm="1">
        <f t="array" ref="AP42">_xlfn.XLOOKUP(1,('2016 E Maize Soil VWC'!$C$2:$C$4000=$AA42)*('2016 E Maize Soil VWC'!$E$2:$E$4000=$AB42)*('2016 E Maize Soil VWC'!$F$2:$F$4000=AP$5),'2016 E Maize Soil VWC'!$G$2:$G$4000)</f>
        <v>0.26223671364401402</v>
      </c>
      <c r="AQ42" s="1" t="e" cm="1">
        <f t="array" ref="AQ42">_xlfn.XLOOKUP(1,('2016 E Maize Soil VWC'!$C$2:$C$4000=$AA42)*('2016 E Maize Soil VWC'!$E$2:$E$4000=$AB42)*('2016 E Maize Soil VWC'!$F$2:$F$4000=AQ$5),'2016 E Maize Soil VWC'!$G$2:$G$4000)</f>
        <v>#N/A</v>
      </c>
      <c r="AR42" s="1" t="e" cm="1">
        <f t="array" ref="AR42">_xlfn.XLOOKUP(1,('2016 E Maize Soil VWC'!$C$2:$C$4000=$AA42)*('2016 E Maize Soil VWC'!$E$2:$E$4000=$AB42)*('2016 E Maize Soil VWC'!$F$2:$F$4000=AR$5),'2016 E Maize Soil VWC'!$G$2:$G$4000)</f>
        <v>#N/A</v>
      </c>
      <c r="AS42" s="1" cm="1">
        <f t="array" ref="AS42">_xlfn.XLOOKUP(1,('2016 E Maize Soil VWC'!$C$2:$C$4000=$AA42)*('2016 E Maize Soil VWC'!$E$2:$E$4000=$AB42)*('2016 E Maize Soil VWC'!$F$2:$F$4000=AS$5),'2016 E Maize Soil VWC'!$G$2:$G$4000)</f>
        <v>0.30200269747093644</v>
      </c>
      <c r="AT42" s="1" cm="1">
        <f t="array" ref="AT42">_xlfn.XLOOKUP(1,('2016 E Maize Soil VWC'!$C$2:$C$4000=$AA42)*('2016 E Maize Soil VWC'!$E$2:$E$4000=$AB42)*('2016 E Maize Soil VWC'!$F$2:$F$4000=AT$5),'2016 E Maize Soil VWC'!$G$2:$G$4000)</f>
        <v>0.29579352035846057</v>
      </c>
      <c r="AU42" s="1" cm="1">
        <f t="array" ref="AU42">_xlfn.XLOOKUP(1,('2016 E Maize Soil VWC'!$C$2:$C$4000=$AA42)*('2016 E Maize Soil VWC'!$E$2:$E$4000=$AB42)*('2016 E Maize Soil VWC'!$F$2:$F$4000=AU$5),'2016 E Maize Soil VWC'!$G$2:$G$4000)</f>
        <v>0.28997363334708032</v>
      </c>
      <c r="AV42" s="1" cm="1">
        <f t="array" ref="AV42">_xlfn.XLOOKUP(1,('2016 E Maize Soil VWC'!$C$2:$C$4000=$AA42)*('2016 E Maize Soil VWC'!$E$2:$E$4000=$AB42)*('2016 E Maize Soil VWC'!$F$2:$F$4000=AV$5),'2016 E Maize Soil VWC'!$G$2:$G$4000)</f>
        <v>0.28997363334708032</v>
      </c>
      <c r="BM42" s="1">
        <v>236</v>
      </c>
      <c r="BN42" s="1">
        <v>42605</v>
      </c>
    </row>
    <row r="43" spans="25:66" x14ac:dyDescent="0.25">
      <c r="AA43" s="18">
        <f t="shared" si="7"/>
        <v>42530</v>
      </c>
      <c r="AB43" s="1">
        <f t="shared" si="8"/>
        <v>230</v>
      </c>
      <c r="AC43" s="1" cm="1">
        <f t="array" ref="AC43">_xlfn.XLOOKUP(1,('2016 E Maize Soil VWC'!$C$2:$C$4000=$AA43)*('2016 E Maize Soil VWC'!$E$2:$E$4000=$AB43)*('2016 E Maize Soil VWC'!$F$2:$F$4000=AC$5),'2016 E Maize Soil VWC'!$G$2:$G$4000)</f>
        <v>0.29133614870091512</v>
      </c>
      <c r="AD43" s="1" cm="1">
        <f t="array" ref="AD43">_xlfn.XLOOKUP(1,('2016 E Maize Soil VWC'!$C$2:$C$4000=$AA43)*('2016 E Maize Soil VWC'!$E$2:$E$4000=$AB43)*('2016 E Maize Soil VWC'!$F$2:$F$4000=AD$5),'2016 E Maize Soil VWC'!$G$2:$G$4000)</f>
        <v>0.2931268831659552</v>
      </c>
      <c r="AE43" s="1" cm="1">
        <f t="array" ref="AE43">_xlfn.XLOOKUP(1,('2016 E Maize Soil VWC'!$C$2:$C$4000=$AA43)*('2016 E Maize Soil VWC'!$E$2:$E$4000=$AB43)*('2016 E Maize Soil VWC'!$F$2:$F$4000=AE$5),'2016 E Maize Soil VWC'!$G$2:$G$4000)</f>
        <v>0.27665991188960848</v>
      </c>
      <c r="AF43" s="1" cm="1">
        <f t="array" ref="AF43">_xlfn.XLOOKUP(1,('2016 E Maize Soil VWC'!$C$2:$C$4000=$AA43)*('2016 E Maize Soil VWC'!$E$2:$E$4000=$AB43)*('2016 E Maize Soil VWC'!$F$2:$F$4000=AF$5),'2016 E Maize Soil VWC'!$G$2:$G$4000)</f>
        <v>0.26523424742245061</v>
      </c>
      <c r="AG43" s="1" t="e" cm="1">
        <f t="array" ref="AG43">_xlfn.XLOOKUP(1,('2016 E Maize Soil VWC'!$C$2:$C$4000=$AA43)*('2016 E Maize Soil VWC'!$E$2:$E$4000=$AB43)*('2016 E Maize Soil VWC'!$F$2:$F$4000=AG$5),'2016 E Maize Soil VWC'!$G$2:$G$4000)</f>
        <v>#N/A</v>
      </c>
      <c r="AH43" s="1" t="e" cm="1">
        <f t="array" ref="AH43">_xlfn.XLOOKUP(1,('2016 E Maize Soil VWC'!$C$2:$C$4000=$AA43)*('2016 E Maize Soil VWC'!$E$2:$E$4000=$AB43)*('2016 E Maize Soil VWC'!$F$2:$F$4000=AH$5),'2016 E Maize Soil VWC'!$G$2:$G$4000)</f>
        <v>#N/A</v>
      </c>
      <c r="AI43" s="1" cm="1">
        <f t="array" ref="AI43">_xlfn.XLOOKUP(1,('2016 E Maize Soil VWC'!$C$2:$C$4000=$AA43)*('2016 E Maize Soil VWC'!$E$2:$E$4000=$AB43)*('2016 E Maize Soil VWC'!$F$2:$F$4000=AI$5),'2016 E Maize Soil VWC'!$G$2:$G$4000)</f>
        <v>0.27609544124301977</v>
      </c>
      <c r="AJ43" s="1" cm="1">
        <f t="array" ref="AJ43">_xlfn.XLOOKUP(1,('2016 E Maize Soil VWC'!$C$2:$C$4000=$AA43)*('2016 E Maize Soil VWC'!$E$2:$E$4000=$AB43)*('2016 E Maize Soil VWC'!$F$2:$F$4000=AJ$5),'2016 E Maize Soil VWC'!$G$2:$G$4000)</f>
        <v>0.30581774046167398</v>
      </c>
      <c r="AK43" s="1" cm="1">
        <f t="array" ref="AK43">_xlfn.XLOOKUP(1,('2016 E Maize Soil VWC'!$C$2:$C$4000=$AA43)*('2016 E Maize Soil VWC'!$E$2:$E$4000=$AB43)*('2016 E Maize Soil VWC'!$F$2:$F$4000=AK$5),'2016 E Maize Soil VWC'!$G$2:$G$4000)</f>
        <v>0.3048639797139896</v>
      </c>
      <c r="AL43" s="1" cm="1">
        <f t="array" ref="AL43">_xlfn.XLOOKUP(1,('2016 E Maize Soil VWC'!$C$2:$C$4000=$AA43)*('2016 E Maize Soil VWC'!$E$2:$E$4000=$AB43)*('2016 E Maize Soil VWC'!$F$2:$F$4000=AL$5),'2016 E Maize Soil VWC'!$G$2:$G$4000)</f>
        <v>0.27300058493930918</v>
      </c>
      <c r="AM43" s="1" cm="1">
        <f t="array" ref="AM43">_xlfn.XLOOKUP(1,('2016 E Maize Soil VWC'!$C$2:$C$4000=$AA43)*('2016 E Maize Soil VWC'!$E$2:$E$4000=$AB43)*('2016 E Maize Soil VWC'!$F$2:$F$4000=AM$5),'2016 E Maize Soil VWC'!$G$2:$G$4000)</f>
        <v>0.28454303643679574</v>
      </c>
      <c r="AN43" s="1" cm="1">
        <f t="array" ref="AN43">_xlfn.XLOOKUP(1,('2016 E Maize Soil VWC'!$C$2:$C$4000=$AA43)*('2016 E Maize Soil VWC'!$E$2:$E$4000=$AB43)*('2016 E Maize Soil VWC'!$F$2:$F$4000=AN$5),'2016 E Maize Soil VWC'!$G$2:$G$4000)</f>
        <v>0.28611966134623318</v>
      </c>
      <c r="AO43" s="1" cm="1">
        <f t="array" ref="AO43">_xlfn.XLOOKUP(1,('2016 E Maize Soil VWC'!$C$2:$C$4000=$AA43)*('2016 E Maize Soil VWC'!$E$2:$E$4000=$AB43)*('2016 E Maize Soil VWC'!$F$2:$F$4000=AO$5),'2016 E Maize Soil VWC'!$G$2:$G$4000)</f>
        <v>0.27422684875776054</v>
      </c>
      <c r="AP43" s="1" cm="1">
        <f t="array" ref="AP43">_xlfn.XLOOKUP(1,('2016 E Maize Soil VWC'!$C$2:$C$4000=$AA43)*('2016 E Maize Soil VWC'!$E$2:$E$4000=$AB43)*('2016 E Maize Soil VWC'!$F$2:$F$4000=AP$5),'2016 E Maize Soil VWC'!$G$2:$G$4000)</f>
        <v>0.26842642625143509</v>
      </c>
      <c r="AQ43" s="1" t="e" cm="1">
        <f t="array" ref="AQ43">_xlfn.XLOOKUP(1,('2016 E Maize Soil VWC'!$C$2:$C$4000=$AA43)*('2016 E Maize Soil VWC'!$E$2:$E$4000=$AB43)*('2016 E Maize Soil VWC'!$F$2:$F$4000=AQ$5),'2016 E Maize Soil VWC'!$G$2:$G$4000)</f>
        <v>#N/A</v>
      </c>
      <c r="AR43" s="1" t="e" cm="1">
        <f t="array" ref="AR43">_xlfn.XLOOKUP(1,('2016 E Maize Soil VWC'!$C$2:$C$4000=$AA43)*('2016 E Maize Soil VWC'!$E$2:$E$4000=$AB43)*('2016 E Maize Soil VWC'!$F$2:$F$4000=AR$5),'2016 E Maize Soil VWC'!$G$2:$G$4000)</f>
        <v>#N/A</v>
      </c>
      <c r="AS43" s="1" cm="1">
        <f t="array" ref="AS43">_xlfn.XLOOKUP(1,('2016 E Maize Soil VWC'!$C$2:$C$4000=$AA43)*('2016 E Maize Soil VWC'!$E$2:$E$4000=$AB43)*('2016 E Maize Soil VWC'!$F$2:$F$4000=AS$5),'2016 E Maize Soil VWC'!$G$2:$G$4000)</f>
        <v>0.29801247393470581</v>
      </c>
      <c r="AT43" s="1" cm="1">
        <f t="array" ref="AT43">_xlfn.XLOOKUP(1,('2016 E Maize Soil VWC'!$C$2:$C$4000=$AA43)*('2016 E Maize Soil VWC'!$E$2:$E$4000=$AB43)*('2016 E Maize Soil VWC'!$F$2:$F$4000=AT$5),'2016 E Maize Soil VWC'!$G$2:$G$4000)</f>
        <v>0.29147240023629861</v>
      </c>
      <c r="AU43" s="1" cm="1">
        <f t="array" ref="AU43">_xlfn.XLOOKUP(1,('2016 E Maize Soil VWC'!$C$2:$C$4000=$AA43)*('2016 E Maize Soil VWC'!$E$2:$E$4000=$AB43)*('2016 E Maize Soil VWC'!$F$2:$F$4000=AU$5),'2016 E Maize Soil VWC'!$G$2:$G$4000)</f>
        <v>0.27950172962760683</v>
      </c>
      <c r="AV43" s="1" cm="1">
        <f t="array" ref="AV43">_xlfn.XLOOKUP(1,('2016 E Maize Soil VWC'!$C$2:$C$4000=$AA43)*('2016 E Maize Soil VWC'!$E$2:$E$4000=$AB43)*('2016 E Maize Soil VWC'!$F$2:$F$4000=AV$5),'2016 E Maize Soil VWC'!$G$2:$G$4000)</f>
        <v>0.27950172962760683</v>
      </c>
      <c r="BM43" s="1">
        <v>256</v>
      </c>
      <c r="BN43" s="1">
        <v>42625</v>
      </c>
    </row>
    <row r="44" spans="25:66" x14ac:dyDescent="0.25">
      <c r="AA44" s="18"/>
      <c r="BM44" s="1">
        <v>263</v>
      </c>
      <c r="BN44" s="1">
        <v>42632</v>
      </c>
    </row>
    <row r="45" spans="25:66" x14ac:dyDescent="0.25">
      <c r="Y45" s="1">
        <v>2016</v>
      </c>
      <c r="Z45" s="1">
        <v>167</v>
      </c>
      <c r="AA45" s="18">
        <f>DATE(Y45,1,Z45)</f>
        <v>42536</v>
      </c>
      <c r="AB45" s="1">
        <v>10</v>
      </c>
      <c r="AC45" s="1" cm="1">
        <f t="array" ref="AC45">_xlfn.XLOOKUP(1,('2016 E Maize Soil VWC'!$C$2:$C$4000=$AA45)*('2016 E Maize Soil VWC'!$E$2:$E$4000=$AB45)*('2016 E Maize Soil VWC'!$F$2:$F$4000=AC$5),'2016 E Maize Soil VWC'!$G$2:$G$4000)</f>
        <v>0.23742713048809033</v>
      </c>
      <c r="AD45" s="1" cm="1">
        <f t="array" ref="AD45">_xlfn.XLOOKUP(1,('2016 E Maize Soil VWC'!$C$2:$C$4000=$AA45)*('2016 E Maize Soil VWC'!$E$2:$E$4000=$AB45)*('2016 E Maize Soil VWC'!$F$2:$F$4000=AD$5),'2016 E Maize Soil VWC'!$G$2:$G$4000)</f>
        <v>0.24063042677530461</v>
      </c>
      <c r="AE45" s="1" cm="1">
        <f t="array" ref="AE45">_xlfn.XLOOKUP(1,('2016 E Maize Soil VWC'!$C$2:$C$4000=$AA45)*('2016 E Maize Soil VWC'!$E$2:$E$4000=$AB45)*('2016 E Maize Soil VWC'!$F$2:$F$4000=AE$5),'2016 E Maize Soil VWC'!$G$2:$G$4000)</f>
        <v>0.23957544895616217</v>
      </c>
      <c r="AF45" s="1" cm="1">
        <f t="array" ref="AF45">_xlfn.XLOOKUP(1,('2016 E Maize Soil VWC'!$C$2:$C$4000=$AA45)*('2016 E Maize Soil VWC'!$E$2:$E$4000=$AB45)*('2016 E Maize Soil VWC'!$F$2:$F$4000=AF$5),'2016 E Maize Soil VWC'!$G$2:$G$4000)</f>
        <v>0.23205633431791078</v>
      </c>
      <c r="AG45" s="1" cm="1">
        <f t="array" ref="AG45">_xlfn.XLOOKUP(1,('2016 E Maize Soil VWC'!$C$2:$C$4000=$AA45)*('2016 E Maize Soil VWC'!$E$2:$E$4000=$AB45)*('2016 E Maize Soil VWC'!$F$2:$F$4000=AG$5),'2016 E Maize Soil VWC'!$G$2:$G$4000)</f>
        <v>0.23873146670084827</v>
      </c>
      <c r="AH45" s="1" cm="1">
        <f t="array" ref="AH45">_xlfn.XLOOKUP(1,('2016 E Maize Soil VWC'!$C$2:$C$4000=$AA45)*('2016 E Maize Soil VWC'!$E$2:$E$4000=$AB45)*('2016 E Maize Soil VWC'!$F$2:$F$4000=AH$5),'2016 E Maize Soil VWC'!$G$2:$G$4000)</f>
        <v>0.22509348071157087</v>
      </c>
      <c r="AI45" s="1" cm="1">
        <f t="array" ref="AI45">_xlfn.XLOOKUP(1,('2016 E Maize Soil VWC'!$C$2:$C$4000=$AA45)*('2016 E Maize Soil VWC'!$E$2:$E$4000=$AB45)*('2016 E Maize Soil VWC'!$F$2:$F$4000=AI$5),'2016 E Maize Soil VWC'!$G$2:$G$4000)</f>
        <v>0.23222896705195223</v>
      </c>
      <c r="AJ45" s="1" cm="1">
        <f t="array" ref="AJ45">_xlfn.XLOOKUP(1,('2016 E Maize Soil VWC'!$C$2:$C$4000=$AA45)*('2016 E Maize Soil VWC'!$E$2:$E$4000=$AB45)*('2016 E Maize Soil VWC'!$F$2:$F$4000=AJ$5),'2016 E Maize Soil VWC'!$G$2:$G$4000)</f>
        <v>0.22240808262648104</v>
      </c>
      <c r="AK45" s="1" cm="1">
        <f t="array" ref="AK45">_xlfn.XLOOKUP(1,('2016 E Maize Soil VWC'!$C$2:$C$4000=$AA45)*('2016 E Maize Soil VWC'!$E$2:$E$4000=$AB45)*('2016 E Maize Soil VWC'!$F$2:$F$4000=AK$5),'2016 E Maize Soil VWC'!$G$2:$G$4000)</f>
        <v>0.22937093623282095</v>
      </c>
      <c r="AL45" s="1" cm="1">
        <f t="array" ref="AL45">_xlfn.XLOOKUP(1,('2016 E Maize Soil VWC'!$C$2:$C$4000=$AA45)*('2016 E Maize Soil VWC'!$E$2:$E$4000=$AB45)*('2016 E Maize Soil VWC'!$F$2:$F$4000=AL$5),'2016 E Maize Soil VWC'!$G$2:$G$4000)</f>
        <v>0.25587965161563581</v>
      </c>
      <c r="AM45" s="1" cm="1">
        <f t="array" ref="AM45">_xlfn.XLOOKUP(1,('2016 E Maize Soil VWC'!$C$2:$C$4000=$AA45)*('2016 E Maize Soil VWC'!$E$2:$E$4000=$AB45)*('2016 E Maize Soil VWC'!$F$2:$F$4000=AM$5),'2016 E Maize Soil VWC'!$G$2:$G$4000)</f>
        <v>0.22854613539240054</v>
      </c>
      <c r="AN45" s="1" cm="1">
        <f t="array" ref="AN45">_xlfn.XLOOKUP(1,('2016 E Maize Soil VWC'!$C$2:$C$4000=$AA45)*('2016 E Maize Soil VWC'!$E$2:$E$4000=$AB45)*('2016 E Maize Soil VWC'!$F$2:$F$4000=AN$5),'2016 E Maize Soil VWC'!$G$2:$G$4000)</f>
        <v>0.18151330607354238</v>
      </c>
      <c r="AO45" s="1" cm="1">
        <f t="array" ref="AO45">_xlfn.XLOOKUP(1,('2016 E Maize Soil VWC'!$C$2:$C$4000=$AA45)*('2016 E Maize Soil VWC'!$E$2:$E$4000=$AB45)*('2016 E Maize Soil VWC'!$F$2:$F$4000=AO$5),'2016 E Maize Soil VWC'!$G$2:$G$4000)</f>
        <v>0.20476118092446249</v>
      </c>
      <c r="AP45" s="1" cm="1">
        <f t="array" ref="AP45">_xlfn.XLOOKUP(1,('2016 E Maize Soil VWC'!$C$2:$C$4000=$AA45)*('2016 E Maize Soil VWC'!$E$2:$E$4000=$AB45)*('2016 E Maize Soil VWC'!$F$2:$F$4000=AP$5),'2016 E Maize Soil VWC'!$G$2:$G$4000)</f>
        <v>0.18784317298839687</v>
      </c>
      <c r="AQ45" s="1" cm="1">
        <f t="array" ref="AQ45">_xlfn.XLOOKUP(1,('2016 E Maize Soil VWC'!$C$2:$C$4000=$AA45)*('2016 E Maize Soil VWC'!$E$2:$E$4000=$AB45)*('2016 E Maize Soil VWC'!$F$2:$F$4000=AQ$5),'2016 E Maize Soil VWC'!$G$2:$G$4000)</f>
        <v>0.22670471956262472</v>
      </c>
      <c r="AR45" s="1" cm="1">
        <f t="array" ref="AR45">_xlfn.XLOOKUP(1,('2016 E Maize Soil VWC'!$C$2:$C$4000=$AA45)*('2016 E Maize Soil VWC'!$E$2:$E$4000=$AB45)*('2016 E Maize Soil VWC'!$F$2:$F$4000=AR$5),'2016 E Maize Soil VWC'!$G$2:$G$4000)</f>
        <v>0.20572025166913738</v>
      </c>
      <c r="AS45" s="1" cm="1">
        <f t="array" ref="AS45">_xlfn.XLOOKUP(1,('2016 E Maize Soil VWC'!$C$2:$C$4000=$AA45)*('2016 E Maize Soil VWC'!$E$2:$E$4000=$AB45)*('2016 E Maize Soil VWC'!$F$2:$F$4000=AS$5),'2016 E Maize Soil VWC'!$G$2:$G$4000)</f>
        <v>0.23299622364769218</v>
      </c>
      <c r="AT45" s="1" cm="1">
        <f t="array" ref="AT45">_xlfn.XLOOKUP(1,('2016 E Maize Soil VWC'!$C$2:$C$4000=$AA45)*('2016 E Maize Soil VWC'!$E$2:$E$4000=$AB45)*('2016 E Maize Soil VWC'!$F$2:$F$4000=AT$5),'2016 E Maize Soil VWC'!$G$2:$G$4000)</f>
        <v>0.19883412372237147</v>
      </c>
      <c r="AU45" s="1" cm="1">
        <f t="array" ref="AU45">_xlfn.XLOOKUP(1,('2016 E Maize Soil VWC'!$C$2:$C$4000=$AA45)*('2016 E Maize Soil VWC'!$E$2:$E$4000=$AB45)*('2016 E Maize Soil VWC'!$F$2:$F$4000=AU$5),'2016 E Maize Soil VWC'!$G$2:$G$4000)</f>
        <v>0.2350102722115095</v>
      </c>
      <c r="AV45" s="1" cm="1">
        <f t="array" ref="AV45">_xlfn.XLOOKUP(1,('2016 E Maize Soil VWC'!$C$2:$C$4000=$AA45)*('2016 E Maize Soil VWC'!$E$2:$E$4000=$AB45)*('2016 E Maize Soil VWC'!$F$2:$F$4000=AV$5),'2016 E Maize Soil VWC'!$G$2:$G$4000)</f>
        <v>0.20077144662661484</v>
      </c>
      <c r="AW45" s="1">
        <f>Z45</f>
        <v>167</v>
      </c>
      <c r="AX45" s="15">
        <f>AA45</f>
        <v>42536</v>
      </c>
      <c r="AY45" s="1">
        <f>1400*AVERAGE(AG45:AH51)+100*AVERAGE(AG52:AH52)</f>
        <v>483.99924965558364</v>
      </c>
      <c r="AZ45" s="1">
        <f>1400*AVERAGE(AC45:AF51,AI45:AL51)+100*AVERAGE(AC52:AF52,AI52:AL52)</f>
        <v>483.86715530975209</v>
      </c>
      <c r="BA45" s="1">
        <f>1400*AVERAGE(AQ45:AR51)+100*AVERAGE(AQ52:AR52)</f>
        <v>467.75502413589396</v>
      </c>
      <c r="BB45" s="1">
        <f>1400*AVERAGE(AM45:AP51,AS45:AV51)+100*AVERAGE(AM52:AP52,AS52:AV52)</f>
        <v>463.15942854712603</v>
      </c>
      <c r="BC45" s="1">
        <f>AVERAGE(AC45:AD56)*2400</f>
        <v>755.79470329480466</v>
      </c>
      <c r="BD45" s="1">
        <f>AVERAGE(AE45:AF56)*2400</f>
        <v>738.99171850262508</v>
      </c>
      <c r="BE45" s="1">
        <f>AVERAGE(AG45:AH54)*2000</f>
        <v>653.00429234147373</v>
      </c>
      <c r="BF45" s="1">
        <f>AVERAGE(AI45:AJ56)*2400</f>
        <v>754.47288844143259</v>
      </c>
      <c r="BG45" s="1">
        <f>AVERAGE(AK45:AL56)*2400</f>
        <v>757.70532696478926</v>
      </c>
      <c r="BH45" s="1">
        <f>AVERAGE(AM45:AN56)*2400</f>
        <v>749.86994041708931</v>
      </c>
      <c r="BI45" s="1">
        <f>AVERAGE(AO45:AP56)*2400</f>
        <v>701.51987581506296</v>
      </c>
      <c r="BJ45" s="1">
        <f>AVERAGE(AQ45:AR54)*2000</f>
        <v>632.89344289265136</v>
      </c>
      <c r="BK45" s="1">
        <f>AVERAGE(AS45:AT56)*2400</f>
        <v>759.44339132160019</v>
      </c>
      <c r="BL45" s="1">
        <f>AVERAGE(AU45:AV56)*2400</f>
        <v>751.22419102288325</v>
      </c>
      <c r="BM45" s="1">
        <v>270</v>
      </c>
      <c r="BN45" s="1">
        <v>42639</v>
      </c>
    </row>
    <row r="46" spans="25:66" x14ac:dyDescent="0.25">
      <c r="AA46" s="18">
        <f t="shared" ref="AA46:AA56" si="9">AA45</f>
        <v>42536</v>
      </c>
      <c r="AB46" s="1">
        <f t="shared" ref="AB46:AB56" si="10">AB45+20</f>
        <v>30</v>
      </c>
      <c r="AC46" s="1" cm="1">
        <f t="array" ref="AC46">_xlfn.XLOOKUP(1,('2016 E Maize Soil VWC'!$C$2:$C$4000=$AA46)*('2016 E Maize Soil VWC'!$E$2:$E$4000=$AB46)*('2016 E Maize Soil VWC'!$F$2:$F$4000=AC$5),'2016 E Maize Soil VWC'!$G$2:$G$4000)</f>
        <v>0.32429427338185629</v>
      </c>
      <c r="AD46" s="1" cm="1">
        <f t="array" ref="AD46">_xlfn.XLOOKUP(1,('2016 E Maize Soil VWC'!$C$2:$C$4000=$AA46)*('2016 E Maize Soil VWC'!$E$2:$E$4000=$AB46)*('2016 E Maize Soil VWC'!$F$2:$F$4000=AD$5),'2016 E Maize Soil VWC'!$G$2:$G$4000)</f>
        <v>0.33379706889441241</v>
      </c>
      <c r="AE46" s="1" cm="1">
        <f t="array" ref="AE46">_xlfn.XLOOKUP(1,('2016 E Maize Soil VWC'!$C$2:$C$4000=$AA46)*('2016 E Maize Soil VWC'!$E$2:$E$4000=$AB46)*('2016 E Maize Soil VWC'!$F$2:$F$4000=AE$5),'2016 E Maize Soil VWC'!$G$2:$G$4000)</f>
        <v>0.31918795193775984</v>
      </c>
      <c r="AF46" s="1" cm="1">
        <f t="array" ref="AF46">_xlfn.XLOOKUP(1,('2016 E Maize Soil VWC'!$C$2:$C$4000=$AA46)*('2016 E Maize Soil VWC'!$E$2:$E$4000=$AB46)*('2016 E Maize Soil VWC'!$F$2:$F$4000=AF$5),'2016 E Maize Soil VWC'!$G$2:$G$4000)</f>
        <v>0.31664624036693162</v>
      </c>
      <c r="AG46" s="1" cm="1">
        <f t="array" ref="AG46">_xlfn.XLOOKUP(1,('2016 E Maize Soil VWC'!$C$2:$C$4000=$AA46)*('2016 E Maize Soil VWC'!$E$2:$E$4000=$AB46)*('2016 E Maize Soil VWC'!$F$2:$F$4000=AG$5),'2016 E Maize Soil VWC'!$G$2:$G$4000)</f>
        <v>0.33143854374310333</v>
      </c>
      <c r="AH46" s="1" cm="1">
        <f t="array" ref="AH46">_xlfn.XLOOKUP(1,('2016 E Maize Soil VWC'!$C$2:$C$4000=$AA46)*('2016 E Maize Soil VWC'!$E$2:$E$4000=$AB46)*('2016 E Maize Soil VWC'!$F$2:$F$4000=AH$5),'2016 E Maize Soil VWC'!$G$2:$G$4000)</f>
        <v>0.33171332337238207</v>
      </c>
      <c r="AI46" s="1" cm="1">
        <f t="array" ref="AI46">_xlfn.XLOOKUP(1,('2016 E Maize Soil VWC'!$C$2:$C$4000=$AA46)*('2016 E Maize Soil VWC'!$E$2:$E$4000=$AB46)*('2016 E Maize Soil VWC'!$F$2:$F$4000=AI$5),'2016 E Maize Soil VWC'!$G$2:$G$4000)</f>
        <v>0.30657098729337812</v>
      </c>
      <c r="AJ46" s="1" cm="1">
        <f t="array" ref="AJ46">_xlfn.XLOOKUP(1,('2016 E Maize Soil VWC'!$C$2:$C$4000=$AA46)*('2016 E Maize Soil VWC'!$E$2:$E$4000=$AB46)*('2016 E Maize Soil VWC'!$F$2:$F$4000=AJ$5),'2016 E Maize Soil VWC'!$G$2:$G$4000)</f>
        <v>0.32637801890388668</v>
      </c>
      <c r="AK46" s="1" cm="1">
        <f t="array" ref="AK46">_xlfn.XLOOKUP(1,('2016 E Maize Soil VWC'!$C$2:$C$4000=$AA46)*('2016 E Maize Soil VWC'!$E$2:$E$4000=$AB46)*('2016 E Maize Soil VWC'!$F$2:$F$4000=AK$5),'2016 E Maize Soil VWC'!$G$2:$G$4000)</f>
        <v>0.31868418928408221</v>
      </c>
      <c r="AL46" s="1" cm="1">
        <f t="array" ref="AL46">_xlfn.XLOOKUP(1,('2016 E Maize Soil VWC'!$C$2:$C$4000=$AA46)*('2016 E Maize Soil VWC'!$E$2:$E$4000=$AB46)*('2016 E Maize Soil VWC'!$F$2:$F$4000=AL$5),'2016 E Maize Soil VWC'!$G$2:$G$4000)</f>
        <v>0.33473589929444808</v>
      </c>
      <c r="AM46" s="1" cm="1">
        <f t="array" ref="AM46">_xlfn.XLOOKUP(1,('2016 E Maize Soil VWC'!$C$2:$C$4000=$AA46)*('2016 E Maize Soil VWC'!$E$2:$E$4000=$AB46)*('2016 E Maize Soil VWC'!$F$2:$F$4000=AM$5),'2016 E Maize Soil VWC'!$G$2:$G$4000)</f>
        <v>0.31330308821070701</v>
      </c>
      <c r="AN46" s="1" cm="1">
        <f t="array" ref="AN46">_xlfn.XLOOKUP(1,('2016 E Maize Soil VWC'!$C$2:$C$4000=$AA46)*('2016 E Maize Soil VWC'!$E$2:$E$4000=$AB46)*('2016 E Maize Soil VWC'!$F$2:$F$4000=AN$5),'2016 E Maize Soil VWC'!$G$2:$G$4000)</f>
        <v>0.27171977097985889</v>
      </c>
      <c r="AO46" s="1" cm="1">
        <f t="array" ref="AO46">_xlfn.XLOOKUP(1,('2016 E Maize Soil VWC'!$C$2:$C$4000=$AA46)*('2016 E Maize Soil VWC'!$E$2:$E$4000=$AB46)*('2016 E Maize Soil VWC'!$F$2:$F$4000=AO$5),'2016 E Maize Soil VWC'!$G$2:$G$4000)</f>
        <v>0.21440531997280338</v>
      </c>
      <c r="AP46" s="1" cm="1">
        <f t="array" ref="AP46">_xlfn.XLOOKUP(1,('2016 E Maize Soil VWC'!$C$2:$C$4000=$AA46)*('2016 E Maize Soil VWC'!$E$2:$E$4000=$AB46)*('2016 E Maize Soil VWC'!$F$2:$F$4000=AP$5),'2016 E Maize Soil VWC'!$G$2:$G$4000)</f>
        <v>0.18756850951324722</v>
      </c>
      <c r="AQ46" s="1" cm="1">
        <f t="array" ref="AQ46">_xlfn.XLOOKUP(1,('2016 E Maize Soil VWC'!$C$2:$C$4000=$AA46)*('2016 E Maize Soil VWC'!$E$2:$E$4000=$AB46)*('2016 E Maize Soil VWC'!$F$2:$F$4000=AQ$5),'2016 E Maize Soil VWC'!$G$2:$G$4000)</f>
        <v>0.31863839267920235</v>
      </c>
      <c r="AR46" s="1" cm="1">
        <f t="array" ref="AR46">_xlfn.XLOOKUP(1,('2016 E Maize Soil VWC'!$C$2:$C$4000=$AA46)*('2016 E Maize Soil VWC'!$E$2:$E$4000=$AB46)*('2016 E Maize Soil VWC'!$F$2:$F$4000=AR$5),'2016 E Maize Soil VWC'!$G$2:$G$4000)</f>
        <v>0.32248530748910464</v>
      </c>
      <c r="AS46" s="1" cm="1">
        <f t="array" ref="AS46">_xlfn.XLOOKUP(1,('2016 E Maize Soil VWC'!$C$2:$C$4000=$AA46)*('2016 E Maize Soil VWC'!$E$2:$E$4000=$AB46)*('2016 E Maize Soil VWC'!$F$2:$F$4000=AS$5),'2016 E Maize Soil VWC'!$G$2:$G$4000)</f>
        <v>0.32690467986000427</v>
      </c>
      <c r="AT46" s="1" cm="1">
        <f t="array" ref="AT46">_xlfn.XLOOKUP(1,('2016 E Maize Soil VWC'!$C$2:$C$4000=$AA46)*('2016 E Maize Soil VWC'!$E$2:$E$4000=$AB46)*('2016 E Maize Soil VWC'!$F$2:$F$4000=AT$5),'2016 E Maize Soil VWC'!$G$2:$G$4000)</f>
        <v>0.29306098885384047</v>
      </c>
      <c r="AU46" s="1" cm="1">
        <f t="array" ref="AU46">_xlfn.XLOOKUP(1,('2016 E Maize Soil VWC'!$C$2:$C$4000=$AA46)*('2016 E Maize Soil VWC'!$E$2:$E$4000=$AB46)*('2016 E Maize Soil VWC'!$F$2:$F$4000=AU$5),'2016 E Maize Soil VWC'!$G$2:$G$4000)</f>
        <v>0.31666913866937152</v>
      </c>
      <c r="AV46" s="1" cm="1">
        <f t="array" ref="AV46">_xlfn.XLOOKUP(1,('2016 E Maize Soil VWC'!$C$2:$C$4000=$AA46)*('2016 E Maize Soil VWC'!$E$2:$E$4000=$AB46)*('2016 E Maize Soil VWC'!$F$2:$F$4000=AV$5),'2016 E Maize Soil VWC'!$G$2:$G$4000)</f>
        <v>0.27852056680450749</v>
      </c>
      <c r="BM46" s="1">
        <v>286</v>
      </c>
      <c r="BN46" s="1">
        <v>42655</v>
      </c>
    </row>
    <row r="47" spans="25:66" x14ac:dyDescent="0.25">
      <c r="AA47" s="18">
        <f t="shared" si="9"/>
        <v>42536</v>
      </c>
      <c r="AB47" s="1">
        <f t="shared" si="10"/>
        <v>50</v>
      </c>
      <c r="AC47" s="1" cm="1">
        <f t="array" ref="AC47">_xlfn.XLOOKUP(1,('2016 E Maize Soil VWC'!$C$2:$C$4000=$AA47)*('2016 E Maize Soil VWC'!$E$2:$E$4000=$AB47)*('2016 E Maize Soil VWC'!$F$2:$F$4000=AC$5),'2016 E Maize Soil VWC'!$G$2:$G$4000)</f>
        <v>0.34895574510962246</v>
      </c>
      <c r="AD47" s="1" cm="1">
        <f t="array" ref="AD47">_xlfn.XLOOKUP(1,('2016 E Maize Soil VWC'!$C$2:$C$4000=$AA47)*('2016 E Maize Soil VWC'!$E$2:$E$4000=$AB47)*('2016 E Maize Soil VWC'!$F$2:$F$4000=AD$5),'2016 E Maize Soil VWC'!$G$2:$G$4000)</f>
        <v>0.35589393074891046</v>
      </c>
      <c r="AE47" s="1" cm="1">
        <f t="array" ref="AE47">_xlfn.XLOOKUP(1,('2016 E Maize Soil VWC'!$C$2:$C$4000=$AA47)*('2016 E Maize Soil VWC'!$E$2:$E$4000=$AB47)*('2016 E Maize Soil VWC'!$F$2:$F$4000=AE$5),'2016 E Maize Soil VWC'!$G$2:$G$4000)</f>
        <v>0.35330642257320244</v>
      </c>
      <c r="AF47" s="1" cm="1">
        <f t="array" ref="AF47">_xlfn.XLOOKUP(1,('2016 E Maize Soil VWC'!$C$2:$C$4000=$AA47)*('2016 E Maize Soil VWC'!$E$2:$E$4000=$AB47)*('2016 E Maize Soil VWC'!$F$2:$F$4000=AF$5),'2016 E Maize Soil VWC'!$G$2:$G$4000)</f>
        <v>0.34870386378278367</v>
      </c>
      <c r="AG47" s="1" cm="1">
        <f t="array" ref="AG47">_xlfn.XLOOKUP(1,('2016 E Maize Soil VWC'!$C$2:$C$4000=$AA47)*('2016 E Maize Soil VWC'!$E$2:$E$4000=$AB47)*('2016 E Maize Soil VWC'!$F$2:$F$4000=AG$5),'2016 E Maize Soil VWC'!$G$2:$G$4000)</f>
        <v>0.35110818553897255</v>
      </c>
      <c r="AH47" s="1" cm="1">
        <f t="array" ref="AH47">_xlfn.XLOOKUP(1,('2016 E Maize Soil VWC'!$C$2:$C$4000=$AA47)*('2016 E Maize Soil VWC'!$E$2:$E$4000=$AB47)*('2016 E Maize Soil VWC'!$F$2:$F$4000=AH$5),'2016 E Maize Soil VWC'!$G$2:$G$4000)</f>
        <v>0.35190962612436882</v>
      </c>
      <c r="AI47" s="1" cm="1">
        <f t="array" ref="AI47">_xlfn.XLOOKUP(1,('2016 E Maize Soil VWC'!$C$2:$C$4000=$AA47)*('2016 E Maize Soil VWC'!$E$2:$E$4000=$AB47)*('2016 E Maize Soil VWC'!$F$2:$F$4000=AI$5),'2016 E Maize Soil VWC'!$G$2:$G$4000)</f>
        <v>0.35406206655371891</v>
      </c>
      <c r="AJ47" s="1" cm="1">
        <f t="array" ref="AJ47">_xlfn.XLOOKUP(1,('2016 E Maize Soil VWC'!$C$2:$C$4000=$AA47)*('2016 E Maize Soil VWC'!$E$2:$E$4000=$AB47)*('2016 E Maize Soil VWC'!$F$2:$F$4000=AJ$5),'2016 E Maize Soil VWC'!$G$2:$G$4000)</f>
        <v>0.34975718569501885</v>
      </c>
      <c r="AK47" s="1" cm="1">
        <f t="array" ref="AK47">_xlfn.XLOOKUP(1,('2016 E Maize Soil VWC'!$C$2:$C$4000=$AA47)*('2016 E Maize Soil VWC'!$E$2:$E$4000=$AB47)*('2016 E Maize Soil VWC'!$F$2:$F$4000=AK$5),'2016 E Maize Soil VWC'!$G$2:$G$4000)</f>
        <v>0.35273396501220505</v>
      </c>
      <c r="AL47" s="1" cm="1">
        <f t="array" ref="AL47">_xlfn.XLOOKUP(1,('2016 E Maize Soil VWC'!$C$2:$C$4000=$AA47)*('2016 E Maize Soil VWC'!$E$2:$E$4000=$AB47)*('2016 E Maize Soil VWC'!$F$2:$F$4000=AL$5),'2016 E Maize Soil VWC'!$G$2:$G$4000)</f>
        <v>0.35857303213437813</v>
      </c>
      <c r="AM47" s="1" cm="1">
        <f t="array" ref="AM47">_xlfn.XLOOKUP(1,('2016 E Maize Soil VWC'!$C$2:$C$4000=$AA47)*('2016 E Maize Soil VWC'!$E$2:$E$4000=$AB47)*('2016 E Maize Soil VWC'!$F$2:$F$4000=AM$5),'2016 E Maize Soil VWC'!$G$2:$G$4000)</f>
        <v>0.35106238893409281</v>
      </c>
      <c r="AN47" s="1" cm="1">
        <f t="array" ref="AN47">_xlfn.XLOOKUP(1,('2016 E Maize Soil VWC'!$C$2:$C$4000=$AA47)*('2016 E Maize Soil VWC'!$E$2:$E$4000=$AB47)*('2016 E Maize Soil VWC'!$F$2:$F$4000=AN$5),'2016 E Maize Soil VWC'!$G$2:$G$4000)</f>
        <v>0.35245918538292631</v>
      </c>
      <c r="AO47" s="1" cm="1">
        <f t="array" ref="AO47">_xlfn.XLOOKUP(1,('2016 E Maize Soil VWC'!$C$2:$C$4000=$AA47)*('2016 E Maize Soil VWC'!$E$2:$E$4000=$AB47)*('2016 E Maize Soil VWC'!$F$2:$F$4000=AO$5),'2016 E Maize Soil VWC'!$G$2:$G$4000)</f>
        <v>0.31428771521562249</v>
      </c>
      <c r="AP47" s="1" cm="1">
        <f t="array" ref="AP47">_xlfn.XLOOKUP(1,('2016 E Maize Soil VWC'!$C$2:$C$4000=$AA47)*('2016 E Maize Soil VWC'!$E$2:$E$4000=$AB47)*('2016 E Maize Soil VWC'!$F$2:$F$4000=AP$5),'2016 E Maize Soil VWC'!$G$2:$G$4000)</f>
        <v>0.30650229238605842</v>
      </c>
      <c r="AQ47" s="1" cm="1">
        <f t="array" ref="AQ47">_xlfn.XLOOKUP(1,('2016 E Maize Soil VWC'!$C$2:$C$4000=$AA47)*('2016 E Maize Soil VWC'!$E$2:$E$4000=$AB47)*('2016 E Maize Soil VWC'!$F$2:$F$4000=AQ$5),'2016 E Maize Soil VWC'!$G$2:$G$4000)</f>
        <v>0.33572052629936355</v>
      </c>
      <c r="AR47" s="1" cm="1">
        <f t="array" ref="AR47">_xlfn.XLOOKUP(1,('2016 E Maize Soil VWC'!$C$2:$C$4000=$AA47)*('2016 E Maize Soil VWC'!$E$2:$E$4000=$AB47)*('2016 E Maize Soil VWC'!$F$2:$F$4000=AR$5),'2016 E Maize Soil VWC'!$G$2:$G$4000)</f>
        <v>0.34259001703133185</v>
      </c>
      <c r="AS47" s="1" cm="1">
        <f t="array" ref="AS47">_xlfn.XLOOKUP(1,('2016 E Maize Soil VWC'!$C$2:$C$4000=$AA47)*('2016 E Maize Soil VWC'!$E$2:$E$4000=$AB47)*('2016 E Maize Soil VWC'!$F$2:$F$4000=AS$5),'2016 E Maize Soil VWC'!$G$2:$G$4000)</f>
        <v>0.36594628552002412</v>
      </c>
      <c r="AT47" s="1" cm="1">
        <f t="array" ref="AT47">_xlfn.XLOOKUP(1,('2016 E Maize Soil VWC'!$C$2:$C$4000=$AA47)*('2016 E Maize Soil VWC'!$E$2:$E$4000=$AB47)*('2016 E Maize Soil VWC'!$F$2:$F$4000=AT$5),'2016 E Maize Soil VWC'!$G$2:$G$4000)</f>
        <v>0.34845198245594478</v>
      </c>
      <c r="AU47" s="1" cm="1">
        <f t="array" ref="AU47">_xlfn.XLOOKUP(1,('2016 E Maize Soil VWC'!$C$2:$C$4000=$AA47)*('2016 E Maize Soil VWC'!$E$2:$E$4000=$AB47)*('2016 E Maize Soil VWC'!$F$2:$F$4000=AU$5),'2016 E Maize Soil VWC'!$G$2:$G$4000)</f>
        <v>0.35481771053423544</v>
      </c>
      <c r="AV47" s="1" cm="1">
        <f t="array" ref="AV47">_xlfn.XLOOKUP(1,('2016 E Maize Soil VWC'!$C$2:$C$4000=$AA47)*('2016 E Maize Soil VWC'!$E$2:$E$4000=$AB47)*('2016 E Maize Soil VWC'!$F$2:$F$4000=AV$5),'2016 E Maize Soil VWC'!$G$2:$G$4000)</f>
        <v>0.3531232361536833</v>
      </c>
      <c r="BM47" s="1">
        <v>302</v>
      </c>
      <c r="BN47" s="1">
        <v>42671</v>
      </c>
    </row>
    <row r="48" spans="25:66" x14ac:dyDescent="0.25">
      <c r="AA48" s="18">
        <f t="shared" si="9"/>
        <v>42536</v>
      </c>
      <c r="AB48" s="1">
        <f t="shared" si="10"/>
        <v>70</v>
      </c>
      <c r="AC48" s="1" cm="1">
        <f t="array" ref="AC48">_xlfn.XLOOKUP(1,('2016 E Maize Soil VWC'!$C$2:$C$4000=$AA48)*('2016 E Maize Soil VWC'!$E$2:$E$4000=$AB48)*('2016 E Maize Soil VWC'!$F$2:$F$4000=AC$5),'2016 E Maize Soil VWC'!$G$2:$G$4000)</f>
        <v>0.3491618298315815</v>
      </c>
      <c r="AD48" s="1" cm="1">
        <f t="array" ref="AD48">_xlfn.XLOOKUP(1,('2016 E Maize Soil VWC'!$C$2:$C$4000=$AA48)*('2016 E Maize Soil VWC'!$E$2:$E$4000=$AB48)*('2016 E Maize Soil VWC'!$F$2:$F$4000=AD$5),'2016 E Maize Soil VWC'!$G$2:$G$4000)</f>
        <v>0.35181803291460928</v>
      </c>
      <c r="AE48" s="1" cm="1">
        <f t="array" ref="AE48">_xlfn.XLOOKUP(1,('2016 E Maize Soil VWC'!$C$2:$C$4000=$AA48)*('2016 E Maize Soil VWC'!$E$2:$E$4000=$AB48)*('2016 E Maize Soil VWC'!$F$2:$F$4000=AE$5),'2016 E Maize Soil VWC'!$G$2:$G$4000)</f>
        <v>0.34403261008504521</v>
      </c>
      <c r="AF48" s="1" cm="1">
        <f t="array" ref="AF48">_xlfn.XLOOKUP(1,('2016 E Maize Soil VWC'!$C$2:$C$4000=$AA48)*('2016 E Maize Soil VWC'!$E$2:$E$4000=$AB48)*('2016 E Maize Soil VWC'!$F$2:$F$4000=AF$5),'2016 E Maize Soil VWC'!$G$2:$G$4000)</f>
        <v>0.34004830546050357</v>
      </c>
      <c r="AG48" s="1" cm="1">
        <f t="array" ref="AG48">_xlfn.XLOOKUP(1,('2016 E Maize Soil VWC'!$C$2:$C$4000=$AA48)*('2016 E Maize Soil VWC'!$E$2:$E$4000=$AB48)*('2016 E Maize Soil VWC'!$F$2:$F$4000=AG$5),'2016 E Maize Soil VWC'!$G$2:$G$4000)</f>
        <v>0.34648272844611394</v>
      </c>
      <c r="AH48" s="1" cm="1">
        <f t="array" ref="AH48">_xlfn.XLOOKUP(1,('2016 E Maize Soil VWC'!$C$2:$C$4000=$AA48)*('2016 E Maize Soil VWC'!$E$2:$E$4000=$AB48)*('2016 E Maize Soil VWC'!$F$2:$F$4000=AH$5),'2016 E Maize Soil VWC'!$G$2:$G$4000)</f>
        <v>0.34190306795813508</v>
      </c>
      <c r="AI48" s="1" cm="1">
        <f t="array" ref="AI48">_xlfn.XLOOKUP(1,('2016 E Maize Soil VWC'!$C$2:$C$4000=$AA48)*('2016 E Maize Soil VWC'!$E$2:$E$4000=$AB48)*('2016 E Maize Soil VWC'!$F$2:$F$4000=AI$5),'2016 E Maize Soil VWC'!$G$2:$G$4000)</f>
        <v>0.3493908128559805</v>
      </c>
      <c r="AJ48" s="1" cm="1">
        <f t="array" ref="AJ48">_xlfn.XLOOKUP(1,('2016 E Maize Soil VWC'!$C$2:$C$4000=$AA48)*('2016 E Maize Soil VWC'!$E$2:$E$4000=$AB48)*('2016 E Maize Soil VWC'!$F$2:$F$4000=AJ$5),'2016 E Maize Soil VWC'!$G$2:$G$4000)</f>
        <v>0.33846832259215087</v>
      </c>
      <c r="AK48" s="1" cm="1">
        <f t="array" ref="AK48">_xlfn.XLOOKUP(1,('2016 E Maize Soil VWC'!$C$2:$C$4000=$AA48)*('2016 E Maize Soil VWC'!$E$2:$E$4000=$AB48)*('2016 E Maize Soil VWC'!$F$2:$F$4000=AK$5),'2016 E Maize Soil VWC'!$G$2:$G$4000)</f>
        <v>0.34538360992899902</v>
      </c>
      <c r="AL48" s="1" cm="1">
        <f t="array" ref="AL48">_xlfn.XLOOKUP(1,('2016 E Maize Soil VWC'!$C$2:$C$4000=$AA48)*('2016 E Maize Soil VWC'!$E$2:$E$4000=$AB48)*('2016 E Maize Soil VWC'!$F$2:$F$4000=AL$5),'2016 E Maize Soil VWC'!$G$2:$G$4000)</f>
        <v>0.34822299943154589</v>
      </c>
      <c r="AM48" s="1" cm="1">
        <f t="array" ref="AM48">_xlfn.XLOOKUP(1,('2016 E Maize Soil VWC'!$C$2:$C$4000=$AA48)*('2016 E Maize Soil VWC'!$E$2:$E$4000=$AB48)*('2016 E Maize Soil VWC'!$F$2:$F$4000=AM$5),'2016 E Maize Soil VWC'!$G$2:$G$4000)</f>
        <v>0.34593316918755646</v>
      </c>
      <c r="AN48" s="1" cm="1">
        <f t="array" ref="AN48">_xlfn.XLOOKUP(1,('2016 E Maize Soil VWC'!$C$2:$C$4000=$AA48)*('2016 E Maize Soil VWC'!$E$2:$E$4000=$AB48)*('2016 E Maize Soil VWC'!$F$2:$F$4000=AN$5),'2016 E Maize Soil VWC'!$G$2:$G$4000)</f>
        <v>0.33949874620194609</v>
      </c>
      <c r="AO48" s="1" cm="1">
        <f t="array" ref="AO48">_xlfn.XLOOKUP(1,('2016 E Maize Soil VWC'!$C$2:$C$4000=$AA48)*('2016 E Maize Soil VWC'!$E$2:$E$4000=$AB48)*('2016 E Maize Soil VWC'!$F$2:$F$4000=AO$5),'2016 E Maize Soil VWC'!$G$2:$G$4000)</f>
        <v>0.33272084867973739</v>
      </c>
      <c r="AP48" s="1" cm="1">
        <f t="array" ref="AP48">_xlfn.XLOOKUP(1,('2016 E Maize Soil VWC'!$C$2:$C$4000=$AA48)*('2016 E Maize Soil VWC'!$E$2:$E$4000=$AB48)*('2016 E Maize Soil VWC'!$F$2:$F$4000=AP$5),'2016 E Maize Soil VWC'!$G$2:$G$4000)</f>
        <v>0.35206991424144812</v>
      </c>
      <c r="AQ48" s="1" cm="1">
        <f t="array" ref="AQ48">_xlfn.XLOOKUP(1,('2016 E Maize Soil VWC'!$C$2:$C$4000=$AA48)*('2016 E Maize Soil VWC'!$E$2:$E$4000=$AB48)*('2016 E Maize Soil VWC'!$F$2:$F$4000=AQ$5),'2016 E Maize Soil VWC'!$G$2:$G$4000)</f>
        <v>0.33368257738221296</v>
      </c>
      <c r="AR48" s="1" cm="1">
        <f t="array" ref="AR48">_xlfn.XLOOKUP(1,('2016 E Maize Soil VWC'!$C$2:$C$4000=$AA48)*('2016 E Maize Soil VWC'!$E$2:$E$4000=$AB48)*('2016 E Maize Soil VWC'!$F$2:$F$4000=AR$5),'2016 E Maize Soil VWC'!$G$2:$G$4000)</f>
        <v>0.33507937383104652</v>
      </c>
      <c r="AS48" s="1" cm="1">
        <f t="array" ref="AS48">_xlfn.XLOOKUP(1,('2016 E Maize Soil VWC'!$C$2:$C$4000=$AA48)*('2016 E Maize Soil VWC'!$E$2:$E$4000=$AB48)*('2016 E Maize Soil VWC'!$F$2:$F$4000=AS$5),'2016 E Maize Soil VWC'!$G$2:$G$4000)</f>
        <v>0.3462995420265948</v>
      </c>
      <c r="AT48" s="1" cm="1">
        <f t="array" ref="AT48">_xlfn.XLOOKUP(1,('2016 E Maize Soil VWC'!$C$2:$C$4000=$AA48)*('2016 E Maize Soil VWC'!$E$2:$E$4000=$AB48)*('2016 E Maize Soil VWC'!$F$2:$F$4000=AT$5),'2016 E Maize Soil VWC'!$G$2:$G$4000)</f>
        <v>0.33620139065060134</v>
      </c>
      <c r="AU48" s="1" cm="1">
        <f t="array" ref="AU48">_xlfn.XLOOKUP(1,('2016 E Maize Soil VWC'!$C$2:$C$4000=$AA48)*('2016 E Maize Soil VWC'!$E$2:$E$4000=$AB48)*('2016 E Maize Soil VWC'!$F$2:$F$4000=AU$5),'2016 E Maize Soil VWC'!$G$2:$G$4000)</f>
        <v>0.33823933956775198</v>
      </c>
      <c r="AV48" s="1" cm="1">
        <f t="array" ref="AV48">_xlfn.XLOOKUP(1,('2016 E Maize Soil VWC'!$C$2:$C$4000=$AA48)*('2016 E Maize Soil VWC'!$E$2:$E$4000=$AB48)*('2016 E Maize Soil VWC'!$F$2:$F$4000=AV$5),'2016 E Maize Soil VWC'!$G$2:$G$4000)</f>
        <v>0.34064366132394086</v>
      </c>
      <c r="BN48" s="15"/>
    </row>
    <row r="49" spans="25:66" x14ac:dyDescent="0.25">
      <c r="AA49" s="18">
        <f t="shared" si="9"/>
        <v>42536</v>
      </c>
      <c r="AB49" s="1">
        <f t="shared" si="10"/>
        <v>90</v>
      </c>
      <c r="AC49" s="1" cm="1">
        <f t="array" ref="AC49">_xlfn.XLOOKUP(1,('2016 E Maize Soil VWC'!$C$2:$C$4000=$AA49)*('2016 E Maize Soil VWC'!$E$2:$E$4000=$AB49)*('2016 E Maize Soil VWC'!$F$2:$F$4000=AC$5),'2016 E Maize Soil VWC'!$G$2:$G$4000)</f>
        <v>0.34199466116789462</v>
      </c>
      <c r="AD49" s="1" cm="1">
        <f t="array" ref="AD49">_xlfn.XLOOKUP(1,('2016 E Maize Soil VWC'!$C$2:$C$4000=$AA49)*('2016 E Maize Soil VWC'!$E$2:$E$4000=$AB49)*('2016 E Maize Soil VWC'!$F$2:$F$4000=AD$5),'2016 E Maize Soil VWC'!$G$2:$G$4000)</f>
        <v>0.34252132212401221</v>
      </c>
      <c r="AE49" s="1" cm="1">
        <f t="array" ref="AE49">_xlfn.XLOOKUP(1,('2016 E Maize Soil VWC'!$C$2:$C$4000=$AA49)*('2016 E Maize Soil VWC'!$E$2:$E$4000=$AB49)*('2016 E Maize Soil VWC'!$F$2:$F$4000=AE$5),'2016 E Maize Soil VWC'!$G$2:$G$4000)</f>
        <v>0.33631588216280084</v>
      </c>
      <c r="AF49" s="1" cm="1">
        <f t="array" ref="AF49">_xlfn.XLOOKUP(1,('2016 E Maize Soil VWC'!$C$2:$C$4000=$AA49)*('2016 E Maize Soil VWC'!$E$2:$E$4000=$AB49)*('2016 E Maize Soil VWC'!$F$2:$F$4000=AF$5),'2016 E Maize Soil VWC'!$G$2:$G$4000)</f>
        <v>0.33819354296287213</v>
      </c>
      <c r="AG49" s="1" cm="1">
        <f t="array" ref="AG49">_xlfn.XLOOKUP(1,('2016 E Maize Soil VWC'!$C$2:$C$4000=$AA49)*('2016 E Maize Soil VWC'!$E$2:$E$4000=$AB49)*('2016 E Maize Soil VWC'!$F$2:$F$4000=AG$5),'2016 E Maize Soil VWC'!$G$2:$G$4000)</f>
        <v>0.33975062752878499</v>
      </c>
      <c r="AH49" s="1" cm="1">
        <f t="array" ref="AH49">_xlfn.XLOOKUP(1,('2016 E Maize Soil VWC'!$C$2:$C$4000=$AA49)*('2016 E Maize Soil VWC'!$E$2:$E$4000=$AB49)*('2016 E Maize Soil VWC'!$F$2:$F$4000=AH$5),'2016 E Maize Soil VWC'!$G$2:$G$4000)</f>
        <v>0.33136984883578363</v>
      </c>
      <c r="AI49" s="1" cm="1">
        <f t="array" ref="AI49">_xlfn.XLOOKUP(1,('2016 E Maize Soil VWC'!$C$2:$C$4000=$AA49)*('2016 E Maize Soil VWC'!$E$2:$E$4000=$AB49)*('2016 E Maize Soil VWC'!$F$2:$F$4000=AI$5),'2016 E Maize Soil VWC'!$G$2:$G$4000)</f>
        <v>0.33874310222142962</v>
      </c>
      <c r="AJ49" s="1" cm="1">
        <f t="array" ref="AJ49">_xlfn.XLOOKUP(1,('2016 E Maize Soil VWC'!$C$2:$C$4000=$AA49)*('2016 E Maize Soil VWC'!$E$2:$E$4000=$AB49)*('2016 E Maize Soil VWC'!$F$2:$F$4000=AJ$5),'2016 E Maize Soil VWC'!$G$2:$G$4000)</f>
        <v>0.34032308508978232</v>
      </c>
      <c r="AK49" s="1" cm="1">
        <f t="array" ref="AK49">_xlfn.XLOOKUP(1,('2016 E Maize Soil VWC'!$C$2:$C$4000=$AA49)*('2016 E Maize Soil VWC'!$E$2:$E$4000=$AB49)*('2016 E Maize Soil VWC'!$F$2:$F$4000=AK$5),'2016 E Maize Soil VWC'!$G$2:$G$4000)</f>
        <v>0.33720891595795671</v>
      </c>
      <c r="AL49" s="1" cm="1">
        <f t="array" ref="AL49">_xlfn.XLOOKUP(1,('2016 E Maize Soil VWC'!$C$2:$C$4000=$AA49)*('2016 E Maize Soil VWC'!$E$2:$E$4000=$AB49)*('2016 E Maize Soil VWC'!$F$2:$F$4000=AL$5),'2016 E Maize Soil VWC'!$G$2:$G$4000)</f>
        <v>0.34004830546050357</v>
      </c>
      <c r="AM49" s="1" cm="1">
        <f t="array" ref="AM49">_xlfn.XLOOKUP(1,('2016 E Maize Soil VWC'!$C$2:$C$4000=$AA49)*('2016 E Maize Soil VWC'!$E$2:$E$4000=$AB49)*('2016 E Maize Soil VWC'!$F$2:$F$4000=AM$5),'2016 E Maize Soil VWC'!$G$2:$G$4000)</f>
        <v>0.33707152614331731</v>
      </c>
      <c r="AN49" s="1" cm="1">
        <f t="array" ref="AN49">_xlfn.XLOOKUP(1,('2016 E Maize Soil VWC'!$C$2:$C$4000=$AA49)*('2016 E Maize Soil VWC'!$E$2:$E$4000=$AB49)*('2016 E Maize Soil VWC'!$F$2:$F$4000=AN$5),'2016 E Maize Soil VWC'!$G$2:$G$4000)</f>
        <v>0.34025439018246267</v>
      </c>
      <c r="AO49" s="1" cm="1">
        <f t="array" ref="AO49">_xlfn.XLOOKUP(1,('2016 E Maize Soil VWC'!$C$2:$C$4000=$AA49)*('2016 E Maize Soil VWC'!$E$2:$E$4000=$AB49)*('2016 E Maize Soil VWC'!$F$2:$F$4000=AO$5),'2016 E Maize Soil VWC'!$G$2:$G$4000)</f>
        <v>0.33120956071870439</v>
      </c>
      <c r="AP49" s="1" cm="1">
        <f t="array" ref="AP49">_xlfn.XLOOKUP(1,('2016 E Maize Soil VWC'!$C$2:$C$4000=$AA49)*('2016 E Maize Soil VWC'!$E$2:$E$4000=$AB49)*('2016 E Maize Soil VWC'!$F$2:$F$4000=AP$5),'2016 E Maize Soil VWC'!$G$2:$G$4000)</f>
        <v>0.33393445870905181</v>
      </c>
      <c r="AQ49" s="1" cm="1">
        <f t="array" ref="AQ49">_xlfn.XLOOKUP(1,('2016 E Maize Soil VWC'!$C$2:$C$4000=$AA49)*('2016 E Maize Soil VWC'!$E$2:$E$4000=$AB49)*('2016 E Maize Soil VWC'!$F$2:$F$4000=AQ$5),'2016 E Maize Soil VWC'!$G$2:$G$4000)</f>
        <v>0.33102637429918524</v>
      </c>
      <c r="AR49" s="1" cm="1">
        <f t="array" ref="AR49">_xlfn.XLOOKUP(1,('2016 E Maize Soil VWC'!$C$2:$C$4000=$AA49)*('2016 E Maize Soil VWC'!$E$2:$E$4000=$AB49)*('2016 E Maize Soil VWC'!$F$2:$F$4000=AR$5),'2016 E Maize Soil VWC'!$G$2:$G$4000)</f>
        <v>0.32951508633815219</v>
      </c>
      <c r="AS49" s="1" cm="1">
        <f t="array" ref="AS49">_xlfn.XLOOKUP(1,('2016 E Maize Soil VWC'!$C$2:$C$4000=$AA49)*('2016 E Maize Soil VWC'!$E$2:$E$4000=$AB49)*('2016 E Maize Soil VWC'!$F$2:$F$4000=AS$5),'2016 E Maize Soil VWC'!$G$2:$G$4000)</f>
        <v>0.34226944079717336</v>
      </c>
      <c r="AT49" s="1" cm="1">
        <f t="array" ref="AT49">_xlfn.XLOOKUP(1,('2016 E Maize Soil VWC'!$C$2:$C$4000=$AA49)*('2016 E Maize Soil VWC'!$E$2:$E$4000=$AB49)*('2016 E Maize Soil VWC'!$F$2:$F$4000=AT$5),'2016 E Maize Soil VWC'!$G$2:$G$4000)</f>
        <v>0.3375981870994349</v>
      </c>
      <c r="AU49" s="1" cm="1">
        <f t="array" ref="AU49">_xlfn.XLOOKUP(1,('2016 E Maize Soil VWC'!$C$2:$C$4000=$AA49)*('2016 E Maize Soil VWC'!$E$2:$E$4000=$AB49)*('2016 E Maize Soil VWC'!$F$2:$F$4000=AU$5),'2016 E Maize Soil VWC'!$G$2:$G$4000)</f>
        <v>0.34208625437765422</v>
      </c>
      <c r="AV49" s="1" cm="1">
        <f t="array" ref="AV49">_xlfn.XLOOKUP(1,('2016 E Maize Soil VWC'!$C$2:$C$4000=$AA49)*('2016 E Maize Soil VWC'!$E$2:$E$4000=$AB49)*('2016 E Maize Soil VWC'!$F$2:$F$4000=AV$5),'2016 E Maize Soil VWC'!$G$2:$G$4000)</f>
        <v>0.33523966194812577</v>
      </c>
      <c r="BN49" s="15"/>
    </row>
    <row r="50" spans="25:66" x14ac:dyDescent="0.25">
      <c r="AA50" s="18">
        <f t="shared" si="9"/>
        <v>42536</v>
      </c>
      <c r="AB50" s="1">
        <f t="shared" si="10"/>
        <v>110</v>
      </c>
      <c r="AC50" s="1" cm="1">
        <f t="array" ref="AC50">_xlfn.XLOOKUP(1,('2016 E Maize Soil VWC'!$C$2:$C$4000=$AA50)*('2016 E Maize Soil VWC'!$E$2:$E$4000=$AB50)*('2016 E Maize Soil VWC'!$F$2:$F$4000=AC$5),'2016 E Maize Soil VWC'!$G$2:$G$4000)</f>
        <v>0.34011700036782327</v>
      </c>
      <c r="AD50" s="1" cm="1">
        <f t="array" ref="AD50">_xlfn.XLOOKUP(1,('2016 E Maize Soil VWC'!$C$2:$C$4000=$AA50)*('2016 E Maize Soil VWC'!$E$2:$E$4000=$AB50)*('2016 E Maize Soil VWC'!$F$2:$F$4000=AD$5),'2016 E Maize Soil VWC'!$G$2:$G$4000)</f>
        <v>0.33904078015314826</v>
      </c>
      <c r="AE50" s="1" cm="1">
        <f t="array" ref="AE50">_xlfn.XLOOKUP(1,('2016 E Maize Soil VWC'!$C$2:$C$4000=$AA50)*('2016 E Maize Soil VWC'!$E$2:$E$4000=$AB50)*('2016 E Maize Soil VWC'!$F$2:$F$4000=AE$5),'2016 E Maize Soil VWC'!$G$2:$G$4000)</f>
        <v>0.33169042506994217</v>
      </c>
      <c r="AF50" s="1" cm="1">
        <f t="array" ref="AF50">_xlfn.XLOOKUP(1,('2016 E Maize Soil VWC'!$C$2:$C$4000=$AA50)*('2016 E Maize Soil VWC'!$E$2:$E$4000=$AB50)*('2016 E Maize Soil VWC'!$F$2:$F$4000=AF$5),'2016 E Maize Soil VWC'!$G$2:$G$4000)</f>
        <v>0.34112452567517859</v>
      </c>
      <c r="AG50" s="1" cm="1">
        <f t="array" ref="AG50">_xlfn.XLOOKUP(1,('2016 E Maize Soil VWC'!$C$2:$C$4000=$AA50)*('2016 E Maize Soil VWC'!$E$2:$E$4000=$AB50)*('2016 E Maize Soil VWC'!$F$2:$F$4000=AG$5),'2016 E Maize Soil VWC'!$G$2:$G$4000)</f>
        <v>0.34357464403624732</v>
      </c>
      <c r="AH50" s="1" cm="1">
        <f t="array" ref="AH50">_xlfn.XLOOKUP(1,('2016 E Maize Soil VWC'!$C$2:$C$4000=$AA50)*('2016 E Maize Soil VWC'!$E$2:$E$4000=$AB50)*('2016 E Maize Soil VWC'!$F$2:$F$4000=AH$5),'2016 E Maize Soil VWC'!$G$2:$G$4000)</f>
        <v>0.3359266110213226</v>
      </c>
      <c r="AI50" s="1" cm="1">
        <f t="array" ref="AI50">_xlfn.XLOOKUP(1,('2016 E Maize Soil VWC'!$C$2:$C$4000=$AA50)*('2016 E Maize Soil VWC'!$E$2:$E$4000=$AB50)*('2016 E Maize Soil VWC'!$F$2:$F$4000=AI$5),'2016 E Maize Soil VWC'!$G$2:$G$4000)</f>
        <v>0.34158249172397653</v>
      </c>
      <c r="AJ50" s="1" cm="1">
        <f t="array" ref="AJ50">_xlfn.XLOOKUP(1,('2016 E Maize Soil VWC'!$C$2:$C$4000=$AA50)*('2016 E Maize Soil VWC'!$E$2:$E$4000=$AB50)*('2016 E Maize Soil VWC'!$F$2:$F$4000=AJ$5),'2016 E Maize Soil VWC'!$G$2:$G$4000)</f>
        <v>0.34508593199728033</v>
      </c>
      <c r="AK50" s="1" cm="1">
        <f t="array" ref="AK50">_xlfn.XLOOKUP(1,('2016 E Maize Soil VWC'!$C$2:$C$4000=$AA50)*('2016 E Maize Soil VWC'!$E$2:$E$4000=$AB50)*('2016 E Maize Soil VWC'!$F$2:$F$4000=AK$5),'2016 E Maize Soil VWC'!$G$2:$G$4000)</f>
        <v>0.33590371271888275</v>
      </c>
      <c r="AL50" s="1" cm="1">
        <f t="array" ref="AL50">_xlfn.XLOOKUP(1,('2016 E Maize Soil VWC'!$C$2:$C$4000=$AA50)*('2016 E Maize Soil VWC'!$E$2:$E$4000=$AB50)*('2016 E Maize Soil VWC'!$F$2:$F$4000=AL$5),'2016 E Maize Soil VWC'!$G$2:$G$4000)</f>
        <v>0.33702572953843757</v>
      </c>
      <c r="AM50" s="1" cm="1">
        <f t="array" ref="AM50">_xlfn.XLOOKUP(1,('2016 E Maize Soil VWC'!$C$2:$C$4000=$AA50)*('2016 E Maize Soil VWC'!$E$2:$E$4000=$AB50)*('2016 E Maize Soil VWC'!$F$2:$F$4000=AM$5),'2016 E Maize Soil VWC'!$G$2:$G$4000)</f>
        <v>0.3322857809333794</v>
      </c>
      <c r="AN50" s="1" cm="1">
        <f t="array" ref="AN50">_xlfn.XLOOKUP(1,('2016 E Maize Soil VWC'!$C$2:$C$4000=$AA50)*('2016 E Maize Soil VWC'!$E$2:$E$4000=$AB50)*('2016 E Maize Soil VWC'!$F$2:$F$4000=AN$5),'2016 E Maize Soil VWC'!$G$2:$G$4000)</f>
        <v>0.33725471256283646</v>
      </c>
      <c r="AO50" s="1" cm="1">
        <f t="array" ref="AO50">_xlfn.XLOOKUP(1,('2016 E Maize Soil VWC'!$C$2:$C$4000=$AA50)*('2016 E Maize Soil VWC'!$E$2:$E$4000=$AB50)*('2016 E Maize Soil VWC'!$F$2:$F$4000=AO$5),'2016 E Maize Soil VWC'!$G$2:$G$4000)</f>
        <v>0.33434662815296989</v>
      </c>
      <c r="AP50" s="1" cm="1">
        <f t="array" ref="AP50">_xlfn.XLOOKUP(1,('2016 E Maize Soil VWC'!$C$2:$C$4000=$AA50)*('2016 E Maize Soil VWC'!$E$2:$E$4000=$AB50)*('2016 E Maize Soil VWC'!$F$2:$F$4000=AP$5),'2016 E Maize Soil VWC'!$G$2:$G$4000)</f>
        <v>0.33260635716753795</v>
      </c>
      <c r="AQ50" s="1" cm="1">
        <f t="array" ref="AQ50">_xlfn.XLOOKUP(1,('2016 E Maize Soil VWC'!$C$2:$C$4000=$AA50)*('2016 E Maize Soil VWC'!$E$2:$E$4000=$AB50)*('2016 E Maize Soil VWC'!$F$2:$F$4000=AQ$5),'2016 E Maize Soil VWC'!$G$2:$G$4000)</f>
        <v>0.33182781488458157</v>
      </c>
      <c r="AR50" s="1" cm="1">
        <f t="array" ref="AR50">_xlfn.XLOOKUP(1,('2016 E Maize Soil VWC'!$C$2:$C$4000=$AA50)*('2016 E Maize Soil VWC'!$E$2:$E$4000=$AB50)*('2016 E Maize Soil VWC'!$F$2:$F$4000=AR$5),'2016 E Maize Soil VWC'!$G$2:$G$4000)</f>
        <v>0.32624062908924734</v>
      </c>
      <c r="AS50" s="1" cm="1">
        <f t="array" ref="AS50">_xlfn.XLOOKUP(1,('2016 E Maize Soil VWC'!$C$2:$C$4000=$AA50)*('2016 E Maize Soil VWC'!$E$2:$E$4000=$AB50)*('2016 E Maize Soil VWC'!$F$2:$F$4000=AS$5),'2016 E Maize Soil VWC'!$G$2:$G$4000)</f>
        <v>0.33817064466043223</v>
      </c>
      <c r="AT50" s="1" cm="1">
        <f t="array" ref="AT50">_xlfn.XLOOKUP(1,('2016 E Maize Soil VWC'!$C$2:$C$4000=$AA50)*('2016 E Maize Soil VWC'!$E$2:$E$4000=$AB50)*('2016 E Maize Soil VWC'!$F$2:$F$4000=AT$5),'2016 E Maize Soil VWC'!$G$2:$G$4000)</f>
        <v>0.34057496641662116</v>
      </c>
      <c r="AU50" s="1" cm="1">
        <f t="array" ref="AU50">_xlfn.XLOOKUP(1,('2016 E Maize Soil VWC'!$C$2:$C$4000=$AA50)*('2016 E Maize Soil VWC'!$E$2:$E$4000=$AB50)*('2016 E Maize Soil VWC'!$F$2:$F$4000=AU$5),'2016 E Maize Soil VWC'!$G$2:$G$4000)</f>
        <v>0.33947584789950624</v>
      </c>
      <c r="AV50" s="1" cm="1">
        <f t="array" ref="AV50">_xlfn.XLOOKUP(1,('2016 E Maize Soil VWC'!$C$2:$C$4000=$AA50)*('2016 E Maize Soil VWC'!$E$2:$E$4000=$AB50)*('2016 E Maize Soil VWC'!$F$2:$F$4000=AV$5),'2016 E Maize Soil VWC'!$G$2:$G$4000)</f>
        <v>0.33672805160671893</v>
      </c>
      <c r="BN50" s="15"/>
    </row>
    <row r="51" spans="25:66" x14ac:dyDescent="0.25">
      <c r="AA51" s="18">
        <f t="shared" si="9"/>
        <v>42536</v>
      </c>
      <c r="AB51" s="1">
        <f t="shared" si="10"/>
        <v>130</v>
      </c>
      <c r="AC51" s="1" cm="1">
        <f t="array" ref="AC51">_xlfn.XLOOKUP(1,('2016 E Maize Soil VWC'!$C$2:$C$4000=$AA51)*('2016 E Maize Soil VWC'!$E$2:$E$4000=$AB51)*('2016 E Maize Soil VWC'!$F$2:$F$4000=AC$5),'2016 E Maize Soil VWC'!$G$2:$G$4000)</f>
        <v>0.31498552234247695</v>
      </c>
      <c r="AD51" s="1" cm="1">
        <f t="array" ref="AD51">_xlfn.XLOOKUP(1,('2016 E Maize Soil VWC'!$C$2:$C$4000=$AA51)*('2016 E Maize Soil VWC'!$E$2:$E$4000=$AB51)*('2016 E Maize Soil VWC'!$F$2:$F$4000=AD$5),'2016 E Maize Soil VWC'!$G$2:$G$4000)</f>
        <v>0.31809984315124229</v>
      </c>
      <c r="AE51" s="1" cm="1">
        <f t="array" ref="AE51">_xlfn.XLOOKUP(1,('2016 E Maize Soil VWC'!$C$2:$C$4000=$AA51)*('2016 E Maize Soil VWC'!$E$2:$E$4000=$AB51)*('2016 E Maize Soil VWC'!$F$2:$F$4000=AE$5),'2016 E Maize Soil VWC'!$G$2:$G$4000)</f>
        <v>0.30949653191702803</v>
      </c>
      <c r="AF51" s="1" cm="1">
        <f t="array" ref="AF51">_xlfn.XLOOKUP(1,('2016 E Maize Soil VWC'!$C$2:$C$4000=$AA51)*('2016 E Maize Soil VWC'!$E$2:$E$4000=$AB51)*('2016 E Maize Soil VWC'!$F$2:$F$4000=AF$5),'2016 E Maize Soil VWC'!$G$2:$G$4000)</f>
        <v>0.30690775274474186</v>
      </c>
      <c r="AG51" s="1" cm="1">
        <f t="array" ref="AG51">_xlfn.XLOOKUP(1,('2016 E Maize Soil VWC'!$C$2:$C$4000=$AA51)*('2016 E Maize Soil VWC'!$E$2:$E$4000=$AB51)*('2016 E Maize Soil VWC'!$F$2:$F$4000=AG$5),'2016 E Maize Soil VWC'!$G$2:$G$4000)</f>
        <v>0.31229942064491684</v>
      </c>
      <c r="AH51" s="1" cm="1">
        <f t="array" ref="AH51">_xlfn.XLOOKUP(1,('2016 E Maize Soil VWC'!$C$2:$C$4000=$AA51)*('2016 E Maize Soil VWC'!$E$2:$E$4000=$AB51)*('2016 E Maize Soil VWC'!$F$2:$F$4000=AH$5),'2016 E Maize Soil VWC'!$G$2:$G$4000)</f>
        <v>0.30827026809857666</v>
      </c>
      <c r="AI51" s="1" cm="1">
        <f t="array" ref="AI51">_xlfn.XLOOKUP(1,('2016 E Maize Soil VWC'!$C$2:$C$4000=$AA51)*('2016 E Maize Soil VWC'!$E$2:$E$4000=$AB51)*('2016 E Maize Soil VWC'!$F$2:$F$4000=AI$5),'2016 E Maize Soil VWC'!$G$2:$G$4000)</f>
        <v>0.3135062199583134</v>
      </c>
      <c r="AJ51" s="1" cm="1">
        <f t="array" ref="AJ51">_xlfn.XLOOKUP(1,('2016 E Maize Soil VWC'!$C$2:$C$4000=$AA51)*('2016 E Maize Soil VWC'!$E$2:$E$4000=$AB51)*('2016 E Maize Soil VWC'!$F$2:$F$4000=AJ$5),'2016 E Maize Soil VWC'!$G$2:$G$4000)</f>
        <v>0.34254726150005022</v>
      </c>
      <c r="AK51" s="1" cm="1">
        <f t="array" ref="AK51">_xlfn.XLOOKUP(1,('2016 E Maize Soil VWC'!$C$2:$C$4000=$AA51)*('2016 E Maize Soil VWC'!$E$2:$E$4000=$AB51)*('2016 E Maize Soil VWC'!$F$2:$F$4000=AK$5),'2016 E Maize Soil VWC'!$G$2:$G$4000)</f>
        <v>0.31360354248358729</v>
      </c>
      <c r="AL51" s="1" cm="1">
        <f t="array" ref="AL51">_xlfn.XLOOKUP(1,('2016 E Maize Soil VWC'!$C$2:$C$4000=$AA51)*('2016 E Maize Soil VWC'!$E$2:$E$4000=$AB51)*('2016 E Maize Soil VWC'!$F$2:$F$4000=AL$5),'2016 E Maize Soil VWC'!$G$2:$G$4000)</f>
        <v>0.32078594484880235</v>
      </c>
      <c r="AM51" s="1" cm="1">
        <f t="array" ref="AM51">_xlfn.XLOOKUP(1,('2016 E Maize Soil VWC'!$C$2:$C$4000=$AA51)*('2016 E Maize Soil VWC'!$E$2:$E$4000=$AB51)*('2016 E Maize Soil VWC'!$F$2:$F$4000=AM$5),'2016 E Maize Soil VWC'!$G$2:$G$4000)</f>
        <v>0.30603185001727656</v>
      </c>
      <c r="AN51" s="1" cm="1">
        <f t="array" ref="AN51">_xlfn.XLOOKUP(1,('2016 E Maize Soil VWC'!$C$2:$C$4000=$AA51)*('2016 E Maize Soil VWC'!$E$2:$E$4000=$AB51)*('2016 E Maize Soil VWC'!$F$2:$F$4000=AN$5),'2016 E Maize Soil VWC'!$G$2:$G$4000)</f>
        <v>0.30089322068281377</v>
      </c>
      <c r="AO51" s="1" cm="1">
        <f t="array" ref="AO51">_xlfn.XLOOKUP(1,('2016 E Maize Soil VWC'!$C$2:$C$4000=$AA51)*('2016 E Maize Soil VWC'!$E$2:$E$4000=$AB51)*('2016 E Maize Soil VWC'!$F$2:$F$4000=AO$5),'2016 E Maize Soil VWC'!$G$2:$G$4000)</f>
        <v>0.31405122609984731</v>
      </c>
      <c r="AP51" s="1" cm="1">
        <f t="array" ref="AP51">_xlfn.XLOOKUP(1,('2016 E Maize Soil VWC'!$C$2:$C$4000=$AA51)*('2016 E Maize Soil VWC'!$E$2:$E$4000=$AB51)*('2016 E Maize Soil VWC'!$F$2:$F$4000=AP$5),'2016 E Maize Soil VWC'!$G$2:$G$4000)</f>
        <v>0.31615339264576398</v>
      </c>
      <c r="AQ51" s="1" cm="1">
        <f t="array" ref="AQ51">_xlfn.XLOOKUP(1,('2016 E Maize Soil VWC'!$C$2:$C$4000=$AA51)*('2016 E Maize Soil VWC'!$E$2:$E$4000=$AB51)*('2016 E Maize Soil VWC'!$F$2:$F$4000=AQ$5),'2016 E Maize Soil VWC'!$G$2:$G$4000)</f>
        <v>0.30182751692544335</v>
      </c>
      <c r="AR51" s="1" cm="1">
        <f t="array" ref="AR51">_xlfn.XLOOKUP(1,('2016 E Maize Soil VWC'!$C$2:$C$4000=$AA51)*('2016 E Maize Soil VWC'!$E$2:$E$4000=$AB51)*('2016 E Maize Soil VWC'!$F$2:$F$4000=AR$5),'2016 E Maize Soil VWC'!$G$2:$G$4000)</f>
        <v>0.30085429167270422</v>
      </c>
      <c r="AS51" s="1" cm="1">
        <f t="array" ref="AS51">_xlfn.XLOOKUP(1,('2016 E Maize Soil VWC'!$C$2:$C$4000=$AA51)*('2016 E Maize Soil VWC'!$E$2:$E$4000=$AB51)*('2016 E Maize Soil VWC'!$F$2:$F$4000=AS$5),'2016 E Maize Soil VWC'!$G$2:$G$4000)</f>
        <v>0.31177387900843767</v>
      </c>
      <c r="AT51" s="1" cm="1">
        <f t="array" ref="AT51">_xlfn.XLOOKUP(1,('2016 E Maize Soil VWC'!$C$2:$C$4000=$AA51)*('2016 E Maize Soil VWC'!$E$2:$E$4000=$AB51)*('2016 E Maize Soil VWC'!$F$2:$F$4000=AT$5),'2016 E Maize Soil VWC'!$G$2:$G$4000)</f>
        <v>0.31093690529108198</v>
      </c>
      <c r="AU51" s="1" cm="1">
        <f t="array" ref="AU51">_xlfn.XLOOKUP(1,('2016 E Maize Soil VWC'!$C$2:$C$4000=$AA51)*('2016 E Maize Soil VWC'!$E$2:$E$4000=$AB51)*('2016 E Maize Soil VWC'!$F$2:$F$4000=AU$5),'2016 E Maize Soil VWC'!$G$2:$G$4000)</f>
        <v>0.31008046706867154</v>
      </c>
      <c r="AV51" s="1" cm="1">
        <f t="array" ref="AV51">_xlfn.XLOOKUP(1,('2016 E Maize Soil VWC'!$C$2:$C$4000=$AA51)*('2016 E Maize Soil VWC'!$E$2:$E$4000=$AB51)*('2016 E Maize Soil VWC'!$F$2:$F$4000=AV$5),'2016 E Maize Soil VWC'!$G$2:$G$4000)</f>
        <v>0.30344307084499039</v>
      </c>
      <c r="BN51" s="15"/>
    </row>
    <row r="52" spans="25:66" x14ac:dyDescent="0.25">
      <c r="AA52" s="18">
        <f t="shared" si="9"/>
        <v>42536</v>
      </c>
      <c r="AB52" s="1">
        <f t="shared" si="10"/>
        <v>150</v>
      </c>
      <c r="AC52" s="1" cm="1">
        <f t="array" ref="AC52">_xlfn.XLOOKUP(1,('2016 E Maize Soil VWC'!$C$2:$C$4000=$AA52)*('2016 E Maize Soil VWC'!$E$2:$E$4000=$AB52)*('2016 E Maize Soil VWC'!$F$2:$F$4000=AC$5),'2016 E Maize Soil VWC'!$G$2:$G$4000)</f>
        <v>0.33947186970139442</v>
      </c>
      <c r="AD52" s="1" cm="1">
        <f t="array" ref="AD52">_xlfn.XLOOKUP(1,('2016 E Maize Soil VWC'!$C$2:$C$4000=$AA52)*('2016 E Maize Soil VWC'!$E$2:$E$4000=$AB52)*('2016 E Maize Soil VWC'!$F$2:$F$4000=AD$5),'2016 E Maize Soil VWC'!$G$2:$G$4000)</f>
        <v>0.33515074957923252</v>
      </c>
      <c r="AE52" s="1" cm="1">
        <f t="array" ref="AE52">_xlfn.XLOOKUP(1,('2016 E Maize Soil VWC'!$C$2:$C$4000=$AA52)*('2016 E Maize Soil VWC'!$E$2:$E$4000=$AB52)*('2016 E Maize Soil VWC'!$F$2:$F$4000=AE$5),'2016 E Maize Soil VWC'!$G$2:$G$4000)</f>
        <v>0.32530171002151209</v>
      </c>
      <c r="AF52" s="1" cm="1">
        <f t="array" ref="AF52">_xlfn.XLOOKUP(1,('2016 E Maize Soil VWC'!$C$2:$C$4000=$AA52)*('2016 E Maize Soil VWC'!$E$2:$E$4000=$AB52)*('2016 E Maize Soil VWC'!$F$2:$F$4000=AF$5),'2016 E Maize Soil VWC'!$G$2:$G$4000)</f>
        <v>0.30239198757203212</v>
      </c>
      <c r="AG52" s="1" cm="1">
        <f t="array" ref="AG52">_xlfn.XLOOKUP(1,('2016 E Maize Soil VWC'!$C$2:$C$4000=$AA52)*('2016 E Maize Soil VWC'!$E$2:$E$4000=$AB52)*('2016 E Maize Soil VWC'!$F$2:$F$4000=AG$5),'2016 E Maize Soil VWC'!$G$2:$G$4000)</f>
        <v>0.35646438261422031</v>
      </c>
      <c r="AH52" s="1" cm="1">
        <f t="array" ref="AH52">_xlfn.XLOOKUP(1,('2016 E Maize Soil VWC'!$C$2:$C$4000=$AA52)*('2016 E Maize Soil VWC'!$E$2:$E$4000=$AB52)*('2016 E Maize Soil VWC'!$F$2:$F$4000=AH$5),'2016 E Maize Soil VWC'!$G$2:$G$4000)</f>
        <v>0.34437692497519989</v>
      </c>
      <c r="AI52" s="1" cm="1">
        <f t="array" ref="AI52">_xlfn.XLOOKUP(1,('2016 E Maize Soil VWC'!$C$2:$C$4000=$AA52)*('2016 E Maize Soil VWC'!$E$2:$E$4000=$AB52)*('2016 E Maize Soil VWC'!$F$2:$F$4000=AI$5),'2016 E Maize Soil VWC'!$G$2:$G$4000)</f>
        <v>0.33456681442758901</v>
      </c>
      <c r="AJ52" s="1" cm="1">
        <f t="array" ref="AJ52">_xlfn.XLOOKUP(1,('2016 E Maize Soil VWC'!$C$2:$C$4000=$AA52)*('2016 E Maize Soil VWC'!$E$2:$E$4000=$AB52)*('2016 E Maize Soil VWC'!$F$2:$F$4000=AJ$5),'2016 E Maize Soil VWC'!$G$2:$G$4000)</f>
        <v>0.34336477071235111</v>
      </c>
      <c r="AK52" s="1" cm="1">
        <f t="array" ref="AK52">_xlfn.XLOOKUP(1,('2016 E Maize Soil VWC'!$C$2:$C$4000=$AA52)*('2016 E Maize Soil VWC'!$E$2:$E$4000=$AB52)*('2016 E Maize Soil VWC'!$F$2:$F$4000=AK$5),'2016 E Maize Soil VWC'!$G$2:$G$4000)</f>
        <v>0.32987586870938623</v>
      </c>
      <c r="AL52" s="1" cm="1">
        <f t="array" ref="AL52">_xlfn.XLOOKUP(1,('2016 E Maize Soil VWC'!$C$2:$C$4000=$AA52)*('2016 E Maize Soil VWC'!$E$2:$E$4000=$AB52)*('2016 E Maize Soil VWC'!$F$2:$F$4000=AL$5),'2016 E Maize Soil VWC'!$G$2:$G$4000)</f>
        <v>0.34877590311758089</v>
      </c>
      <c r="AM52" s="1" cm="1">
        <f t="array" ref="AM52">_xlfn.XLOOKUP(1,('2016 E Maize Soil VWC'!$C$2:$C$4000=$AA52)*('2016 E Maize Soil VWC'!$E$2:$E$4000=$AB52)*('2016 E Maize Soil VWC'!$F$2:$F$4000=AM$5),'2016 E Maize Soil VWC'!$G$2:$G$4000)</f>
        <v>0.34371513180333718</v>
      </c>
      <c r="AN52" s="1" cm="1">
        <f t="array" ref="AN52">_xlfn.XLOOKUP(1,('2016 E Maize Soil VWC'!$C$2:$C$4000=$AA52)*('2016 E Maize Soil VWC'!$E$2:$E$4000=$AB52)*('2016 E Maize Soil VWC'!$F$2:$F$4000=AN$5),'2016 E Maize Soil VWC'!$G$2:$G$4000)</f>
        <v>0.33326269258891855</v>
      </c>
      <c r="AO52" s="1" cm="1">
        <f t="array" ref="AO52">_xlfn.XLOOKUP(1,('2016 E Maize Soil VWC'!$C$2:$C$4000=$AA52)*('2016 E Maize Soil VWC'!$E$2:$E$4000=$AB52)*('2016 E Maize Soil VWC'!$F$2:$F$4000=AO$5),'2016 E Maize Soil VWC'!$G$2:$G$4000)</f>
        <v>0.30250877460236081</v>
      </c>
      <c r="AP52" s="1" cm="1">
        <f t="array" ref="AP52">_xlfn.XLOOKUP(1,('2016 E Maize Soil VWC'!$C$2:$C$4000=$AA52)*('2016 E Maize Soil VWC'!$E$2:$E$4000=$AB52)*('2016 E Maize Soil VWC'!$F$2:$F$4000=AP$5),'2016 E Maize Soil VWC'!$G$2:$G$4000)</f>
        <v>0.30429950906740083</v>
      </c>
      <c r="AQ52" s="1" cm="1">
        <f t="array" ref="AQ52">_xlfn.XLOOKUP(1,('2016 E Maize Soil VWC'!$C$2:$C$4000=$AA52)*('2016 E Maize Soil VWC'!$E$2:$E$4000=$AB52)*('2016 E Maize Soil VWC'!$F$2:$F$4000=AQ$5),'2016 E Maize Soil VWC'!$G$2:$G$4000)</f>
        <v>0.34021152089347617</v>
      </c>
      <c r="AR52" s="1" cm="1">
        <f t="array" ref="AR52">_xlfn.XLOOKUP(1,('2016 E Maize Soil VWC'!$C$2:$C$4000=$AA52)*('2016 E Maize Soil VWC'!$E$2:$E$4000=$AB52)*('2016 E Maize Soil VWC'!$F$2:$F$4000=AR$5),'2016 E Maize Soil VWC'!$G$2:$G$4000)</f>
        <v>0.331063203517728</v>
      </c>
      <c r="AS52" s="1" cm="1">
        <f t="array" ref="AS52">_xlfn.XLOOKUP(1,('2016 E Maize Soil VWC'!$C$2:$C$4000=$AA52)*('2016 E Maize Soil VWC'!$E$2:$E$4000=$AB52)*('2016 E Maize Soil VWC'!$F$2:$F$4000=AS$5),'2016 E Maize Soil VWC'!$G$2:$G$4000)</f>
        <v>0.32942818509312621</v>
      </c>
      <c r="AT52" s="1" cm="1">
        <f t="array" ref="AT52">_xlfn.XLOOKUP(1,('2016 E Maize Soil VWC'!$C$2:$C$4000=$AA52)*('2016 E Maize Soil VWC'!$E$2:$E$4000=$AB52)*('2016 E Maize Soil VWC'!$F$2:$F$4000=AT$5),'2016 E Maize Soil VWC'!$G$2:$G$4000)</f>
        <v>0.33182231921486455</v>
      </c>
      <c r="AU52" s="1" cm="1">
        <f t="array" ref="AU52">_xlfn.XLOOKUP(1,('2016 E Maize Soil VWC'!$C$2:$C$4000=$AA52)*('2016 E Maize Soil VWC'!$E$2:$E$4000=$AB52)*('2016 E Maize Soil VWC'!$F$2:$F$4000=AU$5),'2016 E Maize Soil VWC'!$G$2:$G$4000)</f>
        <v>0.33057659089135843</v>
      </c>
      <c r="AV52" s="1" cm="1">
        <f t="array" ref="AV52">_xlfn.XLOOKUP(1,('2016 E Maize Soil VWC'!$C$2:$C$4000=$AA52)*('2016 E Maize Soil VWC'!$E$2:$E$4000=$AB52)*('2016 E Maize Soil VWC'!$F$2:$F$4000=AV$5),'2016 E Maize Soil VWC'!$G$2:$G$4000)</f>
        <v>0.34682945261210252</v>
      </c>
      <c r="BN52" s="15"/>
    </row>
    <row r="53" spans="25:66" x14ac:dyDescent="0.25">
      <c r="AA53" s="18">
        <f t="shared" si="9"/>
        <v>42536</v>
      </c>
      <c r="AB53" s="1">
        <f t="shared" si="10"/>
        <v>170</v>
      </c>
      <c r="AC53" s="1" cm="1">
        <f t="array" ref="AC53">_xlfn.XLOOKUP(1,('2016 E Maize Soil VWC'!$C$2:$C$4000=$AA53)*('2016 E Maize Soil VWC'!$E$2:$E$4000=$AB53)*('2016 E Maize Soil VWC'!$F$2:$F$4000=AC$5),'2016 E Maize Soil VWC'!$G$2:$G$4000)</f>
        <v>0.2843483913862479</v>
      </c>
      <c r="AD53" s="1" cm="1">
        <f t="array" ref="AD53">_xlfn.XLOOKUP(1,('2016 E Maize Soil VWC'!$C$2:$C$4000=$AA53)*('2016 E Maize Soil VWC'!$E$2:$E$4000=$AB53)*('2016 E Maize Soil VWC'!$F$2:$F$4000=AD$5),'2016 E Maize Soil VWC'!$G$2:$G$4000)</f>
        <v>0.27605651223291022</v>
      </c>
      <c r="AE53" s="1" cm="1">
        <f t="array" ref="AE53">_xlfn.XLOOKUP(1,('2016 E Maize Soil VWC'!$C$2:$C$4000=$AA53)*('2016 E Maize Soil VWC'!$E$2:$E$4000=$AB53)*('2016 E Maize Soil VWC'!$F$2:$F$4000=AE$5),'2016 E Maize Soil VWC'!$G$2:$G$4000)</f>
        <v>0.29530690773209095</v>
      </c>
      <c r="AF53" s="1" cm="1">
        <f t="array" ref="AF53">_xlfn.XLOOKUP(1,('2016 E Maize Soil VWC'!$C$2:$C$4000=$AA53)*('2016 E Maize Soil VWC'!$E$2:$E$4000=$AB53)*('2016 E Maize Soil VWC'!$F$2:$F$4000=AF$5),'2016 E Maize Soil VWC'!$G$2:$G$4000)</f>
        <v>0.29793461591448667</v>
      </c>
      <c r="AG53" s="1" cm="1">
        <f t="array" ref="AG53">_xlfn.XLOOKUP(1,('2016 E Maize Soil VWC'!$C$2:$C$4000=$AA53)*('2016 E Maize Soil VWC'!$E$2:$E$4000=$AB53)*('2016 E Maize Soil VWC'!$F$2:$F$4000=AG$5),'2016 E Maize Soil VWC'!$G$2:$G$4000)</f>
        <v>0.32668368988040175</v>
      </c>
      <c r="AH53" s="1" cm="1">
        <f t="array" ref="AH53">_xlfn.XLOOKUP(1,('2016 E Maize Soil VWC'!$C$2:$C$4000=$AA53)*('2016 E Maize Soil VWC'!$E$2:$E$4000=$AB53)*('2016 E Maize Soil VWC'!$F$2:$F$4000=AH$5),'2016 E Maize Soil VWC'!$G$2:$G$4000)</f>
        <v>0.3324451833766176</v>
      </c>
      <c r="AI53" s="1" cm="1">
        <f t="array" ref="AI53">_xlfn.XLOOKUP(1,('2016 E Maize Soil VWC'!$C$2:$C$4000=$AA53)*('2016 E Maize Soil VWC'!$E$2:$E$4000=$AB53)*('2016 E Maize Soil VWC'!$F$2:$F$4000=AI$5),'2016 E Maize Soil VWC'!$G$2:$G$4000)</f>
        <v>0.30344307084499039</v>
      </c>
      <c r="AJ53" s="1" cm="1">
        <f t="array" ref="AJ53">_xlfn.XLOOKUP(1,('2016 E Maize Soil VWC'!$C$2:$C$4000=$AA53)*('2016 E Maize Soil VWC'!$E$2:$E$4000=$AB53)*('2016 E Maize Soil VWC'!$F$2:$F$4000=AJ$5),'2016 E Maize Soil VWC'!$G$2:$G$4000)</f>
        <v>0.30642114011837224</v>
      </c>
      <c r="AK53" s="1" cm="1">
        <f t="array" ref="AK53">_xlfn.XLOOKUP(1,('2016 E Maize Soil VWC'!$C$2:$C$4000=$AA53)*('2016 E Maize Soil VWC'!$E$2:$E$4000=$AB53)*('2016 E Maize Soil VWC'!$F$2:$F$4000=AK$5),'2016 E Maize Soil VWC'!$G$2:$G$4000)</f>
        <v>0.30359878688542868</v>
      </c>
      <c r="AL53" s="1" cm="1">
        <f t="array" ref="AL53">_xlfn.XLOOKUP(1,('2016 E Maize Soil VWC'!$C$2:$C$4000=$AA53)*('2016 E Maize Soil VWC'!$E$2:$E$4000=$AB53)*('2016 E Maize Soil VWC'!$F$2:$F$4000=AL$5),'2016 E Maize Soil VWC'!$G$2:$G$4000)</f>
        <v>0.31683465032268138</v>
      </c>
      <c r="AM53" s="1" cm="1">
        <f t="array" ref="AM53">_xlfn.XLOOKUP(1,('2016 E Maize Soil VWC'!$C$2:$C$4000=$AA53)*('2016 E Maize Soil VWC'!$E$2:$E$4000=$AB53)*('2016 E Maize Soil VWC'!$F$2:$F$4000=AM$5),'2016 E Maize Soil VWC'!$G$2:$G$4000)</f>
        <v>0.32209006668747286</v>
      </c>
      <c r="AN53" s="1" cm="1">
        <f t="array" ref="AN53">_xlfn.XLOOKUP(1,('2016 E Maize Soil VWC'!$C$2:$C$4000=$AA53)*('2016 E Maize Soil VWC'!$E$2:$E$4000=$AB53)*('2016 E Maize Soil VWC'!$F$2:$F$4000=AN$5),'2016 E Maize Soil VWC'!$G$2:$G$4000)</f>
        <v>0.33793417380206658</v>
      </c>
      <c r="AO53" s="1" cm="1">
        <f t="array" ref="AO53">_xlfn.XLOOKUP(1,('2016 E Maize Soil VWC'!$C$2:$C$4000=$AA53)*('2016 E Maize Soil VWC'!$E$2:$E$4000=$AB53)*('2016 E Maize Soil VWC'!$F$2:$F$4000=AO$5),'2016 E Maize Soil VWC'!$G$2:$G$4000)</f>
        <v>0.30381289644103127</v>
      </c>
      <c r="AP53" s="1" cm="1">
        <f t="array" ref="AP53">_xlfn.XLOOKUP(1,('2016 E Maize Soil VWC'!$C$2:$C$4000=$AA53)*('2016 E Maize Soil VWC'!$E$2:$E$4000=$AB53)*('2016 E Maize Soil VWC'!$F$2:$F$4000=AP$5),'2016 E Maize Soil VWC'!$G$2:$G$4000)</f>
        <v>0.32084433836396675</v>
      </c>
      <c r="AQ53" s="1" cm="1">
        <f t="array" ref="AQ53">_xlfn.XLOOKUP(1,('2016 E Maize Soil VWC'!$C$2:$C$4000=$AA53)*('2016 E Maize Soil VWC'!$E$2:$E$4000=$AB53)*('2016 E Maize Soil VWC'!$F$2:$F$4000=AQ$5),'2016 E Maize Soil VWC'!$G$2:$G$4000)</f>
        <v>0.33030408782059145</v>
      </c>
      <c r="AR53" s="1" cm="1">
        <f t="array" ref="AR53">_xlfn.XLOOKUP(1,('2016 E Maize Soil VWC'!$C$2:$C$4000=$AA53)*('2016 E Maize Soil VWC'!$E$2:$E$4000=$AB53)*('2016 E Maize Soil VWC'!$F$2:$F$4000=AR$5),'2016 E Maize Soil VWC'!$G$2:$G$4000)</f>
        <v>0.32218738921274676</v>
      </c>
      <c r="AS53" s="1" cm="1">
        <f t="array" ref="AS53">_xlfn.XLOOKUP(1,('2016 E Maize Soil VWC'!$C$2:$C$4000=$AA53)*('2016 E Maize Soil VWC'!$E$2:$E$4000=$AB53)*('2016 E Maize Soil VWC'!$F$2:$F$4000=AS$5),'2016 E Maize Soil VWC'!$G$2:$G$4000)</f>
        <v>0.32569100012260782</v>
      </c>
      <c r="AT53" s="1" cm="1">
        <f t="array" ref="AT53">_xlfn.XLOOKUP(1,('2016 E Maize Soil VWC'!$C$2:$C$4000=$AA53)*('2016 E Maize Soil VWC'!$E$2:$E$4000=$AB53)*('2016 E Maize Soil VWC'!$F$2:$F$4000=AT$5),'2016 E Maize Soil VWC'!$G$2:$G$4000)</f>
        <v>0.33717505810492998</v>
      </c>
      <c r="AU53" s="1" cm="1">
        <f t="array" ref="AU53">_xlfn.XLOOKUP(1,('2016 E Maize Soil VWC'!$C$2:$C$4000=$AA53)*('2016 E Maize Soil VWC'!$E$2:$E$4000=$AB53)*('2016 E Maize Soil VWC'!$F$2:$F$4000=AU$5),'2016 E Maize Soil VWC'!$G$2:$G$4000)</f>
        <v>0.31325318139260122</v>
      </c>
      <c r="AV53" s="1" cm="1">
        <f t="array" ref="AV53">_xlfn.XLOOKUP(1,('2016 E Maize Soil VWC'!$C$2:$C$4000=$AA53)*('2016 E Maize Soil VWC'!$E$2:$E$4000=$AB53)*('2016 E Maize Soil VWC'!$F$2:$F$4000=AV$5),'2016 E Maize Soil VWC'!$G$2:$G$4000)</f>
        <v>0.32413383971822513</v>
      </c>
      <c r="BN53" s="15"/>
    </row>
    <row r="54" spans="25:66" x14ac:dyDescent="0.25">
      <c r="AA54" s="18">
        <f t="shared" si="9"/>
        <v>42536</v>
      </c>
      <c r="AB54" s="1">
        <f t="shared" si="10"/>
        <v>190</v>
      </c>
      <c r="AC54" s="1" cm="1">
        <f t="array" ref="AC54">_xlfn.XLOOKUP(1,('2016 E Maize Soil VWC'!$C$2:$C$4000=$AA54)*('2016 E Maize Soil VWC'!$E$2:$E$4000=$AB54)*('2016 E Maize Soil VWC'!$F$2:$F$4000=AC$5),'2016 E Maize Soil VWC'!$G$2:$G$4000)</f>
        <v>0.2872680671444654</v>
      </c>
      <c r="AD54" s="1" cm="1">
        <f t="array" ref="AD54">_xlfn.XLOOKUP(1,('2016 E Maize Soil VWC'!$C$2:$C$4000=$AA54)*('2016 E Maize Soil VWC'!$E$2:$E$4000=$AB54)*('2016 E Maize Soil VWC'!$F$2:$F$4000=AD$5),'2016 E Maize Soil VWC'!$G$2:$G$4000)</f>
        <v>0.30077643365248508</v>
      </c>
      <c r="AE54" s="1" cm="1">
        <f t="array" ref="AE54">_xlfn.XLOOKUP(1,('2016 E Maize Soil VWC'!$C$2:$C$4000=$AA54)*('2016 E Maize Soil VWC'!$E$2:$E$4000=$AB54)*('2016 E Maize Soil VWC'!$F$2:$F$4000=AE$5),'2016 E Maize Soil VWC'!$G$2:$G$4000)</f>
        <v>0.29647477803537797</v>
      </c>
      <c r="AF54" s="1" cm="1">
        <f t="array" ref="AF54">_xlfn.XLOOKUP(1,('2016 E Maize Soil VWC'!$C$2:$C$4000=$AA54)*('2016 E Maize Soil VWC'!$E$2:$E$4000=$AB54)*('2016 E Maize Soil VWC'!$F$2:$F$4000=AF$5),'2016 E Maize Soil VWC'!$G$2:$G$4000)</f>
        <v>0.29297116712551691</v>
      </c>
      <c r="AG54" s="1" cm="1">
        <f t="array" ref="AG54">_xlfn.XLOOKUP(1,('2016 E Maize Soil VWC'!$C$2:$C$4000=$AA54)*('2016 E Maize Soil VWC'!$E$2:$E$4000=$AB54)*('2016 E Maize Soil VWC'!$F$2:$F$4000=AG$5),'2016 E Maize Soil VWC'!$G$2:$G$4000)</f>
        <v>0.3324646478816724</v>
      </c>
      <c r="AH54" s="1" cm="1">
        <f t="array" ref="AH54">_xlfn.XLOOKUP(1,('2016 E Maize Soil VWC'!$C$2:$C$4000=$AA54)*('2016 E Maize Soil VWC'!$E$2:$E$4000=$AB54)*('2016 E Maize Soil VWC'!$F$2:$F$4000=AH$5),'2016 E Maize Soil VWC'!$G$2:$G$4000)</f>
        <v>0.34803625192549908</v>
      </c>
      <c r="AI54" s="1" cm="1">
        <f t="array" ref="AI54">_xlfn.XLOOKUP(1,('2016 E Maize Soil VWC'!$C$2:$C$4000=$AA54)*('2016 E Maize Soil VWC'!$E$2:$E$4000=$AB54)*('2016 E Maize Soil VWC'!$F$2:$F$4000=AI$5),'2016 E Maize Soil VWC'!$G$2:$G$4000)</f>
        <v>0.28812450536687584</v>
      </c>
      <c r="AJ54" s="1" cm="1">
        <f t="array" ref="AJ54">_xlfn.XLOOKUP(1,('2016 E Maize Soil VWC'!$C$2:$C$4000=$AA54)*('2016 E Maize Soil VWC'!$E$2:$E$4000=$AB54)*('2016 E Maize Soil VWC'!$F$2:$F$4000=AJ$5),'2016 E Maize Soil VWC'!$G$2:$G$4000)</f>
        <v>0.29664995858087101</v>
      </c>
      <c r="AK54" s="1" cm="1">
        <f t="array" ref="AK54">_xlfn.XLOOKUP(1,('2016 E Maize Soil VWC'!$C$2:$C$4000=$AA54)*('2016 E Maize Soil VWC'!$E$2:$E$4000=$AB54)*('2016 E Maize Soil VWC'!$F$2:$F$4000=AK$5),'2016 E Maize Soil VWC'!$G$2:$G$4000)</f>
        <v>0.29322420569122915</v>
      </c>
      <c r="AL54" s="1" cm="1">
        <f t="array" ref="AL54">_xlfn.XLOOKUP(1,('2016 E Maize Soil VWC'!$C$2:$C$4000=$AA54)*('2016 E Maize Soil VWC'!$E$2:$E$4000=$AB54)*('2016 E Maize Soil VWC'!$F$2:$F$4000=AL$5),'2016 E Maize Soil VWC'!$G$2:$G$4000)</f>
        <v>0.30065964662215638</v>
      </c>
      <c r="AM54" s="1" cm="1">
        <f t="array" ref="AM54">_xlfn.XLOOKUP(1,('2016 E Maize Soil VWC'!$C$2:$C$4000=$AA54)*('2016 E Maize Soil VWC'!$E$2:$E$4000=$AB54)*('2016 E Maize Soil VWC'!$F$2:$F$4000=AM$5),'2016 E Maize Soil VWC'!$G$2:$G$4000)</f>
        <v>0.30825080359352192</v>
      </c>
      <c r="AN54" s="1" cm="1">
        <f t="array" ref="AN54">_xlfn.XLOOKUP(1,('2016 E Maize Soil VWC'!$C$2:$C$4000=$AA54)*('2016 E Maize Soil VWC'!$E$2:$E$4000=$AB54)*('2016 E Maize Soil VWC'!$F$2:$F$4000=AN$5),'2016 E Maize Soil VWC'!$G$2:$G$4000)</f>
        <v>0.31362300698864209</v>
      </c>
      <c r="AO54" s="1" cm="1">
        <f t="array" ref="AO54">_xlfn.XLOOKUP(1,('2016 E Maize Soil VWC'!$C$2:$C$4000=$AA54)*('2016 E Maize Soil VWC'!$E$2:$E$4000=$AB54)*('2016 E Maize Soil VWC'!$F$2:$F$4000=AO$5),'2016 E Maize Soil VWC'!$G$2:$G$4000)</f>
        <v>0.28894201457917679</v>
      </c>
      <c r="AP54" s="1" cm="1">
        <f t="array" ref="AP54">_xlfn.XLOOKUP(1,('2016 E Maize Soil VWC'!$C$2:$C$4000=$AA54)*('2016 E Maize Soil VWC'!$E$2:$E$4000=$AB54)*('2016 E Maize Soil VWC'!$F$2:$F$4000=AP$5),'2016 E Maize Soil VWC'!$G$2:$G$4000)</f>
        <v>0.30147715583445728</v>
      </c>
      <c r="AQ54" s="1" cm="1">
        <f t="array" ref="AQ54">_xlfn.XLOOKUP(1,('2016 E Maize Soil VWC'!$C$2:$C$4000=$AA54)*('2016 E Maize Soil VWC'!$E$2:$E$4000=$AB54)*('2016 E Maize Soil VWC'!$F$2:$F$4000=AQ$5),'2016 E Maize Soil VWC'!$G$2:$G$4000)</f>
        <v>0.33713612909482038</v>
      </c>
      <c r="AR54" s="1" cm="1">
        <f t="array" ref="AR54">_xlfn.XLOOKUP(1,('2016 E Maize Soil VWC'!$C$2:$C$4000=$AA54)*('2016 E Maize Soil VWC'!$E$2:$E$4000=$AB54)*('2016 E Maize Soil VWC'!$F$2:$F$4000=AR$5),'2016 E Maize Soil VWC'!$G$2:$G$4000)</f>
        <v>0.32611921923381304</v>
      </c>
      <c r="AS54" s="1" cm="1">
        <f t="array" ref="AS54">_xlfn.XLOOKUP(1,('2016 E Maize Soil VWC'!$C$2:$C$4000=$AA54)*('2016 E Maize Soil VWC'!$E$2:$E$4000=$AB54)*('2016 E Maize Soil VWC'!$F$2:$F$4000=AS$5),'2016 E Maize Soil VWC'!$G$2:$G$4000)</f>
        <v>0.32253775030373288</v>
      </c>
      <c r="AT54" s="1" cm="1">
        <f t="array" ref="AT54">_xlfn.XLOOKUP(1,('2016 E Maize Soil VWC'!$C$2:$C$4000=$AA54)*('2016 E Maize Soil VWC'!$E$2:$E$4000=$AB54)*('2016 E Maize Soil VWC'!$F$2:$F$4000=AT$5),'2016 E Maize Soil VWC'!$G$2:$G$4000)</f>
        <v>0.3114040534123968</v>
      </c>
      <c r="AU54" s="1" cm="1">
        <f t="array" ref="AU54">_xlfn.XLOOKUP(1,('2016 E Maize Soil VWC'!$C$2:$C$4000=$AA54)*('2016 E Maize Soil VWC'!$E$2:$E$4000=$AB54)*('2016 E Maize Soil VWC'!$F$2:$F$4000=AU$5),'2016 E Maize Soil VWC'!$G$2:$G$4000)</f>
        <v>0.30620703056276966</v>
      </c>
      <c r="AV54" s="1" cm="1">
        <f t="array" ref="AV54">_xlfn.XLOOKUP(1,('2016 E Maize Soil VWC'!$C$2:$C$4000=$AA54)*('2016 E Maize Soil VWC'!$E$2:$E$4000=$AB54)*('2016 E Maize Soil VWC'!$F$2:$F$4000=AV$5),'2016 E Maize Soil VWC'!$G$2:$G$4000)</f>
        <v>0.30825080359352192</v>
      </c>
      <c r="BN54" s="15"/>
    </row>
    <row r="55" spans="25:66" x14ac:dyDescent="0.25">
      <c r="AA55" s="18">
        <f t="shared" si="9"/>
        <v>42536</v>
      </c>
      <c r="AB55" s="1">
        <f t="shared" si="10"/>
        <v>210</v>
      </c>
      <c r="AC55" s="1" cm="1">
        <f t="array" ref="AC55">_xlfn.XLOOKUP(1,('2016 E Maize Soil VWC'!$C$2:$C$4000=$AA55)*('2016 E Maize Soil VWC'!$E$2:$E$4000=$AB55)*('2016 E Maize Soil VWC'!$F$2:$F$4000=AC$5),'2016 E Maize Soil VWC'!$G$2:$G$4000)</f>
        <v>0.3039880769865243</v>
      </c>
      <c r="AD55" s="1" cm="1">
        <f t="array" ref="AD55">_xlfn.XLOOKUP(1,('2016 E Maize Soil VWC'!$C$2:$C$4000=$AA55)*('2016 E Maize Soil VWC'!$E$2:$E$4000=$AB55)*('2016 E Maize Soil VWC'!$F$2:$F$4000=AD$5),'2016 E Maize Soil VWC'!$G$2:$G$4000)</f>
        <v>0.29820711898525365</v>
      </c>
      <c r="AE55" s="1" cm="1">
        <f t="array" ref="AE55">_xlfn.XLOOKUP(1,('2016 E Maize Soil VWC'!$C$2:$C$4000=$AA55)*('2016 E Maize Soil VWC'!$E$2:$E$4000=$AB55)*('2016 E Maize Soil VWC'!$F$2:$F$4000=AE$5),'2016 E Maize Soil VWC'!$G$2:$G$4000)</f>
        <v>0.27860636239508679</v>
      </c>
      <c r="AF55" s="1" cm="1">
        <f t="array" ref="AF55">_xlfn.XLOOKUP(1,('2016 E Maize Soil VWC'!$C$2:$C$4000=$AA55)*('2016 E Maize Soil VWC'!$E$2:$E$4000=$AB55)*('2016 E Maize Soil VWC'!$F$2:$F$4000=AF$5),'2016 E Maize Soil VWC'!$G$2:$G$4000)</f>
        <v>0.28837754393258808</v>
      </c>
      <c r="AG55" s="1" t="e" cm="1">
        <f t="array" ref="AG55">_xlfn.XLOOKUP(1,('2016 E Maize Soil VWC'!$C$2:$C$4000=$AA55)*('2016 E Maize Soil VWC'!$E$2:$E$4000=$AB55)*('2016 E Maize Soil VWC'!$F$2:$F$4000=AG$5),'2016 E Maize Soil VWC'!$G$2:$G$4000)</f>
        <v>#N/A</v>
      </c>
      <c r="AH55" s="1" t="e" cm="1">
        <f t="array" ref="AH55">_xlfn.XLOOKUP(1,('2016 E Maize Soil VWC'!$C$2:$C$4000=$AA55)*('2016 E Maize Soil VWC'!$E$2:$E$4000=$AB55)*('2016 E Maize Soil VWC'!$F$2:$F$4000=AH$5),'2016 E Maize Soil VWC'!$G$2:$G$4000)</f>
        <v>#N/A</v>
      </c>
      <c r="AI55" s="1" cm="1">
        <f t="array" ref="AI55">_xlfn.XLOOKUP(1,('2016 E Maize Soil VWC'!$C$2:$C$4000=$AA55)*('2016 E Maize Soil VWC'!$E$2:$E$4000=$AB55)*('2016 E Maize Soil VWC'!$F$2:$F$4000=AI$5),'2016 E Maize Soil VWC'!$G$2:$G$4000)</f>
        <v>0.28179854122407128</v>
      </c>
      <c r="AJ55" s="1" cm="1">
        <f t="array" ref="AJ55">_xlfn.XLOOKUP(1,('2016 E Maize Soil VWC'!$C$2:$C$4000=$AA55)*('2016 E Maize Soil VWC'!$E$2:$E$4000=$AB55)*('2016 E Maize Soil VWC'!$F$2:$F$4000=AJ$5),'2016 E Maize Soil VWC'!$G$2:$G$4000)</f>
        <v>0.30032875003622506</v>
      </c>
      <c r="AK55" s="1" cm="1">
        <f t="array" ref="AK55">_xlfn.XLOOKUP(1,('2016 E Maize Soil VWC'!$C$2:$C$4000=$AA55)*('2016 E Maize Soil VWC'!$E$2:$E$4000=$AB55)*('2016 E Maize Soil VWC'!$F$2:$F$4000=AK$5),'2016 E Maize Soil VWC'!$G$2:$G$4000)</f>
        <v>0.30042607256149895</v>
      </c>
      <c r="AL55" s="1" cm="1">
        <f t="array" ref="AL55">_xlfn.XLOOKUP(1,('2016 E Maize Soil VWC'!$C$2:$C$4000=$AA55)*('2016 E Maize Soil VWC'!$E$2:$E$4000=$AB55)*('2016 E Maize Soil VWC'!$F$2:$F$4000=AL$5),'2016 E Maize Soil VWC'!$G$2:$G$4000)</f>
        <v>0.27043127027207781</v>
      </c>
      <c r="AM55" s="1" cm="1">
        <f t="array" ref="AM55">_xlfn.XLOOKUP(1,('2016 E Maize Soil VWC'!$C$2:$C$4000=$AA55)*('2016 E Maize Soil VWC'!$E$2:$E$4000=$AB55)*('2016 E Maize Soil VWC'!$F$2:$F$4000=AM$5),'2016 E Maize Soil VWC'!$G$2:$G$4000)</f>
        <v>0.3055257728858522</v>
      </c>
      <c r="AN55" s="1" cm="1">
        <f t="array" ref="AN55">_xlfn.XLOOKUP(1,('2016 E Maize Soil VWC'!$C$2:$C$4000=$AA55)*('2016 E Maize Soil VWC'!$E$2:$E$4000=$AB55)*('2016 E Maize Soil VWC'!$F$2:$F$4000=AN$5),'2016 E Maize Soil VWC'!$G$2:$G$4000)</f>
        <v>0.30751115240144011</v>
      </c>
      <c r="AO55" s="1" cm="1">
        <f t="array" ref="AO55">_xlfn.XLOOKUP(1,('2016 E Maize Soil VWC'!$C$2:$C$4000=$AA55)*('2016 E Maize Soil VWC'!$E$2:$E$4000=$AB55)*('2016 E Maize Soil VWC'!$F$2:$F$4000=AO$5),'2016 E Maize Soil VWC'!$G$2:$G$4000)</f>
        <v>0.29579352035846057</v>
      </c>
      <c r="AP55" s="1" cm="1">
        <f t="array" ref="AP55">_xlfn.XLOOKUP(1,('2016 E Maize Soil VWC'!$C$2:$C$4000=$AA55)*('2016 E Maize Soil VWC'!$E$2:$E$4000=$AB55)*('2016 E Maize Soil VWC'!$F$2:$F$4000=AP$5),'2016 E Maize Soil VWC'!$G$2:$G$4000)</f>
        <v>0.27397381019204836</v>
      </c>
      <c r="AQ55" s="1" t="e" cm="1">
        <f t="array" ref="AQ55">_xlfn.XLOOKUP(1,('2016 E Maize Soil VWC'!$C$2:$C$4000=$AA55)*('2016 E Maize Soil VWC'!$E$2:$E$4000=$AB55)*('2016 E Maize Soil VWC'!$F$2:$F$4000=AQ$5),'2016 E Maize Soil VWC'!$G$2:$G$4000)</f>
        <v>#N/A</v>
      </c>
      <c r="AR55" s="1" t="e" cm="1">
        <f t="array" ref="AR55">_xlfn.XLOOKUP(1,('2016 E Maize Soil VWC'!$C$2:$C$4000=$AA55)*('2016 E Maize Soil VWC'!$E$2:$E$4000=$AB55)*('2016 E Maize Soil VWC'!$F$2:$F$4000=AR$5),'2016 E Maize Soil VWC'!$G$2:$G$4000)</f>
        <v>#N/A</v>
      </c>
      <c r="AS55" s="1" cm="1">
        <f t="array" ref="AS55">_xlfn.XLOOKUP(1,('2016 E Maize Soil VWC'!$C$2:$C$4000=$AA55)*('2016 E Maize Soil VWC'!$E$2:$E$4000=$AB55)*('2016 E Maize Soil VWC'!$F$2:$F$4000=AS$5),'2016 E Maize Soil VWC'!$G$2:$G$4000)</f>
        <v>0.30548684387574265</v>
      </c>
      <c r="AT55" s="1" cm="1">
        <f t="array" ref="AT55">_xlfn.XLOOKUP(1,('2016 E Maize Soil VWC'!$C$2:$C$4000=$AA55)*('2016 E Maize Soil VWC'!$E$2:$E$4000=$AB55)*('2016 E Maize Soil VWC'!$F$2:$F$4000=AT$5),'2016 E Maize Soil VWC'!$G$2:$G$4000)</f>
        <v>0.30603185001727656</v>
      </c>
      <c r="AU55" s="1" cm="1">
        <f t="array" ref="AU55">_xlfn.XLOOKUP(1,('2016 E Maize Soil VWC'!$C$2:$C$4000=$AA55)*('2016 E Maize Soil VWC'!$E$2:$E$4000=$AB55)*('2016 E Maize Soil VWC'!$F$2:$F$4000=AU$5),'2016 E Maize Soil VWC'!$G$2:$G$4000)</f>
        <v>0.29696139066174754</v>
      </c>
      <c r="AV55" s="1" cm="1">
        <f t="array" ref="AV55">_xlfn.XLOOKUP(1,('2016 E Maize Soil VWC'!$C$2:$C$4000=$AA55)*('2016 E Maize Soil VWC'!$E$2:$E$4000=$AB55)*('2016 E Maize Soil VWC'!$F$2:$F$4000=AV$5),'2016 E Maize Soil VWC'!$G$2:$G$4000)</f>
        <v>0.30459147664322261</v>
      </c>
      <c r="BN55" s="15"/>
    </row>
    <row r="56" spans="25:66" x14ac:dyDescent="0.25">
      <c r="AA56" s="18">
        <f t="shared" si="9"/>
        <v>42536</v>
      </c>
      <c r="AB56" s="1">
        <f t="shared" si="10"/>
        <v>230</v>
      </c>
      <c r="AC56" s="1" cm="1">
        <f t="array" ref="AC56">_xlfn.XLOOKUP(1,('2016 E Maize Soil VWC'!$C$2:$C$4000=$AA56)*('2016 E Maize Soil VWC'!$E$2:$E$4000=$AB56)*('2016 E Maize Soil VWC'!$F$2:$F$4000=AC$5),'2016 E Maize Soil VWC'!$G$2:$G$4000)</f>
        <v>0.29497601114615962</v>
      </c>
      <c r="AD56" s="1" cm="1">
        <f t="array" ref="AD56">_xlfn.XLOOKUP(1,('2016 E Maize Soil VWC'!$C$2:$C$4000=$AA56)*('2016 E Maize Soil VWC'!$E$2:$E$4000=$AB56)*('2016 E Maize Soil VWC'!$F$2:$F$4000=AD$5),'2016 E Maize Soil VWC'!$G$2:$G$4000)</f>
        <v>0.2989662346823902</v>
      </c>
      <c r="AE56" s="1" cm="1">
        <f t="array" ref="AE56">_xlfn.XLOOKUP(1,('2016 E Maize Soil VWC'!$C$2:$C$4000=$AA56)*('2016 E Maize Soil VWC'!$E$2:$E$4000=$AB56)*('2016 E Maize Soil VWC'!$F$2:$F$4000=AE$5),'2016 E Maize Soil VWC'!$G$2:$G$4000)</f>
        <v>0.27800296273838854</v>
      </c>
      <c r="AF56" s="1" cm="1">
        <f t="array" ref="AF56">_xlfn.XLOOKUP(1,('2016 E Maize Soil VWC'!$C$2:$C$4000=$AA56)*('2016 E Maize Soil VWC'!$E$2:$E$4000=$AB56)*('2016 E Maize Soil VWC'!$F$2:$F$4000=AF$5),'2016 E Maize Soil VWC'!$G$2:$G$4000)</f>
        <v>0.27726331154630673</v>
      </c>
      <c r="AG56" s="1" t="e" cm="1">
        <f t="array" ref="AG56">_xlfn.XLOOKUP(1,('2016 E Maize Soil VWC'!$C$2:$C$4000=$AA56)*('2016 E Maize Soil VWC'!$E$2:$E$4000=$AB56)*('2016 E Maize Soil VWC'!$F$2:$F$4000=AG$5),'2016 E Maize Soil VWC'!$G$2:$G$4000)</f>
        <v>#N/A</v>
      </c>
      <c r="AH56" s="1" t="e" cm="1">
        <f t="array" ref="AH56">_xlfn.XLOOKUP(1,('2016 E Maize Soil VWC'!$C$2:$C$4000=$AA56)*('2016 E Maize Soil VWC'!$E$2:$E$4000=$AB56)*('2016 E Maize Soil VWC'!$F$2:$F$4000=AH$5),'2016 E Maize Soil VWC'!$G$2:$G$4000)</f>
        <v>#N/A</v>
      </c>
      <c r="AI56" s="1" cm="1">
        <f t="array" ref="AI56">_xlfn.XLOOKUP(1,('2016 E Maize Soil VWC'!$C$2:$C$4000=$AA56)*('2016 E Maize Soil VWC'!$E$2:$E$4000=$AB56)*('2016 E Maize Soil VWC'!$F$2:$F$4000=AI$5),'2016 E Maize Soil VWC'!$G$2:$G$4000)</f>
        <v>0.28374499172954959</v>
      </c>
      <c r="AJ56" s="1" cm="1">
        <f t="array" ref="AJ56">_xlfn.XLOOKUP(1,('2016 E Maize Soil VWC'!$C$2:$C$4000=$AA56)*('2016 E Maize Soil VWC'!$E$2:$E$4000=$AB56)*('2016 E Maize Soil VWC'!$F$2:$F$4000=AJ$5),'2016 E Maize Soil VWC'!$G$2:$G$4000)</f>
        <v>0.30523380531003047</v>
      </c>
      <c r="AK56" s="1" cm="1">
        <f t="array" ref="AK56">_xlfn.XLOOKUP(1,('2016 E Maize Soil VWC'!$C$2:$C$4000=$AA56)*('2016 E Maize Soil VWC'!$E$2:$E$4000=$AB56)*('2016 E Maize Soil VWC'!$F$2:$F$4000=AK$5),'2016 E Maize Soil VWC'!$G$2:$G$4000)</f>
        <v>0.30873741621989148</v>
      </c>
      <c r="AL56" s="1" cm="1">
        <f t="array" ref="AL56">_xlfn.XLOOKUP(1,('2016 E Maize Soil VWC'!$C$2:$C$4000=$AA56)*('2016 E Maize Soil VWC'!$E$2:$E$4000=$AB56)*('2016 E Maize Soil VWC'!$F$2:$F$4000=AL$5),'2016 E Maize Soil VWC'!$G$2:$G$4000)</f>
        <v>0.27632901530367715</v>
      </c>
      <c r="AM56" s="1" cm="1">
        <f t="array" ref="AM56">_xlfn.XLOOKUP(1,('2016 E Maize Soil VWC'!$C$2:$C$4000=$AA56)*('2016 E Maize Soil VWC'!$E$2:$E$4000=$AB56)*('2016 E Maize Soil VWC'!$F$2:$F$4000=AM$5),'2016 E Maize Soil VWC'!$G$2:$G$4000)</f>
        <v>0.29439207599451617</v>
      </c>
      <c r="AN56" s="1" cm="1">
        <f t="array" ref="AN56">_xlfn.XLOOKUP(1,('2016 E Maize Soil VWC'!$C$2:$C$4000=$AA56)*('2016 E Maize Soil VWC'!$E$2:$E$4000=$AB56)*('2016 E Maize Soil VWC'!$F$2:$F$4000=AN$5),'2016 E Maize Soil VWC'!$G$2:$G$4000)</f>
        <v>0.2945672565400092</v>
      </c>
      <c r="AO56" s="1" cm="1">
        <f t="array" ref="AO56">_xlfn.XLOOKUP(1,('2016 E Maize Soil VWC'!$C$2:$C$4000=$AA56)*('2016 E Maize Soil VWC'!$E$2:$E$4000=$AB56)*('2016 E Maize Soil VWC'!$F$2:$F$4000=AO$5),'2016 E Maize Soil VWC'!$G$2:$G$4000)</f>
        <v>0.28253819241615302</v>
      </c>
      <c r="AP56" s="1" cm="1">
        <f t="array" ref="AP56">_xlfn.XLOOKUP(1,('2016 E Maize Soil VWC'!$C$2:$C$4000=$AA56)*('2016 E Maize Soil VWC'!$E$2:$E$4000=$AB56)*('2016 E Maize Soil VWC'!$F$2:$F$4000=AP$5),'2016 E Maize Soil VWC'!$G$2:$G$4000)</f>
        <v>0.27854796887992245</v>
      </c>
      <c r="AQ56" s="1" t="e" cm="1">
        <f t="array" ref="AQ56">_xlfn.XLOOKUP(1,('2016 E Maize Soil VWC'!$C$2:$C$4000=$AA56)*('2016 E Maize Soil VWC'!$E$2:$E$4000=$AB56)*('2016 E Maize Soil VWC'!$F$2:$F$4000=AQ$5),'2016 E Maize Soil VWC'!$G$2:$G$4000)</f>
        <v>#N/A</v>
      </c>
      <c r="AR56" s="1" t="e" cm="1">
        <f t="array" ref="AR56">_xlfn.XLOOKUP(1,('2016 E Maize Soil VWC'!$C$2:$C$4000=$AA56)*('2016 E Maize Soil VWC'!$E$2:$E$4000=$AB56)*('2016 E Maize Soil VWC'!$F$2:$F$4000=AR$5),'2016 E Maize Soil VWC'!$G$2:$G$4000)</f>
        <v>#N/A</v>
      </c>
      <c r="AS56" s="1" cm="1">
        <f t="array" ref="AS56">_xlfn.XLOOKUP(1,('2016 E Maize Soil VWC'!$C$2:$C$4000=$AA56)*('2016 E Maize Soil VWC'!$E$2:$E$4000=$AB56)*('2016 E Maize Soil VWC'!$F$2:$F$4000=AS$5),'2016 E Maize Soil VWC'!$G$2:$G$4000)</f>
        <v>0.29857694458129458</v>
      </c>
      <c r="AT56" s="1" cm="1">
        <f t="array" ref="AT56">_xlfn.XLOOKUP(1,('2016 E Maize Soil VWC'!$C$2:$C$4000=$AA56)*('2016 E Maize Soil VWC'!$E$2:$E$4000=$AB56)*('2016 E Maize Soil VWC'!$F$2:$F$4000=AT$5),'2016 E Maize Soil VWC'!$G$2:$G$4000)</f>
        <v>0.29626066847977534</v>
      </c>
      <c r="AU56" s="1" cm="1">
        <f t="array" ref="AU56">_xlfn.XLOOKUP(1,('2016 E Maize Soil VWC'!$C$2:$C$4000=$AA56)*('2016 E Maize Soil VWC'!$E$2:$E$4000=$AB56)*('2016 E Maize Soil VWC'!$F$2:$F$4000=AU$5),'2016 E Maize Soil VWC'!$G$2:$G$4000)</f>
        <v>0.28787146680116371</v>
      </c>
      <c r="AV56" s="1" cm="1">
        <f t="array" ref="AV56">_xlfn.XLOOKUP(1,('2016 E Maize Soil VWC'!$C$2:$C$4000=$AA56)*('2016 E Maize Soil VWC'!$E$2:$E$4000=$AB56)*('2016 E Maize Soil VWC'!$F$2:$F$4000=AV$5),'2016 E Maize Soil VWC'!$G$2:$G$4000)</f>
        <v>0.30871795171483668</v>
      </c>
      <c r="BN56" s="15"/>
    </row>
    <row r="57" spans="25:66" x14ac:dyDescent="0.25">
      <c r="AA57" s="18"/>
      <c r="BN57" s="15"/>
    </row>
    <row r="58" spans="25:66" x14ac:dyDescent="0.25">
      <c r="Y58" s="1">
        <v>2016</v>
      </c>
      <c r="Z58" s="1">
        <v>173</v>
      </c>
      <c r="AA58" s="18">
        <f>DATE(Y58,1,Z58)</f>
        <v>42542</v>
      </c>
      <c r="AB58" s="1">
        <v>10</v>
      </c>
      <c r="AC58" s="1" cm="1">
        <f t="array" ref="AC58">_xlfn.XLOOKUP(1,('2016 E Maize Soil VWC'!$C$2:$C$4000=$AA58)*('2016 E Maize Soil VWC'!$E$2:$E$4000=$AB58)*('2016 E Maize Soil VWC'!$F$2:$F$4000=AC$5),'2016 E Maize Soil VWC'!$G$2:$G$4000)</f>
        <v>0.18721018629691144</v>
      </c>
      <c r="AD58" s="1" cm="1">
        <f t="array" ref="AD58">_xlfn.XLOOKUP(1,('2016 E Maize Soil VWC'!$C$2:$C$4000=$AA58)*('2016 E Maize Soil VWC'!$E$2:$E$4000=$AB58)*('2016 E Maize Soil VWC'!$F$2:$F$4000=AD$5),'2016 E Maize Soil VWC'!$G$2:$G$4000)</f>
        <v>0.20182642444575721</v>
      </c>
      <c r="AE58" s="1" cm="1">
        <f t="array" ref="AE58">_xlfn.XLOOKUP(1,('2016 E Maize Soil VWC'!$C$2:$C$4000=$AA58)*('2016 E Maize Soil VWC'!$E$2:$E$4000=$AB58)*('2016 E Maize Soil VWC'!$F$2:$F$4000=AE$5),'2016 E Maize Soil VWC'!$G$2:$G$4000)</f>
        <v>0.20362947744574605</v>
      </c>
      <c r="AF58" s="1" cm="1">
        <f t="array" ref="AF58">_xlfn.XLOOKUP(1,('2016 E Maize Soil VWC'!$C$2:$C$4000=$AA58)*('2016 E Maize Soil VWC'!$E$2:$E$4000=$AB58)*('2016 E Maize Soil VWC'!$F$2:$F$4000=AF$5),'2016 E Maize Soil VWC'!$G$2:$G$4000)</f>
        <v>0.20752330466912627</v>
      </c>
      <c r="AG58" s="1" cm="1">
        <f t="array" ref="AG58">_xlfn.XLOOKUP(1,('2016 E Maize Soil VWC'!$C$2:$C$4000=$AA58)*('2016 E Maize Soil VWC'!$E$2:$E$4000=$AB58)*('2016 E Maize Soil VWC'!$F$2:$F$4000=AG$5),'2016 E Maize Soil VWC'!$G$2:$G$4000)</f>
        <v>0.19495947791388479</v>
      </c>
      <c r="AH58" s="1" cm="1">
        <f t="array" ref="AH58">_xlfn.XLOOKUP(1,('2016 E Maize Soil VWC'!$C$2:$C$4000=$AA58)*('2016 E Maize Soil VWC'!$E$2:$E$4000=$AB58)*('2016 E Maize Soil VWC'!$F$2:$F$4000=AH$5),'2016 E Maize Soil VWC'!$G$2:$G$4000)</f>
        <v>0.18995312862668168</v>
      </c>
      <c r="AI58" s="1" cm="1">
        <f t="array" ref="AI58">_xlfn.XLOOKUP(1,('2016 E Maize Soil VWC'!$C$2:$C$4000=$AA58)*('2016 E Maize Soil VWC'!$E$2:$E$4000=$AB58)*('2016 E Maize Soil VWC'!$F$2:$F$4000=AI$5),'2016 E Maize Soil VWC'!$G$2:$G$4000)</f>
        <v>0.19747224326493307</v>
      </c>
      <c r="AJ58" s="1" cm="1">
        <f t="array" ref="AJ58">_xlfn.XLOOKUP(1,('2016 E Maize Soil VWC'!$C$2:$C$4000=$AA58)*('2016 E Maize Soil VWC'!$E$2:$E$4000=$AB58)*('2016 E Maize Soil VWC'!$F$2:$F$4000=AJ$5),'2016 E Maize Soil VWC'!$G$2:$G$4000)</f>
        <v>0.20470363667978198</v>
      </c>
      <c r="AK58" s="1" cm="1">
        <f t="array" ref="AK58">_xlfn.XLOOKUP(1,('2016 E Maize Soil VWC'!$C$2:$C$4000=$AA58)*('2016 E Maize Soil VWC'!$E$2:$E$4000=$AB58)*('2016 E Maize Soil VWC'!$F$2:$F$4000=AK$5),'2016 E Maize Soil VWC'!$G$2:$G$4000)</f>
        <v>0.18416034132884518</v>
      </c>
      <c r="AL58" s="1" cm="1">
        <f t="array" ref="AL58">_xlfn.XLOOKUP(1,('2016 E Maize Soil VWC'!$C$2:$C$4000=$AA58)*('2016 E Maize Soil VWC'!$E$2:$E$4000=$AB58)*('2016 E Maize Soil VWC'!$F$2:$F$4000=AL$5),'2016 E Maize Soil VWC'!$G$2:$G$4000)</f>
        <v>0.19273443378623895</v>
      </c>
      <c r="AM58" s="1" cm="1">
        <f t="array" ref="AM58">_xlfn.XLOOKUP(1,('2016 E Maize Soil VWC'!$C$2:$C$4000=$AA58)*('2016 E Maize Soil VWC'!$E$2:$E$4000=$AB58)*('2016 E Maize Soil VWC'!$F$2:$F$4000=AM$5),'2016 E Maize Soil VWC'!$G$2:$G$4000)</f>
        <v>0.15500459069072753</v>
      </c>
      <c r="AN58" s="1" cm="1">
        <f t="array" ref="AN58">_xlfn.XLOOKUP(1,('2016 E Maize Soil VWC'!$C$2:$C$4000=$AA58)*('2016 E Maize Soil VWC'!$E$2:$E$4000=$AB58)*('2016 E Maize Soil VWC'!$F$2:$F$4000=AN$5),'2016 E Maize Soil VWC'!$G$2:$G$4000)</f>
        <v>0.15136012186096282</v>
      </c>
      <c r="AO58" s="1" cm="1">
        <f t="array" ref="AO58">_xlfn.XLOOKUP(1,('2016 E Maize Soil VWC'!$C$2:$C$4000=$AA58)*('2016 E Maize Soil VWC'!$E$2:$E$4000=$AB58)*('2016 E Maize Soil VWC'!$F$2:$F$4000=AO$5),'2016 E Maize Soil VWC'!$G$2:$G$4000)</f>
        <v>0.18916669061604824</v>
      </c>
      <c r="AP58" s="1" cm="1">
        <f t="array" ref="AP58">_xlfn.XLOOKUP(1,('2016 E Maize Soil VWC'!$C$2:$C$4000=$AA58)*('2016 E Maize Soil VWC'!$E$2:$E$4000=$AB58)*('2016 E Maize Soil VWC'!$F$2:$F$4000=AP$5),'2016 E Maize Soil VWC'!$G$2:$G$4000)</f>
        <v>0.18157085031822284</v>
      </c>
      <c r="AQ58" s="1" cm="1">
        <f t="array" ref="AQ58">_xlfn.XLOOKUP(1,('2016 E Maize Soil VWC'!$C$2:$C$4000=$AA58)*('2016 E Maize Soil VWC'!$E$2:$E$4000=$AB58)*('2016 E Maize Soil VWC'!$F$2:$F$4000=AQ$5),'2016 E Maize Soil VWC'!$G$2:$G$4000)</f>
        <v>0.19219735416922101</v>
      </c>
      <c r="AR58" s="1" cm="1">
        <f t="array" ref="AR58">_xlfn.XLOOKUP(1,('2016 E Maize Soil VWC'!$C$2:$C$4000=$AA58)*('2016 E Maize Soil VWC'!$E$2:$E$4000=$AB58)*('2016 E Maize Soil VWC'!$F$2:$F$4000=AR$5),'2016 E Maize Soil VWC'!$G$2:$G$4000)</f>
        <v>0.18020896986078444</v>
      </c>
      <c r="AS58" s="1" cm="1">
        <f t="array" ref="AS58">_xlfn.XLOOKUP(1,('2016 E Maize Soil VWC'!$C$2:$C$4000=$AA58)*('2016 E Maize Soil VWC'!$E$2:$E$4000=$AB58)*('2016 E Maize Soil VWC'!$F$2:$F$4000=AS$5),'2016 E Maize Soil VWC'!$G$2:$G$4000)</f>
        <v>0.19388531867984887</v>
      </c>
      <c r="AT58" s="1" cm="1">
        <f t="array" ref="AT58">_xlfn.XLOOKUP(1,('2016 E Maize Soil VWC'!$C$2:$C$4000=$AA58)*('2016 E Maize Soil VWC'!$E$2:$E$4000=$AB58)*('2016 E Maize Soil VWC'!$F$2:$F$4000=AT$5),'2016 E Maize Soil VWC'!$G$2:$G$4000)</f>
        <v>0.17433945690337393</v>
      </c>
      <c r="AU58" s="1" cm="1">
        <f t="array" ref="AU58">_xlfn.XLOOKUP(1,('2016 E Maize Soil VWC'!$C$2:$C$4000=$AA58)*('2016 E Maize Soil VWC'!$E$2:$E$4000=$AB58)*('2016 E Maize Soil VWC'!$F$2:$F$4000=AU$5),'2016 E Maize Soil VWC'!$G$2:$G$4000)</f>
        <v>0.19599527431813368</v>
      </c>
      <c r="AV58" s="1" cm="1">
        <f t="array" ref="AV58">_xlfn.XLOOKUP(1,('2016 E Maize Soil VWC'!$C$2:$C$4000=$AA58)*('2016 E Maize Soil VWC'!$E$2:$E$4000=$AB58)*('2016 E Maize Soil VWC'!$F$2:$F$4000=AV$5),'2016 E Maize Soil VWC'!$G$2:$G$4000)</f>
        <v>0.17924989911610956</v>
      </c>
      <c r="AW58" s="1">
        <f>Z58</f>
        <v>173</v>
      </c>
      <c r="AX58" s="15">
        <f>AA58</f>
        <v>42542</v>
      </c>
      <c r="AY58" s="1">
        <f>1400*AVERAGE(AG58:AH64)+100*AVERAGE(AG65:AH65)</f>
        <v>469.57229555992728</v>
      </c>
      <c r="AZ58" s="1">
        <f>1400*AVERAGE(AC58:AF64,AI58:AL64)+100*AVERAGE(AC65:AF65,AI65:AL65)</f>
        <v>473.40160216054375</v>
      </c>
      <c r="BA58" s="1">
        <f>1400*AVERAGE(AQ58:AR64)+100*AVERAGE(AQ65:AR65)</f>
        <v>453.1180995296321</v>
      </c>
      <c r="BB58" s="1">
        <f>1400*AVERAGE(AM58:AP64,AS58:AV64)+100*AVERAGE(AM65:AP65,AS65:AV65)</f>
        <v>452.6032934304535</v>
      </c>
      <c r="BC58" s="1">
        <f>AVERAGE(AC58:AD69)*2400</f>
        <v>744.90152621465279</v>
      </c>
      <c r="BD58" s="1">
        <f>AVERAGE(AE58:AF69)*2400</f>
        <v>734.60264180478634</v>
      </c>
      <c r="BE58" s="1">
        <f>AVERAGE(AG58:AH67)*2000</f>
        <v>640.16953475929859</v>
      </c>
      <c r="BF58" s="1">
        <f>AVERAGE(AI58:AJ69)*2400</f>
        <v>749.95769393314561</v>
      </c>
      <c r="BG58" s="1">
        <f>AVERAGE(AK58:AL69)*2400</f>
        <v>749.83116006442469</v>
      </c>
      <c r="BH58" s="1">
        <f>AVERAGE(AM58:AN69)*2400</f>
        <v>733.50856215210058</v>
      </c>
      <c r="BI58" s="1">
        <f>AVERAGE(AO58:AP69)*2400</f>
        <v>706.04695383037779</v>
      </c>
      <c r="BJ58" s="1">
        <f>AVERAGE(AQ58:AR67)*2000</f>
        <v>619.27840480176565</v>
      </c>
      <c r="BK58" s="1">
        <f>AVERAGE(AS58:AT69)*2400</f>
        <v>749.27822329547348</v>
      </c>
      <c r="BL58" s="1">
        <f>AVERAGE(AU58:AV69)*2400</f>
        <v>742.59315126787567</v>
      </c>
      <c r="BN58" s="15"/>
    </row>
    <row r="59" spans="25:66" x14ac:dyDescent="0.25">
      <c r="AA59" s="18">
        <f t="shared" ref="AA59:AA69" si="11">AA58</f>
        <v>42542</v>
      </c>
      <c r="AB59" s="1">
        <f t="shared" ref="AB59:AB69" si="12">AB58+20</f>
        <v>30</v>
      </c>
      <c r="AC59" s="1" cm="1">
        <f t="array" ref="AC59">_xlfn.XLOOKUP(1,('2016 E Maize Soil VWC'!$C$2:$C$4000=$AA59)*('2016 E Maize Soil VWC'!$E$2:$E$4000=$AB59)*('2016 E Maize Soil VWC'!$F$2:$F$4000=AC$5),'2016 E Maize Soil VWC'!$G$2:$G$4000)</f>
        <v>0.27547509258000158</v>
      </c>
      <c r="AD59" s="1" cm="1">
        <f t="array" ref="AD59">_xlfn.XLOOKUP(1,('2016 E Maize Soil VWC'!$C$2:$C$4000=$AA59)*('2016 E Maize Soil VWC'!$E$2:$E$4000=$AB59)*('2016 E Maize Soil VWC'!$F$2:$F$4000=AD$5),'2016 E Maize Soil VWC'!$G$2:$G$4000)</f>
        <v>0.31103615626915748</v>
      </c>
      <c r="AE59" s="1" cm="1">
        <f t="array" ref="AE59">_xlfn.XLOOKUP(1,('2016 E Maize Soil VWC'!$C$2:$C$4000=$AA59)*('2016 E Maize Soil VWC'!$E$2:$E$4000=$AB59)*('2016 E Maize Soil VWC'!$F$2:$F$4000=AE$5),'2016 E Maize Soil VWC'!$G$2:$G$4000)</f>
        <v>0.29319837866847975</v>
      </c>
      <c r="AF59" s="1" cm="1">
        <f t="array" ref="AF59">_xlfn.XLOOKUP(1,('2016 E Maize Soil VWC'!$C$2:$C$4000=$AA59)*('2016 E Maize Soil VWC'!$E$2:$E$4000=$AB59)*('2016 E Maize Soil VWC'!$F$2:$F$4000=AF$5),'2016 E Maize Soil VWC'!$G$2:$G$4000)</f>
        <v>0.29246563299040312</v>
      </c>
      <c r="AG59" s="1" cm="1">
        <f t="array" ref="AG59">_xlfn.XLOOKUP(1,('2016 E Maize Soil VWC'!$C$2:$C$4000=$AA59)*('2016 E Maize Soil VWC'!$E$2:$E$4000=$AB59)*('2016 E Maize Soil VWC'!$F$2:$F$4000=AG$5),'2016 E Maize Soil VWC'!$G$2:$G$4000)</f>
        <v>0.30705185164461585</v>
      </c>
      <c r="AH59" s="1" cm="1">
        <f t="array" ref="AH59">_xlfn.XLOOKUP(1,('2016 E Maize Soil VWC'!$C$2:$C$4000=$AA59)*('2016 E Maize Soil VWC'!$E$2:$E$4000=$AB59)*('2016 E Maize Soil VWC'!$F$2:$F$4000=AH$5),'2016 E Maize Soil VWC'!$G$2:$G$4000)</f>
        <v>0.30590693652262113</v>
      </c>
      <c r="AI59" s="1" cm="1">
        <f t="array" ref="AI59">_xlfn.XLOOKUP(1,('2016 E Maize Soil VWC'!$C$2:$C$4000=$AA59)*('2016 E Maize Soil VWC'!$E$2:$E$4000=$AB59)*('2016 E Maize Soil VWC'!$F$2:$F$4000=AI$5),'2016 E Maize Soil VWC'!$G$2:$G$4000)</f>
        <v>0.29896875088333319</v>
      </c>
      <c r="AJ59" s="1" cm="1">
        <f t="array" ref="AJ59">_xlfn.XLOOKUP(1,('2016 E Maize Soil VWC'!$C$2:$C$4000=$AA59)*('2016 E Maize Soil VWC'!$E$2:$E$4000=$AB59)*('2016 E Maize Soil VWC'!$F$2:$F$4000=AJ$5),'2016 E Maize Soil VWC'!$G$2:$G$4000)</f>
        <v>0.31231846120579154</v>
      </c>
      <c r="AK59" s="1" cm="1">
        <f t="array" ref="AK59">_xlfn.XLOOKUP(1,('2016 E Maize Soil VWC'!$C$2:$C$4000=$AA59)*('2016 E Maize Soil VWC'!$E$2:$E$4000=$AB59)*('2016 E Maize Soil VWC'!$F$2:$F$4000=AK$5),'2016 E Maize Soil VWC'!$G$2:$G$4000)</f>
        <v>0.29741166631742033</v>
      </c>
      <c r="AL59" s="1" cm="1">
        <f t="array" ref="AL59">_xlfn.XLOOKUP(1,('2016 E Maize Soil VWC'!$C$2:$C$4000=$AA59)*('2016 E Maize Soil VWC'!$E$2:$E$4000=$AB59)*('2016 E Maize Soil VWC'!$F$2:$F$4000=AL$5),'2016 E Maize Soil VWC'!$G$2:$G$4000)</f>
        <v>0.31561581675713635</v>
      </c>
      <c r="AM59" s="1" cm="1">
        <f t="array" ref="AM59">_xlfn.XLOOKUP(1,('2016 E Maize Soil VWC'!$C$2:$C$4000=$AA59)*('2016 E Maize Soil VWC'!$E$2:$E$4000=$AB59)*('2016 E Maize Soil VWC'!$F$2:$F$4000=AM$5),'2016 E Maize Soil VWC'!$G$2:$G$4000)</f>
        <v>0.25571385757437276</v>
      </c>
      <c r="AN59" s="1" cm="1">
        <f t="array" ref="AN59">_xlfn.XLOOKUP(1,('2016 E Maize Soil VWC'!$C$2:$C$4000=$AA59)*('2016 E Maize Soil VWC'!$E$2:$E$4000=$AB59)*('2016 E Maize Soil VWC'!$F$2:$F$4000=AN$5),'2016 E Maize Soil VWC'!$G$2:$G$4000)</f>
        <v>0.22074814974865409</v>
      </c>
      <c r="AO59" s="1" cm="1">
        <f t="array" ref="AO59">_xlfn.XLOOKUP(1,('2016 E Maize Soil VWC'!$C$2:$C$4000=$AA59)*('2016 E Maize Soil VWC'!$E$2:$E$4000=$AB59)*('2016 E Maize Soil VWC'!$F$2:$F$4000=AO$5),'2016 E Maize Soil VWC'!$G$2:$G$4000)</f>
        <v>0.19883447431367524</v>
      </c>
      <c r="AP59" s="1" cm="1">
        <f t="array" ref="AP59">_xlfn.XLOOKUP(1,('2016 E Maize Soil VWC'!$C$2:$C$4000=$AA59)*('2016 E Maize Soil VWC'!$E$2:$E$4000=$AB59)*('2016 E Maize Soil VWC'!$F$2:$F$4000=AP$5),'2016 E Maize Soil VWC'!$G$2:$G$4000)</f>
        <v>0.18875922124012173</v>
      </c>
      <c r="AQ59" s="1" cm="1">
        <f t="array" ref="AQ59">_xlfn.XLOOKUP(1,('2016 E Maize Soil VWC'!$C$2:$C$4000=$AA59)*('2016 E Maize Soil VWC'!$E$2:$E$4000=$AB59)*('2016 E Maize Soil VWC'!$F$2:$F$4000=AQ$5),'2016 E Maize Soil VWC'!$G$2:$G$4000)</f>
        <v>0.28946595537077702</v>
      </c>
      <c r="AR59" s="1" cm="1">
        <f t="array" ref="AR59">_xlfn.XLOOKUP(1,('2016 E Maize Soil VWC'!$C$2:$C$4000=$AA59)*('2016 E Maize Soil VWC'!$E$2:$E$4000=$AB59)*('2016 E Maize Soil VWC'!$F$2:$F$4000=AR$5),'2016 E Maize Soil VWC'!$G$2:$G$4000)</f>
        <v>0.29145810768304781</v>
      </c>
      <c r="AS59" s="1" cm="1">
        <f t="array" ref="AS59">_xlfn.XLOOKUP(1,('2016 E Maize Soil VWC'!$C$2:$C$4000=$AA59)*('2016 E Maize Soil VWC'!$E$2:$E$4000=$AB59)*('2016 E Maize Soil VWC'!$F$2:$F$4000=AS$5),'2016 E Maize Soil VWC'!$G$2:$G$4000)</f>
        <v>0.30240349624931734</v>
      </c>
      <c r="AT59" s="1" cm="1">
        <f t="array" ref="AT59">_xlfn.XLOOKUP(1,('2016 E Maize Soil VWC'!$C$2:$C$4000=$AA59)*('2016 E Maize Soil VWC'!$E$2:$E$4000=$AB59)*('2016 E Maize Soil VWC'!$F$2:$F$4000=AT$5),'2016 E Maize Soil VWC'!$G$2:$G$4000)</f>
        <v>0.2712160083261812</v>
      </c>
      <c r="AU59" s="1" cm="1">
        <f t="array" ref="AU59">_xlfn.XLOOKUP(1,('2016 E Maize Soil VWC'!$C$2:$C$4000=$AA59)*('2016 E Maize Soil VWC'!$E$2:$E$4000=$AB59)*('2016 E Maize Soil VWC'!$F$2:$F$4000=AU$5),'2016 E Maize Soil VWC'!$G$2:$G$4000)</f>
        <v>0.28108517667777566</v>
      </c>
      <c r="AV59" s="1" cm="1">
        <f t="array" ref="AV59">_xlfn.XLOOKUP(1,('2016 E Maize Soil VWC'!$C$2:$C$4000=$AA59)*('2016 E Maize Soil VWC'!$E$2:$E$4000=$AB59)*('2016 E Maize Soil VWC'!$F$2:$F$4000=AV$5),'2016 E Maize Soil VWC'!$G$2:$G$4000)</f>
        <v>0.27323105894089189</v>
      </c>
      <c r="BN59" s="15"/>
    </row>
    <row r="60" spans="25:66" x14ac:dyDescent="0.25">
      <c r="AA60" s="18">
        <f t="shared" si="11"/>
        <v>42542</v>
      </c>
      <c r="AB60" s="1">
        <f t="shared" si="12"/>
        <v>50</v>
      </c>
      <c r="AC60" s="1" cm="1">
        <f t="array" ref="AC60">_xlfn.XLOOKUP(1,('2016 E Maize Soil VWC'!$C$2:$C$4000=$AA60)*('2016 E Maize Soil VWC'!$E$2:$E$4000=$AB60)*('2016 E Maize Soil VWC'!$F$2:$F$4000=AC$5),'2016 E Maize Soil VWC'!$G$2:$G$4000)</f>
        <v>0.3493221179486608</v>
      </c>
      <c r="AD60" s="1" cm="1">
        <f t="array" ref="AD60">_xlfn.XLOOKUP(1,('2016 E Maize Soil VWC'!$C$2:$C$4000=$AA60)*('2016 E Maize Soil VWC'!$E$2:$E$4000=$AB60)*('2016 E Maize Soil VWC'!$F$2:$F$4000=AD$5),'2016 E Maize Soil VWC'!$G$2:$G$4000)</f>
        <v>0.35662667642698709</v>
      </c>
      <c r="AE60" s="1" cm="1">
        <f t="array" ref="AE60">_xlfn.XLOOKUP(1,('2016 E Maize Soil VWC'!$C$2:$C$4000=$AA60)*('2016 E Maize Soil VWC'!$E$2:$E$4000=$AB60)*('2016 E Maize Soil VWC'!$F$2:$F$4000=AE$5),'2016 E Maize Soil VWC'!$G$2:$G$4000)</f>
        <v>0.35511538846595408</v>
      </c>
      <c r="AF60" s="1" cm="1">
        <f t="array" ref="AF60">_xlfn.XLOOKUP(1,('2016 E Maize Soil VWC'!$C$2:$C$4000=$AA60)*('2016 E Maize Soil VWC'!$E$2:$E$4000=$AB60)*('2016 E Maize Soil VWC'!$F$2:$F$4000=AF$5),'2016 E Maize Soil VWC'!$G$2:$G$4000)</f>
        <v>0.34169698323617603</v>
      </c>
      <c r="AG60" s="1" cm="1">
        <f t="array" ref="AG60">_xlfn.XLOOKUP(1,('2016 E Maize Soil VWC'!$C$2:$C$4000=$AA60)*('2016 E Maize Soil VWC'!$E$2:$E$4000=$AB60)*('2016 E Maize Soil VWC'!$F$2:$F$4000=AG$5),'2016 E Maize Soil VWC'!$G$2:$G$4000)</f>
        <v>0.34339145761672818</v>
      </c>
      <c r="AH60" s="1" cm="1">
        <f t="array" ref="AH60">_xlfn.XLOOKUP(1,('2016 E Maize Soil VWC'!$C$2:$C$4000=$AA60)*('2016 E Maize Soil VWC'!$E$2:$E$4000=$AB60)*('2016 E Maize Soil VWC'!$F$2:$F$4000=AH$5),'2016 E Maize Soil VWC'!$G$2:$G$4000)</f>
        <v>0.344513474436283</v>
      </c>
      <c r="AI60" s="1" cm="1">
        <f t="array" ref="AI60">_xlfn.XLOOKUP(1,('2016 E Maize Soil VWC'!$C$2:$C$4000=$AA60)*('2016 E Maize Soil VWC'!$E$2:$E$4000=$AB60)*('2016 E Maize Soil VWC'!$F$2:$F$4000=AI$5),'2016 E Maize Soil VWC'!$G$2:$G$4000)</f>
        <v>0.35142876177313109</v>
      </c>
      <c r="AJ60" s="1" cm="1">
        <f t="array" ref="AJ60">_xlfn.XLOOKUP(1,('2016 E Maize Soil VWC'!$C$2:$C$4000=$AA60)*('2016 E Maize Soil VWC'!$E$2:$E$4000=$AB60)*('2016 E Maize Soil VWC'!$F$2:$F$4000=AJ$5),'2016 E Maize Soil VWC'!$G$2:$G$4000)</f>
        <v>0.34737576224126981</v>
      </c>
      <c r="AK60" s="1" cm="1">
        <f t="array" ref="AK60">_xlfn.XLOOKUP(1,('2016 E Maize Soil VWC'!$C$2:$C$4000=$AA60)*('2016 E Maize Soil VWC'!$E$2:$E$4000=$AB60)*('2016 E Maize Soil VWC'!$F$2:$F$4000=AK$5),'2016 E Maize Soil VWC'!$G$2:$G$4000)</f>
        <v>0.35587103244647061</v>
      </c>
      <c r="AL60" s="1" cm="1">
        <f t="array" ref="AL60">_xlfn.XLOOKUP(1,('2016 E Maize Soil VWC'!$C$2:$C$4000=$AA60)*('2016 E Maize Soil VWC'!$E$2:$E$4000=$AB60)*('2016 E Maize Soil VWC'!$F$2:$F$4000=AL$5),'2016 E Maize Soil VWC'!$G$2:$G$4000)</f>
        <v>0.36189328598816278</v>
      </c>
      <c r="AM60" s="1" cm="1">
        <f t="array" ref="AM60">_xlfn.XLOOKUP(1,('2016 E Maize Soil VWC'!$C$2:$C$4000=$AA60)*('2016 E Maize Soil VWC'!$E$2:$E$4000=$AB60)*('2016 E Maize Soil VWC'!$F$2:$F$4000=AM$5),'2016 E Maize Soil VWC'!$G$2:$G$4000)</f>
        <v>0.35321482936344284</v>
      </c>
      <c r="AN60" s="1" cm="1">
        <f t="array" ref="AN60">_xlfn.XLOOKUP(1,('2016 E Maize Soil VWC'!$C$2:$C$4000=$AA60)*('2016 E Maize Soil VWC'!$E$2:$E$4000=$AB60)*('2016 E Maize Soil VWC'!$F$2:$F$4000=AN$5),'2016 E Maize Soil VWC'!$G$2:$G$4000)</f>
        <v>0.34588737258267666</v>
      </c>
      <c r="AO60" s="1" cm="1">
        <f t="array" ref="AO60">_xlfn.XLOOKUP(1,('2016 E Maize Soil VWC'!$C$2:$C$4000=$AA60)*('2016 E Maize Soil VWC'!$E$2:$E$4000=$AB60)*('2016 E Maize Soil VWC'!$F$2:$F$4000=AO$5),'2016 E Maize Soil VWC'!$G$2:$G$4000)</f>
        <v>0.31598218959617463</v>
      </c>
      <c r="AP60" s="1" cm="1">
        <f t="array" ref="AP60">_xlfn.XLOOKUP(1,('2016 E Maize Soil VWC'!$C$2:$C$4000=$AA60)*('2016 E Maize Soil VWC'!$E$2:$E$4000=$AB60)*('2016 E Maize Soil VWC'!$F$2:$F$4000=AP$5),'2016 E Maize Soil VWC'!$G$2:$G$4000)</f>
        <v>0.3155471218498167</v>
      </c>
      <c r="AQ60" s="1" cm="1">
        <f t="array" ref="AQ60">_xlfn.XLOOKUP(1,('2016 E Maize Soil VWC'!$C$2:$C$4000=$AA60)*('2016 E Maize Soil VWC'!$E$2:$E$4000=$AB60)*('2016 E Maize Soil VWC'!$F$2:$F$4000=AQ$5),'2016 E Maize Soil VWC'!$G$2:$G$4000)</f>
        <v>0.31996649422071627</v>
      </c>
      <c r="AR60" s="1" cm="1">
        <f t="array" ref="AR60">_xlfn.XLOOKUP(1,('2016 E Maize Soil VWC'!$C$2:$C$4000=$AA60)*('2016 E Maize Soil VWC'!$E$2:$E$4000=$AB60)*('2016 E Maize Soil VWC'!$F$2:$F$4000=AR$5),'2016 E Maize Soil VWC'!$G$2:$G$4000)</f>
        <v>0.32555368001605045</v>
      </c>
      <c r="AS60" s="1" cm="1">
        <f t="array" ref="AS60">_xlfn.XLOOKUP(1,('2016 E Maize Soil VWC'!$C$2:$C$4000=$AA60)*('2016 E Maize Soil VWC'!$E$2:$E$4000=$AB60)*('2016 E Maize Soil VWC'!$F$2:$F$4000=AS$5),'2016 E Maize Soil VWC'!$G$2:$G$4000)</f>
        <v>0.35548176130499237</v>
      </c>
      <c r="AT60" s="1" cm="1">
        <f t="array" ref="AT60">_xlfn.XLOOKUP(1,('2016 E Maize Soil VWC'!$C$2:$C$4000=$AA60)*('2016 E Maize Soil VWC'!$E$2:$E$4000=$AB60)*('2016 E Maize Soil VWC'!$F$2:$F$4000=AT$5),'2016 E Maize Soil VWC'!$G$2:$G$4000)</f>
        <v>0.34531491502167927</v>
      </c>
      <c r="AU60" s="1" cm="1">
        <f t="array" ref="AU60">_xlfn.XLOOKUP(1,('2016 E Maize Soil VWC'!$C$2:$C$4000=$AA60)*('2016 E Maize Soil VWC'!$E$2:$E$4000=$AB60)*('2016 E Maize Soil VWC'!$F$2:$F$4000=AU$5),'2016 E Maize Soil VWC'!$G$2:$G$4000)</f>
        <v>0.34476535576312184</v>
      </c>
      <c r="AV60" s="1" cm="1">
        <f t="array" ref="AV60">_xlfn.XLOOKUP(1,('2016 E Maize Soil VWC'!$C$2:$C$4000=$AA60)*('2016 E Maize Soil VWC'!$E$2:$E$4000=$AB60)*('2016 E Maize Soil VWC'!$F$2:$F$4000=AV$5),'2016 E Maize Soil VWC'!$G$2:$G$4000)</f>
        <v>0.35477191392935564</v>
      </c>
      <c r="BN60" s="15"/>
    </row>
    <row r="61" spans="25:66" x14ac:dyDescent="0.25">
      <c r="AA61" s="18">
        <f t="shared" si="11"/>
        <v>42542</v>
      </c>
      <c r="AB61" s="1">
        <f t="shared" si="12"/>
        <v>70</v>
      </c>
      <c r="AC61" s="1" cm="1">
        <f t="array" ref="AC61">_xlfn.XLOOKUP(1,('2016 E Maize Soil VWC'!$C$2:$C$4000=$AA61)*('2016 E Maize Soil VWC'!$E$2:$E$4000=$AB61)*('2016 E Maize Soil VWC'!$F$2:$F$4000=AC$5),'2016 E Maize Soil VWC'!$G$2:$G$4000)</f>
        <v>0.35266527010488535</v>
      </c>
      <c r="AD61" s="1" cm="1">
        <f t="array" ref="AD61">_xlfn.XLOOKUP(1,('2016 E Maize Soil VWC'!$C$2:$C$4000=$AA61)*('2016 E Maize Soil VWC'!$E$2:$E$4000=$AB61)*('2016 E Maize Soil VWC'!$F$2:$F$4000=AD$5),'2016 E Maize Soil VWC'!$G$2:$G$4000)</f>
        <v>0.35062732118773476</v>
      </c>
      <c r="AE61" s="1" cm="1">
        <f t="array" ref="AE61">_xlfn.XLOOKUP(1,('2016 E Maize Soil VWC'!$C$2:$C$4000=$AA61)*('2016 E Maize Soil VWC'!$E$2:$E$4000=$AB61)*('2016 E Maize Soil VWC'!$F$2:$F$4000=AE$5),'2016 E Maize Soil VWC'!$G$2:$G$4000)</f>
        <v>0.34655142335343359</v>
      </c>
      <c r="AF61" s="1" cm="1">
        <f t="array" ref="AF61">_xlfn.XLOOKUP(1,('2016 E Maize Soil VWC'!$C$2:$C$4000=$AA61)*('2016 E Maize Soil VWC'!$E$2:$E$4000=$AB61)*('2016 E Maize Soil VWC'!$F$2:$F$4000=AF$5),'2016 E Maize Soil VWC'!$G$2:$G$4000)</f>
        <v>0.34066655962638076</v>
      </c>
      <c r="AG61" s="1" cm="1">
        <f t="array" ref="AG61">_xlfn.XLOOKUP(1,('2016 E Maize Soil VWC'!$C$2:$C$4000=$AA61)*('2016 E Maize Soil VWC'!$E$2:$E$4000=$AB61)*('2016 E Maize Soil VWC'!$F$2:$F$4000=AG$5),'2016 E Maize Soil VWC'!$G$2:$G$4000)</f>
        <v>0.34222364419229356</v>
      </c>
      <c r="AH61" s="1" cm="1">
        <f t="array" ref="AH61">_xlfn.XLOOKUP(1,('2016 E Maize Soil VWC'!$C$2:$C$4000=$AA61)*('2016 E Maize Soil VWC'!$E$2:$E$4000=$AB61)*('2016 E Maize Soil VWC'!$F$2:$F$4000=AH$5),'2016 E Maize Soil VWC'!$G$2:$G$4000)</f>
        <v>0.34066655962638076</v>
      </c>
      <c r="AI61" s="1" cm="1">
        <f t="array" ref="AI61">_xlfn.XLOOKUP(1,('2016 E Maize Soil VWC'!$C$2:$C$4000=$AA61)*('2016 E Maize Soil VWC'!$E$2:$E$4000=$AB61)*('2016 E Maize Soil VWC'!$F$2:$F$4000=AI$5),'2016 E Maize Soil VWC'!$G$2:$G$4000)</f>
        <v>0.3461850505143953</v>
      </c>
      <c r="AJ61" s="1" cm="1">
        <f t="array" ref="AJ61">_xlfn.XLOOKUP(1,('2016 E Maize Soil VWC'!$C$2:$C$4000=$AA61)*('2016 E Maize Soil VWC'!$E$2:$E$4000=$AB61)*('2016 E Maize Soil VWC'!$F$2:$F$4000=AJ$5),'2016 E Maize Soil VWC'!$G$2:$G$4000)</f>
        <v>0.34320827119720904</v>
      </c>
      <c r="AK61" s="1" cm="1">
        <f t="array" ref="AK61">_xlfn.XLOOKUP(1,('2016 E Maize Soil VWC'!$C$2:$C$4000=$AA61)*('2016 E Maize Soil VWC'!$E$2:$E$4000=$AB61)*('2016 E Maize Soil VWC'!$F$2:$F$4000=AK$5),'2016 E Maize Soil VWC'!$G$2:$G$4000)</f>
        <v>0.34476535576312184</v>
      </c>
      <c r="AL61" s="1" cm="1">
        <f t="array" ref="AL61">_xlfn.XLOOKUP(1,('2016 E Maize Soil VWC'!$C$2:$C$4000=$AA61)*('2016 E Maize Soil VWC'!$E$2:$E$4000=$AB61)*('2016 E Maize Soil VWC'!$F$2:$F$4000=AL$5),'2016 E Maize Soil VWC'!$G$2:$G$4000)</f>
        <v>0.35424525297323811</v>
      </c>
      <c r="AM61" s="1" cm="1">
        <f t="array" ref="AM61">_xlfn.XLOOKUP(1,('2016 E Maize Soil VWC'!$C$2:$C$4000=$AA61)*('2016 E Maize Soil VWC'!$E$2:$E$4000=$AB61)*('2016 E Maize Soil VWC'!$F$2:$F$4000=AM$5),'2016 E Maize Soil VWC'!$G$2:$G$4000)</f>
        <v>0.34568128786071761</v>
      </c>
      <c r="AN61" s="1" cm="1">
        <f t="array" ref="AN61">_xlfn.XLOOKUP(1,('2016 E Maize Soil VWC'!$C$2:$C$4000=$AA61)*('2016 E Maize Soil VWC'!$E$2:$E$4000=$AB61)*('2016 E Maize Soil VWC'!$F$2:$F$4000=AN$5),'2016 E Maize Soil VWC'!$G$2:$G$4000)</f>
        <v>0.33530835685544552</v>
      </c>
      <c r="AO61" s="1" cm="1">
        <f t="array" ref="AO61">_xlfn.XLOOKUP(1,('2016 E Maize Soil VWC'!$C$2:$C$4000=$AA61)*('2016 E Maize Soil VWC'!$E$2:$E$4000=$AB61)*('2016 E Maize Soil VWC'!$F$2:$F$4000=AO$5),'2016 E Maize Soil VWC'!$G$2:$G$4000)</f>
        <v>0.33581211950912315</v>
      </c>
      <c r="AP61" s="1" cm="1">
        <f t="array" ref="AP61">_xlfn.XLOOKUP(1,('2016 E Maize Soil VWC'!$C$2:$C$4000=$AA61)*('2016 E Maize Soil VWC'!$E$2:$E$4000=$AB61)*('2016 E Maize Soil VWC'!$F$2:$F$4000=AP$5),'2016 E Maize Soil VWC'!$G$2:$G$4000)</f>
        <v>0.34242972891425266</v>
      </c>
      <c r="AQ61" s="1" cm="1">
        <f t="array" ref="AQ61">_xlfn.XLOOKUP(1,('2016 E Maize Soil VWC'!$C$2:$C$4000=$AA61)*('2016 E Maize Soil VWC'!$E$2:$E$4000=$AB61)*('2016 E Maize Soil VWC'!$F$2:$F$4000=AQ$5),'2016 E Maize Soil VWC'!$G$2:$G$4000)</f>
        <v>0.33304142491389593</v>
      </c>
      <c r="AR61" s="1" cm="1">
        <f t="array" ref="AR61">_xlfn.XLOOKUP(1,('2016 E Maize Soil VWC'!$C$2:$C$4000=$AA61)*('2016 E Maize Soil VWC'!$E$2:$E$4000=$AB61)*('2016 E Maize Soil VWC'!$F$2:$F$4000=AR$5),'2016 E Maize Soil VWC'!$G$2:$G$4000)</f>
        <v>0.33306432321633583</v>
      </c>
      <c r="AS61" s="1" cm="1">
        <f t="array" ref="AS61">_xlfn.XLOOKUP(1,('2016 E Maize Soil VWC'!$C$2:$C$4000=$AA61)*('2016 E Maize Soil VWC'!$E$2:$E$4000=$AB61)*('2016 E Maize Soil VWC'!$F$2:$F$4000=AS$5),'2016 E Maize Soil VWC'!$G$2:$G$4000)</f>
        <v>0.3461163556070756</v>
      </c>
      <c r="AT61" s="1" cm="1">
        <f t="array" ref="AT61">_xlfn.XLOOKUP(1,('2016 E Maize Soil VWC'!$C$2:$C$4000=$AA61)*('2016 E Maize Soil VWC'!$E$2:$E$4000=$AB61)*('2016 E Maize Soil VWC'!$F$2:$F$4000=AT$5),'2016 E Maize Soil VWC'!$G$2:$G$4000)</f>
        <v>0.3393613563873068</v>
      </c>
      <c r="AU61" s="1" cm="1">
        <f t="array" ref="AU61">_xlfn.XLOOKUP(1,('2016 E Maize Soil VWC'!$C$2:$C$4000=$AA61)*('2016 E Maize Soil VWC'!$E$2:$E$4000=$AB61)*('2016 E Maize Soil VWC'!$F$2:$F$4000=AU$5),'2016 E Maize Soil VWC'!$G$2:$G$4000)</f>
        <v>0.33798745824091309</v>
      </c>
      <c r="AV61" s="1" cm="1">
        <f t="array" ref="AV61">_xlfn.XLOOKUP(1,('2016 E Maize Soil VWC'!$C$2:$C$4000=$AA61)*('2016 E Maize Soil VWC'!$E$2:$E$4000=$AB61)*('2016 E Maize Soil VWC'!$F$2:$F$4000=AV$5),'2016 E Maize Soil VWC'!$G$2:$G$4000)</f>
        <v>0.34293349156793029</v>
      </c>
      <c r="BN61" s="15"/>
    </row>
    <row r="62" spans="25:66" x14ac:dyDescent="0.25">
      <c r="AA62" s="18">
        <f t="shared" si="11"/>
        <v>42542</v>
      </c>
      <c r="AB62" s="1">
        <f t="shared" si="12"/>
        <v>90</v>
      </c>
      <c r="AC62" s="1" cm="1">
        <f t="array" ref="AC62">_xlfn.XLOOKUP(1,('2016 E Maize Soil VWC'!$C$2:$C$4000=$AA62)*('2016 E Maize Soil VWC'!$E$2:$E$4000=$AB62)*('2016 E Maize Soil VWC'!$F$2:$F$4000=AC$5),'2016 E Maize Soil VWC'!$G$2:$G$4000)</f>
        <v>0.34547520313875857</v>
      </c>
      <c r="AD62" s="1" cm="1">
        <f t="array" ref="AD62">_xlfn.XLOOKUP(1,('2016 E Maize Soil VWC'!$C$2:$C$4000=$AA62)*('2016 E Maize Soil VWC'!$E$2:$E$4000=$AB62)*('2016 E Maize Soil VWC'!$F$2:$F$4000=AD$5),'2016 E Maize Soil VWC'!$G$2:$G$4000)</f>
        <v>0.34682620298271233</v>
      </c>
      <c r="AE62" s="1" cm="1">
        <f t="array" ref="AE62">_xlfn.XLOOKUP(1,('2016 E Maize Soil VWC'!$C$2:$C$4000=$AA62)*('2016 E Maize Soil VWC'!$E$2:$E$4000=$AB62)*('2016 E Maize Soil VWC'!$F$2:$F$4000=AE$5),'2016 E Maize Soil VWC'!$G$2:$G$4000)</f>
        <v>0.3376210854018748</v>
      </c>
      <c r="AF62" s="1" cm="1">
        <f t="array" ref="AF62">_xlfn.XLOOKUP(1,('2016 E Maize Soil VWC'!$C$2:$C$4000=$AA62)*('2016 E Maize Soil VWC'!$E$2:$E$4000=$AB62)*('2016 E Maize Soil VWC'!$F$2:$F$4000=AF$5),'2016 E Maize Soil VWC'!$G$2:$G$4000)</f>
        <v>0.34201755947033452</v>
      </c>
      <c r="AG62" s="1" cm="1">
        <f t="array" ref="AG62">_xlfn.XLOOKUP(1,('2016 E Maize Soil VWC'!$C$2:$C$4000=$AA62)*('2016 E Maize Soil VWC'!$E$2:$E$4000=$AB62)*('2016 E Maize Soil VWC'!$F$2:$F$4000=AG$5),'2016 E Maize Soil VWC'!$G$2:$G$4000)</f>
        <v>0.34036888169466212</v>
      </c>
      <c r="AH62" s="1" cm="1">
        <f t="array" ref="AH62">_xlfn.XLOOKUP(1,('2016 E Maize Soil VWC'!$C$2:$C$4000=$AA62)*('2016 E Maize Soil VWC'!$E$2:$E$4000=$AB62)*('2016 E Maize Soil VWC'!$F$2:$F$4000=AH$5),'2016 E Maize Soil VWC'!$G$2:$G$4000)</f>
        <v>0.33191940809434112</v>
      </c>
      <c r="AI62" s="1" cm="1">
        <f t="array" ref="AI62">_xlfn.XLOOKUP(1,('2016 E Maize Soil VWC'!$C$2:$C$4000=$AA62)*('2016 E Maize Soil VWC'!$E$2:$E$4000=$AB62)*('2016 E Maize Soil VWC'!$F$2:$F$4000=AI$5),'2016 E Maize Soil VWC'!$G$2:$G$4000)</f>
        <v>0.3461392539095155</v>
      </c>
      <c r="AJ62" s="1" cm="1">
        <f t="array" ref="AJ62">_xlfn.XLOOKUP(1,('2016 E Maize Soil VWC'!$C$2:$C$4000=$AA62)*('2016 E Maize Soil VWC'!$E$2:$E$4000=$AB62)*('2016 E Maize Soil VWC'!$F$2:$F$4000=AJ$5),'2016 E Maize Soil VWC'!$G$2:$G$4000)</f>
        <v>0.34165118663129618</v>
      </c>
      <c r="AK62" s="1" cm="1">
        <f t="array" ref="AK62">_xlfn.XLOOKUP(1,('2016 E Maize Soil VWC'!$C$2:$C$4000=$AA62)*('2016 E Maize Soil VWC'!$E$2:$E$4000=$AB62)*('2016 E Maize Soil VWC'!$F$2:$F$4000=AK$5),'2016 E Maize Soil VWC'!$G$2:$G$4000)</f>
        <v>0.3408497460458999</v>
      </c>
      <c r="AL62" s="1" cm="1">
        <f t="array" ref="AL62">_xlfn.XLOOKUP(1,('2016 E Maize Soil VWC'!$C$2:$C$4000=$AA62)*('2016 E Maize Soil VWC'!$E$2:$E$4000=$AB62)*('2016 E Maize Soil VWC'!$F$2:$F$4000=AL$5),'2016 E Maize Soil VWC'!$G$2:$G$4000)</f>
        <v>0.3461392539095155</v>
      </c>
      <c r="AM62" s="1" cm="1">
        <f t="array" ref="AM62">_xlfn.XLOOKUP(1,('2016 E Maize Soil VWC'!$C$2:$C$4000=$AA62)*('2016 E Maize Soil VWC'!$E$2:$E$4000=$AB62)*('2016 E Maize Soil VWC'!$F$2:$F$4000=AM$5),'2016 E Maize Soil VWC'!$G$2:$G$4000)</f>
        <v>0.33986511904098443</v>
      </c>
      <c r="AN62" s="1" cm="1">
        <f t="array" ref="AN62">_xlfn.XLOOKUP(1,('2016 E Maize Soil VWC'!$C$2:$C$4000=$AA62)*('2016 E Maize Soil VWC'!$E$2:$E$4000=$AB62)*('2016 E Maize Soil VWC'!$F$2:$F$4000=AN$5),'2016 E Maize Soil VWC'!$G$2:$G$4000)</f>
        <v>0.34013989867026317</v>
      </c>
      <c r="AO62" s="1" cm="1">
        <f t="array" ref="AO62">_xlfn.XLOOKUP(1,('2016 E Maize Soil VWC'!$C$2:$C$4000=$AA62)*('2016 E Maize Soil VWC'!$E$2:$E$4000=$AB62)*('2016 E Maize Soil VWC'!$F$2:$F$4000=AO$5),'2016 E Maize Soil VWC'!$G$2:$G$4000)</f>
        <v>0.33727761086527636</v>
      </c>
      <c r="AP62" s="1" cm="1">
        <f t="array" ref="AP62">_xlfn.XLOOKUP(1,('2016 E Maize Soil VWC'!$C$2:$C$4000=$AA62)*('2016 E Maize Soil VWC'!$E$2:$E$4000=$AB62)*('2016 E Maize Soil VWC'!$F$2:$F$4000=AP$5),'2016 E Maize Soil VWC'!$G$2:$G$4000)</f>
        <v>0.33361388247489326</v>
      </c>
      <c r="AQ62" s="1" cm="1">
        <f t="array" ref="AQ62">_xlfn.XLOOKUP(1,('2016 E Maize Soil VWC'!$C$2:$C$4000=$AA62)*('2016 E Maize Soil VWC'!$E$2:$E$4000=$AB62)*('2016 E Maize Soil VWC'!$F$2:$F$4000=AQ$5),'2016 E Maize Soil VWC'!$G$2:$G$4000)</f>
        <v>0.33297273000657623</v>
      </c>
      <c r="AR62" s="1" cm="1">
        <f t="array" ref="AR62">_xlfn.XLOOKUP(1,('2016 E Maize Soil VWC'!$C$2:$C$4000=$AA62)*('2016 E Maize Soil VWC'!$E$2:$E$4000=$AB62)*('2016 E Maize Soil VWC'!$F$2:$F$4000=AR$5),'2016 E Maize Soil VWC'!$G$2:$G$4000)</f>
        <v>0.3292861033137533</v>
      </c>
      <c r="AS62" s="1" cm="1">
        <f t="array" ref="AS62">_xlfn.XLOOKUP(1,('2016 E Maize Soil VWC'!$C$2:$C$4000=$AA62)*('2016 E Maize Soil VWC'!$E$2:$E$4000=$AB62)*('2016 E Maize Soil VWC'!$F$2:$F$4000=AS$5),'2016 E Maize Soil VWC'!$G$2:$G$4000)</f>
        <v>0.34213205098253396</v>
      </c>
      <c r="AT62" s="1" cm="1">
        <f t="array" ref="AT62">_xlfn.XLOOKUP(1,('2016 E Maize Soil VWC'!$C$2:$C$4000=$AA62)*('2016 E Maize Soil VWC'!$E$2:$E$4000=$AB62)*('2016 E Maize Soil VWC'!$F$2:$F$4000=AT$5),'2016 E Maize Soil VWC'!$G$2:$G$4000)</f>
        <v>0.33750659388967535</v>
      </c>
      <c r="AU62" s="1" cm="1">
        <f t="array" ref="AU62">_xlfn.XLOOKUP(1,('2016 E Maize Soil VWC'!$C$2:$C$4000=$AA62)*('2016 E Maize Soil VWC'!$E$2:$E$4000=$AB62)*('2016 E Maize Soil VWC'!$F$2:$F$4000=AU$5),'2016 E Maize Soil VWC'!$G$2:$G$4000)</f>
        <v>0.33576632290424335</v>
      </c>
      <c r="AV62" s="1" cm="1">
        <f t="array" ref="AV62">_xlfn.XLOOKUP(1,('2016 E Maize Soil VWC'!$C$2:$C$4000=$AA62)*('2016 E Maize Soil VWC'!$E$2:$E$4000=$AB62)*('2016 E Maize Soil VWC'!$F$2:$F$4000=AV$5),'2016 E Maize Soil VWC'!$G$2:$G$4000)</f>
        <v>0.33659066179207958</v>
      </c>
      <c r="BN62" s="15"/>
    </row>
    <row r="63" spans="25:66" x14ac:dyDescent="0.25">
      <c r="AA63" s="18">
        <f t="shared" si="11"/>
        <v>42542</v>
      </c>
      <c r="AB63" s="1">
        <f t="shared" si="12"/>
        <v>110</v>
      </c>
      <c r="AC63" s="1" cm="1">
        <f t="array" ref="AC63">_xlfn.XLOOKUP(1,('2016 E Maize Soil VWC'!$C$2:$C$4000=$AA63)*('2016 E Maize Soil VWC'!$E$2:$E$4000=$AB63)*('2016 E Maize Soil VWC'!$F$2:$F$4000=AC$5),'2016 E Maize Soil VWC'!$G$2:$G$4000)</f>
        <v>0.34682620298271233</v>
      </c>
      <c r="AD63" s="1" cm="1">
        <f t="array" ref="AD63">_xlfn.XLOOKUP(1,('2016 E Maize Soil VWC'!$C$2:$C$4000=$AA63)*('2016 E Maize Soil VWC'!$E$2:$E$4000=$AB63)*('2016 E Maize Soil VWC'!$F$2:$F$4000=AD$5),'2016 E Maize Soil VWC'!$G$2:$G$4000)</f>
        <v>0.34119322058249835</v>
      </c>
      <c r="AE63" s="1" cm="1">
        <f t="array" ref="AE63">_xlfn.XLOOKUP(1,('2016 E Maize Soil VWC'!$C$2:$C$4000=$AA63)*('2016 E Maize Soil VWC'!$E$2:$E$4000=$AB63)*('2016 E Maize Soil VWC'!$F$2:$F$4000=AE$5),'2016 E Maize Soil VWC'!$G$2:$G$4000)</f>
        <v>0.33352228926513372</v>
      </c>
      <c r="AF63" s="1" cm="1">
        <f t="array" ref="AF63">_xlfn.XLOOKUP(1,('2016 E Maize Soil VWC'!$C$2:$C$4000=$AA63)*('2016 E Maize Soil VWC'!$E$2:$E$4000=$AB63)*('2016 E Maize Soil VWC'!$F$2:$F$4000=AF$5),'2016 E Maize Soil VWC'!$G$2:$G$4000)</f>
        <v>0.34151379681665689</v>
      </c>
      <c r="AG63" s="1" cm="1">
        <f t="array" ref="AG63">_xlfn.XLOOKUP(1,('2016 E Maize Soil VWC'!$C$2:$C$4000=$AA63)*('2016 E Maize Soil VWC'!$E$2:$E$4000=$AB63)*('2016 E Maize Soil VWC'!$F$2:$F$4000=AG$5),'2016 E Maize Soil VWC'!$G$2:$G$4000)</f>
        <v>0.34581867767535696</v>
      </c>
      <c r="AH63" s="1" cm="1">
        <f t="array" ref="AH63">_xlfn.XLOOKUP(1,('2016 E Maize Soil VWC'!$C$2:$C$4000=$AA63)*('2016 E Maize Soil VWC'!$E$2:$E$4000=$AB63)*('2016 E Maize Soil VWC'!$F$2:$F$4000=AH$5),'2016 E Maize Soil VWC'!$G$2:$G$4000)</f>
        <v>0.33221708602605976</v>
      </c>
      <c r="AI63" s="1" cm="1">
        <f t="array" ref="AI63">_xlfn.XLOOKUP(1,('2016 E Maize Soil VWC'!$C$2:$C$4000=$AA63)*('2016 E Maize Soil VWC'!$E$2:$E$4000=$AB63)*('2016 E Maize Soil VWC'!$F$2:$F$4000=AI$5),'2016 E Maize Soil VWC'!$G$2:$G$4000)</f>
        <v>0.34197176286545472</v>
      </c>
      <c r="AJ63" s="1" cm="1">
        <f t="array" ref="AJ63">_xlfn.XLOOKUP(1,('2016 E Maize Soil VWC'!$C$2:$C$4000=$AA63)*('2016 E Maize Soil VWC'!$E$2:$E$4000=$AB63)*('2016 E Maize Soil VWC'!$F$2:$F$4000=AJ$5),'2016 E Maize Soil VWC'!$G$2:$G$4000)</f>
        <v>0.34313957628988934</v>
      </c>
      <c r="AK63" s="1" cm="1">
        <f t="array" ref="AK63">_xlfn.XLOOKUP(1,('2016 E Maize Soil VWC'!$C$2:$C$4000=$AA63)*('2016 E Maize Soil VWC'!$E$2:$E$4000=$AB63)*('2016 E Maize Soil VWC'!$F$2:$F$4000=AK$5),'2016 E Maize Soil VWC'!$G$2:$G$4000)</f>
        <v>0.339086576758028</v>
      </c>
      <c r="AL63" s="1" cm="1">
        <f t="array" ref="AL63">_xlfn.XLOOKUP(1,('2016 E Maize Soil VWC'!$C$2:$C$4000=$AA63)*('2016 E Maize Soil VWC'!$E$2:$E$4000=$AB63)*('2016 E Maize Soil VWC'!$F$2:$F$4000=AL$5),'2016 E Maize Soil VWC'!$G$2:$G$4000)</f>
        <v>0.33997961055318393</v>
      </c>
      <c r="AM63" s="1" cm="1">
        <f t="array" ref="AM63">_xlfn.XLOOKUP(1,('2016 E Maize Soil VWC'!$C$2:$C$4000=$AA63)*('2016 E Maize Soil VWC'!$E$2:$E$4000=$AB63)*('2016 E Maize Soil VWC'!$F$2:$F$4000=AM$5),'2016 E Maize Soil VWC'!$G$2:$G$4000)</f>
        <v>0.33324750963585498</v>
      </c>
      <c r="AN63" s="1" cm="1">
        <f t="array" ref="AN63">_xlfn.XLOOKUP(1,('2016 E Maize Soil VWC'!$C$2:$C$4000=$AA63)*('2016 E Maize Soil VWC'!$E$2:$E$4000=$AB63)*('2016 E Maize Soil VWC'!$F$2:$F$4000=AN$5),'2016 E Maize Soil VWC'!$G$2:$G$4000)</f>
        <v>0.34247552551913241</v>
      </c>
      <c r="AO63" s="1" cm="1">
        <f t="array" ref="AO63">_xlfn.XLOOKUP(1,('2016 E Maize Soil VWC'!$C$2:$C$4000=$AA63)*('2016 E Maize Soil VWC'!$E$2:$E$4000=$AB63)*('2016 E Maize Soil VWC'!$F$2:$F$4000=AO$5),'2016 E Maize Soil VWC'!$G$2:$G$4000)</f>
        <v>0.34025439018246267</v>
      </c>
      <c r="AP63" s="1" cm="1">
        <f t="array" ref="AP63">_xlfn.XLOOKUP(1,('2016 E Maize Soil VWC'!$C$2:$C$4000=$AA63)*('2016 E Maize Soil VWC'!$E$2:$E$4000=$AB63)*('2016 E Maize Soil VWC'!$F$2:$F$4000=AP$5),'2016 E Maize Soil VWC'!$G$2:$G$4000)</f>
        <v>0.33246896735289855</v>
      </c>
      <c r="AQ63" s="1" cm="1">
        <f t="array" ref="AQ63">_xlfn.XLOOKUP(1,('2016 E Maize Soil VWC'!$C$2:$C$4000=$AA63)*('2016 E Maize Soil VWC'!$E$2:$E$4000=$AB63)*('2016 E Maize Soil VWC'!$F$2:$F$4000=AQ$5),'2016 E Maize Soil VWC'!$G$2:$G$4000)</f>
        <v>0.33402605191881141</v>
      </c>
      <c r="AR63" s="1" cm="1">
        <f t="array" ref="AR63">_xlfn.XLOOKUP(1,('2016 E Maize Soil VWC'!$C$2:$C$4000=$AA63)*('2016 E Maize Soil VWC'!$E$2:$E$4000=$AB63)*('2016 E Maize Soil VWC'!$F$2:$F$4000=AR$5),'2016 E Maize Soil VWC'!$G$2:$G$4000)</f>
        <v>0.3307057980650267</v>
      </c>
      <c r="AS63" s="1" cm="1">
        <f t="array" ref="AS63">_xlfn.XLOOKUP(1,('2016 E Maize Soil VWC'!$C$2:$C$4000=$AA63)*('2016 E Maize Soil VWC'!$E$2:$E$4000=$AB63)*('2016 E Maize Soil VWC'!$F$2:$F$4000=AS$5),'2016 E Maize Soil VWC'!$G$2:$G$4000)</f>
        <v>0.34549810144119841</v>
      </c>
      <c r="AT63" s="1" cm="1">
        <f t="array" ref="AT63">_xlfn.XLOOKUP(1,('2016 E Maize Soil VWC'!$C$2:$C$4000=$AA63)*('2016 E Maize Soil VWC'!$E$2:$E$4000=$AB63)*('2016 E Maize Soil VWC'!$F$2:$F$4000=AT$5),'2016 E Maize Soil VWC'!$G$2:$G$4000)</f>
        <v>0.3407810511385802</v>
      </c>
      <c r="AU63" s="1" cm="1">
        <f t="array" ref="AU63">_xlfn.XLOOKUP(1,('2016 E Maize Soil VWC'!$C$2:$C$4000=$AA63)*('2016 E Maize Soil VWC'!$E$2:$E$4000=$AB63)*('2016 E Maize Soil VWC'!$F$2:$F$4000=AU$5),'2016 E Maize Soil VWC'!$G$2:$G$4000)</f>
        <v>0.33572052629936355</v>
      </c>
      <c r="AV63" s="1" cm="1">
        <f t="array" ref="AV63">_xlfn.XLOOKUP(1,('2016 E Maize Soil VWC'!$C$2:$C$4000=$AA63)*('2016 E Maize Soil VWC'!$E$2:$E$4000=$AB63)*('2016 E Maize Soil VWC'!$F$2:$F$4000=AV$5),'2016 E Maize Soil VWC'!$G$2:$G$4000)</f>
        <v>0.33361388247489326</v>
      </c>
      <c r="BN63" s="15"/>
    </row>
    <row r="64" spans="25:66" x14ac:dyDescent="0.25">
      <c r="AA64" s="18">
        <f t="shared" si="11"/>
        <v>42542</v>
      </c>
      <c r="AB64" s="1">
        <f t="shared" si="12"/>
        <v>130</v>
      </c>
      <c r="AC64" s="1" cm="1">
        <f t="array" ref="AC64">_xlfn.XLOOKUP(1,('2016 E Maize Soil VWC'!$C$2:$C$4000=$AA64)*('2016 E Maize Soil VWC'!$E$2:$E$4000=$AB64)*('2016 E Maize Soil VWC'!$F$2:$F$4000=AC$5),'2016 E Maize Soil VWC'!$G$2:$G$4000)</f>
        <v>0.31558892199917521</v>
      </c>
      <c r="AD64" s="1" cm="1">
        <f t="array" ref="AD64">_xlfn.XLOOKUP(1,('2016 E Maize Soil VWC'!$C$2:$C$4000=$AA64)*('2016 E Maize Soil VWC'!$E$2:$E$4000=$AB64)*('2016 E Maize Soil VWC'!$F$2:$F$4000=AD$5),'2016 E Maize Soil VWC'!$G$2:$G$4000)</f>
        <v>0.31541374145368217</v>
      </c>
      <c r="AE64" s="1" cm="1">
        <f t="array" ref="AE64">_xlfn.XLOOKUP(1,('2016 E Maize Soil VWC'!$C$2:$C$4000=$AA64)*('2016 E Maize Soil VWC'!$E$2:$E$4000=$AB64)*('2016 E Maize Soil VWC'!$F$2:$F$4000=AE$5),'2016 E Maize Soil VWC'!$G$2:$G$4000)</f>
        <v>0.31076172474558894</v>
      </c>
      <c r="AF64" s="1" cm="1">
        <f t="array" ref="AF64">_xlfn.XLOOKUP(1,('2016 E Maize Soil VWC'!$C$2:$C$4000=$AA64)*('2016 E Maize Soil VWC'!$E$2:$E$4000=$AB64)*('2016 E Maize Soil VWC'!$F$2:$F$4000=AF$5),'2016 E Maize Soil VWC'!$G$2:$G$4000)</f>
        <v>0.30842598413901495</v>
      </c>
      <c r="AG64" s="1" cm="1">
        <f t="array" ref="AG64">_xlfn.XLOOKUP(1,('2016 E Maize Soil VWC'!$C$2:$C$4000=$AA64)*('2016 E Maize Soil VWC'!$E$2:$E$4000=$AB64)*('2016 E Maize Soil VWC'!$F$2:$F$4000=AG$5),'2016 E Maize Soil VWC'!$G$2:$G$4000)</f>
        <v>0.31545267046379172</v>
      </c>
      <c r="AH64" s="1" cm="1">
        <f t="array" ref="AH64">_xlfn.XLOOKUP(1,('2016 E Maize Soil VWC'!$C$2:$C$4000=$AA64)*('2016 E Maize Soil VWC'!$E$2:$E$4000=$AB64)*('2016 E Maize Soil VWC'!$F$2:$F$4000=AH$5),'2016 E Maize Soil VWC'!$G$2:$G$4000)</f>
        <v>0.30521434080497567</v>
      </c>
      <c r="AI64" s="1" cm="1">
        <f t="array" ref="AI64">_xlfn.XLOOKUP(1,('2016 E Maize Soil VWC'!$C$2:$C$4000=$AA64)*('2016 E Maize Soil VWC'!$E$2:$E$4000=$AB64)*('2016 E Maize Soil VWC'!$F$2:$F$4000=AI$5),'2016 E Maize Soil VWC'!$G$2:$G$4000)</f>
        <v>0.31681518581762658</v>
      </c>
      <c r="AJ64" s="1" cm="1">
        <f t="array" ref="AJ64">_xlfn.XLOOKUP(1,('2016 E Maize Soil VWC'!$C$2:$C$4000=$AA64)*('2016 E Maize Soil VWC'!$E$2:$E$4000=$AB64)*('2016 E Maize Soil VWC'!$F$2:$F$4000=AJ$5),'2016 E Maize Soil VWC'!$G$2:$G$4000)</f>
        <v>0.34813357445077309</v>
      </c>
      <c r="AK64" s="1" cm="1">
        <f t="array" ref="AK64">_xlfn.XLOOKUP(1,('2016 E Maize Soil VWC'!$C$2:$C$4000=$AA64)*('2016 E Maize Soil VWC'!$E$2:$E$4000=$AB64)*('2016 E Maize Soil VWC'!$F$2:$F$4000=AK$5),'2016 E Maize Soil VWC'!$G$2:$G$4000)</f>
        <v>0.312104775594369</v>
      </c>
      <c r="AL64" s="1" cm="1">
        <f t="array" ref="AL64">_xlfn.XLOOKUP(1,('2016 E Maize Soil VWC'!$C$2:$C$4000=$AA64)*('2016 E Maize Soil VWC'!$E$2:$E$4000=$AB64)*('2016 E Maize Soil VWC'!$F$2:$F$4000=AL$5),'2016 E Maize Soil VWC'!$G$2:$G$4000)</f>
        <v>0.32140880901055546</v>
      </c>
      <c r="AM64" s="1" cm="1">
        <f t="array" ref="AM64">_xlfn.XLOOKUP(1,('2016 E Maize Soil VWC'!$C$2:$C$4000=$AA64)*('2016 E Maize Soil VWC'!$E$2:$E$4000=$AB64)*('2016 E Maize Soil VWC'!$F$2:$F$4000=AM$5),'2016 E Maize Soil VWC'!$G$2:$G$4000)</f>
        <v>0.31226049163480729</v>
      </c>
      <c r="AN64" s="1" cm="1">
        <f t="array" ref="AN64">_xlfn.XLOOKUP(1,('2016 E Maize Soil VWC'!$C$2:$C$4000=$AA64)*('2016 E Maize Soil VWC'!$E$2:$E$4000=$AB64)*('2016 E Maize Soil VWC'!$F$2:$F$4000=AN$5),'2016 E Maize Soil VWC'!$G$2:$G$4000)</f>
        <v>0.30311217425905912</v>
      </c>
      <c r="AO64" s="1" cm="1">
        <f t="array" ref="AO64">_xlfn.XLOOKUP(1,('2016 E Maize Soil VWC'!$C$2:$C$4000=$AA64)*('2016 E Maize Soil VWC'!$E$2:$E$4000=$AB64)*('2016 E Maize Soil VWC'!$F$2:$F$4000=AO$5),'2016 E Maize Soil VWC'!$G$2:$G$4000)</f>
        <v>0.31673732779740743</v>
      </c>
      <c r="AP64" s="1" cm="1">
        <f t="array" ref="AP64">_xlfn.XLOOKUP(1,('2016 E Maize Soil VWC'!$C$2:$C$4000=$AA64)*('2016 E Maize Soil VWC'!$E$2:$E$4000=$AB64)*('2016 E Maize Soil VWC'!$F$2:$F$4000=AP$5),'2016 E Maize Soil VWC'!$G$2:$G$4000)</f>
        <v>0.31928717795958406</v>
      </c>
      <c r="AQ64" s="1" cm="1">
        <f t="array" ref="AQ64">_xlfn.XLOOKUP(1,('2016 E Maize Soil VWC'!$C$2:$C$4000=$AA64)*('2016 E Maize Soil VWC'!$E$2:$E$4000=$AB64)*('2016 E Maize Soil VWC'!$F$2:$F$4000=AQ$5),'2016 E Maize Soil VWC'!$G$2:$G$4000)</f>
        <v>0.30461094114827736</v>
      </c>
      <c r="AR64" s="1" cm="1">
        <f t="array" ref="AR64">_xlfn.XLOOKUP(1,('2016 E Maize Soil VWC'!$C$2:$C$4000=$AA64)*('2016 E Maize Soil VWC'!$E$2:$E$4000=$AB64)*('2016 E Maize Soil VWC'!$F$2:$F$4000=AR$5),'2016 E Maize Soil VWC'!$G$2:$G$4000)</f>
        <v>0.29984213740985549</v>
      </c>
      <c r="AS64" s="1" cm="1">
        <f t="array" ref="AS64">_xlfn.XLOOKUP(1,('2016 E Maize Soil VWC'!$C$2:$C$4000=$AA64)*('2016 E Maize Soil VWC'!$E$2:$E$4000=$AB64)*('2016 E Maize Soil VWC'!$F$2:$F$4000=AS$5),'2016 E Maize Soil VWC'!$G$2:$G$4000)</f>
        <v>0.31798305612091354</v>
      </c>
      <c r="AT64" s="1" cm="1">
        <f t="array" ref="AT64">_xlfn.XLOOKUP(1,('2016 E Maize Soil VWC'!$C$2:$C$4000=$AA64)*('2016 E Maize Soil VWC'!$E$2:$E$4000=$AB64)*('2016 E Maize Soil VWC'!$F$2:$F$4000=AT$5),'2016 E Maize Soil VWC'!$G$2:$G$4000)</f>
        <v>0.31229942064491684</v>
      </c>
      <c r="AU64" s="1" cm="1">
        <f t="array" ref="AU64">_xlfn.XLOOKUP(1,('2016 E Maize Soil VWC'!$C$2:$C$4000=$AA64)*('2016 E Maize Soil VWC'!$E$2:$E$4000=$AB64)*('2016 E Maize Soil VWC'!$F$2:$F$4000=AU$5),'2016 E Maize Soil VWC'!$G$2:$G$4000)</f>
        <v>0.30825080359352192</v>
      </c>
      <c r="AV64" s="1" cm="1">
        <f t="array" ref="AV64">_xlfn.XLOOKUP(1,('2016 E Maize Soil VWC'!$C$2:$C$4000=$AA64)*('2016 E Maize Soil VWC'!$E$2:$E$4000=$AB64)*('2016 E Maize Soil VWC'!$F$2:$F$4000=AV$5),'2016 E Maize Soil VWC'!$G$2:$G$4000)</f>
        <v>0.30885420325022017</v>
      </c>
      <c r="BN64" s="15"/>
    </row>
    <row r="65" spans="25:66" x14ac:dyDescent="0.25">
      <c r="AA65" s="18">
        <f t="shared" si="11"/>
        <v>42542</v>
      </c>
      <c r="AB65" s="1">
        <f t="shared" si="12"/>
        <v>150</v>
      </c>
      <c r="AC65" s="1" cm="1">
        <f t="array" ref="AC65">_xlfn.XLOOKUP(1,('2016 E Maize Soil VWC'!$C$2:$C$4000=$AA65)*('2016 E Maize Soil VWC'!$E$2:$E$4000=$AB65)*('2016 E Maize Soil VWC'!$F$2:$F$4000=AC$5),'2016 E Maize Soil VWC'!$G$2:$G$4000)</f>
        <v>0.34447424750047378</v>
      </c>
      <c r="AD65" s="1" cm="1">
        <f t="array" ref="AD65">_xlfn.XLOOKUP(1,('2016 E Maize Soil VWC'!$C$2:$C$4000=$AA65)*('2016 E Maize Soil VWC'!$E$2:$E$4000=$AB65)*('2016 E Maize Soil VWC'!$F$2:$F$4000=AD$5),'2016 E Maize Soil VWC'!$G$2:$G$4000)</f>
        <v>0.33188071273002895</v>
      </c>
      <c r="AE65" s="1" cm="1">
        <f t="array" ref="AE65">_xlfn.XLOOKUP(1,('2016 E Maize Soil VWC'!$C$2:$C$4000=$AA65)*('2016 E Maize Soil VWC'!$E$2:$E$4000=$AB65)*('2016 E Maize Soil VWC'!$F$2:$F$4000=AE$5),'2016 E Maize Soil VWC'!$G$2:$G$4000)</f>
        <v>0.31880056533321449</v>
      </c>
      <c r="AF65" s="1" cm="1">
        <f t="array" ref="AF65">_xlfn.XLOOKUP(1,('2016 E Maize Soil VWC'!$C$2:$C$4000=$AA65)*('2016 E Maize Soil VWC'!$E$2:$E$4000=$AB65)*('2016 E Maize Soil VWC'!$F$2:$F$4000=AF$5),'2016 E Maize Soil VWC'!$G$2:$G$4000)</f>
        <v>0.31319478787743688</v>
      </c>
      <c r="AG65" s="1" cm="1">
        <f t="array" ref="AG65">_xlfn.XLOOKUP(1,('2016 E Maize Soil VWC'!$C$2:$C$4000=$AA65)*('2016 E Maize Soil VWC'!$E$2:$E$4000=$AB65)*('2016 E Maize Soil VWC'!$F$2:$F$4000=AG$5),'2016 E Maize Soil VWC'!$G$2:$G$4000)</f>
        <v>0.36129157986780658</v>
      </c>
      <c r="AH65" s="1" cm="1">
        <f t="array" ref="AH65">_xlfn.XLOOKUP(1,('2016 E Maize Soil VWC'!$C$2:$C$4000=$AA65)*('2016 E Maize Soil VWC'!$E$2:$E$4000=$AB65)*('2016 E Maize Soil VWC'!$F$2:$F$4000=AH$5),'2016 E Maize Soil VWC'!$G$2:$G$4000)</f>
        <v>0.35083914065338789</v>
      </c>
      <c r="AI65" s="1" cm="1">
        <f t="array" ref="AI65">_xlfn.XLOOKUP(1,('2016 E Maize Soil VWC'!$C$2:$C$4000=$AA65)*('2016 E Maize Soil VWC'!$E$2:$E$4000=$AB65)*('2016 E Maize Soil VWC'!$F$2:$F$4000=AI$5),'2016 E Maize Soil VWC'!$G$2:$G$4000)</f>
        <v>0.33154981614409762</v>
      </c>
      <c r="AJ65" s="1" cm="1">
        <f t="array" ref="AJ65">_xlfn.XLOOKUP(1,('2016 E Maize Soil VWC'!$C$2:$C$4000=$AA65)*('2016 E Maize Soil VWC'!$E$2:$E$4000=$AB65)*('2016 E Maize Soil VWC'!$F$2:$F$4000=AJ$5),'2016 E Maize Soil VWC'!$G$2:$G$4000)</f>
        <v>0.3412820686714893</v>
      </c>
      <c r="AK65" s="1" cm="1">
        <f t="array" ref="AK65">_xlfn.XLOOKUP(1,('2016 E Maize Soil VWC'!$C$2:$C$4000=$AA65)*('2016 E Maize Soil VWC'!$E$2:$E$4000=$AB65)*('2016 E Maize Soil VWC'!$F$2:$F$4000=AK$5),'2016 E Maize Soil VWC'!$G$2:$G$4000)</f>
        <v>0.3398611598024901</v>
      </c>
      <c r="AL65" s="1" cm="1">
        <f t="array" ref="AL65">_xlfn.XLOOKUP(1,('2016 E Maize Soil VWC'!$C$2:$C$4000=$AA65)*('2016 E Maize Soil VWC'!$E$2:$E$4000=$AB65)*('2016 E Maize Soil VWC'!$F$2:$F$4000=AL$5),'2016 E Maize Soil VWC'!$G$2:$G$4000)</f>
        <v>0.35788529148321951</v>
      </c>
      <c r="AM65" s="1" cm="1">
        <f t="array" ref="AM65">_xlfn.XLOOKUP(1,('2016 E Maize Soil VWC'!$C$2:$C$4000=$AA65)*('2016 E Maize Soil VWC'!$E$2:$E$4000=$AB65)*('2016 E Maize Soil VWC'!$F$2:$F$4000=AM$5),'2016 E Maize Soil VWC'!$G$2:$G$4000)</f>
        <v>0.33970544376205181</v>
      </c>
      <c r="AN65" s="1" cm="1">
        <f t="array" ref="AN65">_xlfn.XLOOKUP(1,('2016 E Maize Soil VWC'!$C$2:$C$4000=$AA65)*('2016 E Maize Soil VWC'!$E$2:$E$4000=$AB65)*('2016 E Maize Soil VWC'!$F$2:$F$4000=AN$5),'2016 E Maize Soil VWC'!$G$2:$G$4000)</f>
        <v>0.33954972772161357</v>
      </c>
      <c r="AO65" s="1" cm="1">
        <f t="array" ref="AO65">_xlfn.XLOOKUP(1,('2016 E Maize Soil VWC'!$C$2:$C$4000=$AA65)*('2016 E Maize Soil VWC'!$E$2:$E$4000=$AB65)*('2016 E Maize Soil VWC'!$F$2:$F$4000=AO$5),'2016 E Maize Soil VWC'!$G$2:$G$4000)</f>
        <v>0.31251353020051942</v>
      </c>
      <c r="AP65" s="1" cm="1">
        <f t="array" ref="AP65">_xlfn.XLOOKUP(1,('2016 E Maize Soil VWC'!$C$2:$C$4000=$AA65)*('2016 E Maize Soil VWC'!$E$2:$E$4000=$AB65)*('2016 E Maize Soil VWC'!$F$2:$F$4000=AP$5),'2016 E Maize Soil VWC'!$G$2:$G$4000)</f>
        <v>0.31220209811964289</v>
      </c>
      <c r="AQ65" s="1" cm="1">
        <f t="array" ref="AQ65">_xlfn.XLOOKUP(1,('2016 E Maize Soil VWC'!$C$2:$C$4000=$AA65)*('2016 E Maize Soil VWC'!$E$2:$E$4000=$AB65)*('2016 E Maize Soil VWC'!$F$2:$F$4000=AQ$5),'2016 E Maize Soil VWC'!$G$2:$G$4000)</f>
        <v>0.34118474614621536</v>
      </c>
      <c r="AR65" s="1" cm="1">
        <f t="array" ref="AR65">_xlfn.XLOOKUP(1,('2016 E Maize Soil VWC'!$C$2:$C$4000=$AA65)*('2016 E Maize Soil VWC'!$E$2:$E$4000=$AB65)*('2016 E Maize Soil VWC'!$F$2:$F$4000=AR$5),'2016 E Maize Soil VWC'!$G$2:$G$4000)</f>
        <v>0.32837710182016788</v>
      </c>
      <c r="AS65" s="1" cm="1">
        <f t="array" ref="AS65">_xlfn.XLOOKUP(1,('2016 E Maize Soil VWC'!$C$2:$C$4000=$AA65)*('2016 E Maize Soil VWC'!$E$2:$E$4000=$AB65)*('2016 E Maize Soil VWC'!$F$2:$F$4000=AS$5),'2016 E Maize Soil VWC'!$G$2:$G$4000)</f>
        <v>0.3295644366285097</v>
      </c>
      <c r="AT65" s="1" cm="1">
        <f t="array" ref="AT65">_xlfn.XLOOKUP(1,('2016 E Maize Soil VWC'!$C$2:$C$4000=$AA65)*('2016 E Maize Soil VWC'!$E$2:$E$4000=$AB65)*('2016 E Maize Soil VWC'!$F$2:$F$4000=AT$5),'2016 E Maize Soil VWC'!$G$2:$G$4000)</f>
        <v>0.33805096083239522</v>
      </c>
      <c r="AU65" s="1" cm="1">
        <f t="array" ref="AU65">_xlfn.XLOOKUP(1,('2016 E Maize Soil VWC'!$C$2:$C$4000=$AA65)*('2016 E Maize Soil VWC'!$E$2:$E$4000=$AB65)*('2016 E Maize Soil VWC'!$F$2:$F$4000=AU$5),'2016 E Maize Soil VWC'!$G$2:$G$4000)</f>
        <v>0.33699987755943694</v>
      </c>
      <c r="AV65" s="1" cm="1">
        <f t="array" ref="AV65">_xlfn.XLOOKUP(1,('2016 E Maize Soil VWC'!$C$2:$C$4000=$AA65)*('2016 E Maize Soil VWC'!$E$2:$E$4000=$AB65)*('2016 E Maize Soil VWC'!$F$2:$F$4000=AV$5),'2016 E Maize Soil VWC'!$G$2:$G$4000)</f>
        <v>0.34988537990570351</v>
      </c>
      <c r="BN65" s="15"/>
    </row>
    <row r="66" spans="25:66" x14ac:dyDescent="0.25">
      <c r="AA66" s="18">
        <f t="shared" si="11"/>
        <v>42542</v>
      </c>
      <c r="AB66" s="1">
        <f t="shared" si="12"/>
        <v>170</v>
      </c>
      <c r="AC66" s="1" cm="1">
        <f t="array" ref="AC66">_xlfn.XLOOKUP(1,('2016 E Maize Soil VWC'!$C$2:$C$4000=$AA66)*('2016 E Maize Soil VWC'!$E$2:$E$4000=$AB66)*('2016 E Maize Soil VWC'!$F$2:$F$4000=AC$5),'2016 E Maize Soil VWC'!$G$2:$G$4000)</f>
        <v>0.28857218898313591</v>
      </c>
      <c r="AD66" s="1" cm="1">
        <f t="array" ref="AD66">_xlfn.XLOOKUP(1,('2016 E Maize Soil VWC'!$C$2:$C$4000=$AA66)*('2016 E Maize Soil VWC'!$E$2:$E$4000=$AB66)*('2016 E Maize Soil VWC'!$F$2:$F$4000=AD$5),'2016 E Maize Soil VWC'!$G$2:$G$4000)</f>
        <v>0.27979369720342862</v>
      </c>
      <c r="AE66" s="1" cm="1">
        <f t="array" ref="AE66">_xlfn.XLOOKUP(1,('2016 E Maize Soil VWC'!$C$2:$C$4000=$AA66)*('2016 E Maize Soil VWC'!$E$2:$E$4000=$AB66)*('2016 E Maize Soil VWC'!$F$2:$F$4000=AE$5),'2016 E Maize Soil VWC'!$G$2:$G$4000)</f>
        <v>0.29881051864195196</v>
      </c>
      <c r="AF66" s="1" cm="1">
        <f t="array" ref="AF66">_xlfn.XLOOKUP(1,('2016 E Maize Soil VWC'!$C$2:$C$4000=$AA66)*('2016 E Maize Soil VWC'!$E$2:$E$4000=$AB66)*('2016 E Maize Soil VWC'!$F$2:$F$4000=AF$5),'2016 E Maize Soil VWC'!$G$2:$G$4000)</f>
        <v>0.30468879916849656</v>
      </c>
      <c r="AG66" s="1" cm="1">
        <f t="array" ref="AG66">_xlfn.XLOOKUP(1,('2016 E Maize Soil VWC'!$C$2:$C$4000=$AA66)*('2016 E Maize Soil VWC'!$E$2:$E$4000=$AB66)*('2016 E Maize Soil VWC'!$F$2:$F$4000=AG$5),'2016 E Maize Soil VWC'!$G$2:$G$4000)</f>
        <v>0.32683940592083999</v>
      </c>
      <c r="AH66" s="1" cm="1">
        <f t="array" ref="AH66">_xlfn.XLOOKUP(1,('2016 E Maize Soil VWC'!$C$2:$C$4000=$AA66)*('2016 E Maize Soil VWC'!$E$2:$E$4000=$AB66)*('2016 E Maize Soil VWC'!$F$2:$F$4000=AH$5),'2016 E Maize Soil VWC'!$G$2:$G$4000)</f>
        <v>0.33875168301436742</v>
      </c>
      <c r="AI66" s="1" cm="1">
        <f t="array" ref="AI66">_xlfn.XLOOKUP(1,('2016 E Maize Soil VWC'!$C$2:$C$4000=$AA66)*('2016 E Maize Soil VWC'!$E$2:$E$4000=$AB66)*('2016 E Maize Soil VWC'!$F$2:$F$4000=AI$5),'2016 E Maize Soil VWC'!$G$2:$G$4000)</f>
        <v>0.30494183773420869</v>
      </c>
      <c r="AJ66" s="1" cm="1">
        <f t="array" ref="AJ66">_xlfn.XLOOKUP(1,('2016 E Maize Soil VWC'!$C$2:$C$4000=$AA66)*('2016 E Maize Soil VWC'!$E$2:$E$4000=$AB66)*('2016 E Maize Soil VWC'!$F$2:$F$4000=AJ$5),'2016 E Maize Soil VWC'!$G$2:$G$4000)</f>
        <v>0.31128726638206811</v>
      </c>
      <c r="AK66" s="1" cm="1">
        <f t="array" ref="AK66">_xlfn.XLOOKUP(1,('2016 E Maize Soil VWC'!$C$2:$C$4000=$AA66)*('2016 E Maize Soil VWC'!$E$2:$E$4000=$AB66)*('2016 E Maize Soil VWC'!$F$2:$F$4000=AK$5),'2016 E Maize Soil VWC'!$G$2:$G$4000)</f>
        <v>0.3078031199772619</v>
      </c>
      <c r="AL66" s="1" cm="1">
        <f t="array" ref="AL66">_xlfn.XLOOKUP(1,('2016 E Maize Soil VWC'!$C$2:$C$4000=$AA66)*('2016 E Maize Soil VWC'!$E$2:$E$4000=$AB66)*('2016 E Maize Soil VWC'!$F$2:$F$4000=AL$5),'2016 E Maize Soil VWC'!$G$2:$G$4000)</f>
        <v>0.31917039092925537</v>
      </c>
      <c r="AM66" s="1" cm="1">
        <f t="array" ref="AM66">_xlfn.XLOOKUP(1,('2016 E Maize Soil VWC'!$C$2:$C$4000=$AA66)*('2016 E Maize Soil VWC'!$E$2:$E$4000=$AB66)*('2016 E Maize Soil VWC'!$F$2:$F$4000=AM$5),'2016 E Maize Soil VWC'!$G$2:$G$4000)</f>
        <v>0.32477616838503298</v>
      </c>
      <c r="AN66" s="1" cm="1">
        <f t="array" ref="AN66">_xlfn.XLOOKUP(1,('2016 E Maize Soil VWC'!$C$2:$C$4000=$AA66)*('2016 E Maize Soil VWC'!$E$2:$E$4000=$AB66)*('2016 E Maize Soil VWC'!$F$2:$F$4000=AN$5),'2016 E Maize Soil VWC'!$G$2:$G$4000)</f>
        <v>0.34235261644950238</v>
      </c>
      <c r="AO66" s="1" cm="1">
        <f t="array" ref="AO66">_xlfn.XLOOKUP(1,('2016 E Maize Soil VWC'!$C$2:$C$4000=$AA66)*('2016 E Maize Soil VWC'!$E$2:$E$4000=$AB66)*('2016 E Maize Soil VWC'!$F$2:$F$4000=AO$5),'2016 E Maize Soil VWC'!$G$2:$G$4000)</f>
        <v>0.31000260904845239</v>
      </c>
      <c r="AP66" s="1" cm="1">
        <f t="array" ref="AP66">_xlfn.XLOOKUP(1,('2016 E Maize Soil VWC'!$C$2:$C$4000=$AA66)*('2016 E Maize Soil VWC'!$E$2:$E$4000=$AB66)*('2016 E Maize Soil VWC'!$F$2:$F$4000=AP$5),'2016 E Maize Soil VWC'!$G$2:$G$4000)</f>
        <v>0.32226524723296596</v>
      </c>
      <c r="AQ66" s="1" cm="1">
        <f t="array" ref="AQ66">_xlfn.XLOOKUP(1,('2016 E Maize Soil VWC'!$C$2:$C$4000=$AA66)*('2016 E Maize Soil VWC'!$E$2:$E$4000=$AB66)*('2016 E Maize Soil VWC'!$F$2:$F$4000=AQ$5),'2016 E Maize Soil VWC'!$G$2:$G$4000)</f>
        <v>0.3310437390126732</v>
      </c>
      <c r="AR66" s="1" cm="1">
        <f t="array" ref="AR66">_xlfn.XLOOKUP(1,('2016 E Maize Soil VWC'!$C$2:$C$4000=$AA66)*('2016 E Maize Soil VWC'!$E$2:$E$4000=$AB66)*('2016 E Maize Soil VWC'!$F$2:$F$4000=AR$5),'2016 E Maize Soil VWC'!$G$2:$G$4000)</f>
        <v>0.32136988000044586</v>
      </c>
      <c r="AS66" s="1" cm="1">
        <f t="array" ref="AS66">_xlfn.XLOOKUP(1,('2016 E Maize Soil VWC'!$C$2:$C$4000=$AA66)*('2016 E Maize Soil VWC'!$E$2:$E$4000=$AB66)*('2016 E Maize Soil VWC'!$F$2:$F$4000=AS$5),'2016 E Maize Soil VWC'!$G$2:$G$4000)</f>
        <v>0.32039665474770673</v>
      </c>
      <c r="AT66" s="1" cm="1">
        <f t="array" ref="AT66">_xlfn.XLOOKUP(1,('2016 E Maize Soil VWC'!$C$2:$C$4000=$AA66)*('2016 E Maize Soil VWC'!$E$2:$E$4000=$AB66)*('2016 E Maize Soil VWC'!$F$2:$F$4000=AT$5),'2016 E Maize Soil VWC'!$G$2:$G$4000)</f>
        <v>0.32929193355774272</v>
      </c>
      <c r="AU66" s="1" cm="1">
        <f t="array" ref="AU66">_xlfn.XLOOKUP(1,('2016 E Maize Soil VWC'!$C$2:$C$4000=$AA66)*('2016 E Maize Soil VWC'!$E$2:$E$4000=$AB66)*('2016 E Maize Soil VWC'!$F$2:$F$4000=AU$5),'2016 E Maize Soil VWC'!$G$2:$G$4000)</f>
        <v>0.3171266178985031</v>
      </c>
      <c r="AV66" s="1" cm="1">
        <f t="array" ref="AV66">_xlfn.XLOOKUP(1,('2016 E Maize Soil VWC'!$C$2:$C$4000=$AA66)*('2016 E Maize Soil VWC'!$E$2:$E$4000=$AB66)*('2016 E Maize Soil VWC'!$F$2:$F$4000=AV$5),'2016 E Maize Soil VWC'!$G$2:$G$4000)</f>
        <v>0.32218738921274676</v>
      </c>
      <c r="BN66" s="15"/>
    </row>
    <row r="67" spans="25:66" x14ac:dyDescent="0.25">
      <c r="AA67" s="18">
        <f t="shared" si="11"/>
        <v>42542</v>
      </c>
      <c r="AB67" s="1">
        <f t="shared" si="12"/>
        <v>190</v>
      </c>
      <c r="AC67" s="1" cm="1">
        <f t="array" ref="AC67">_xlfn.XLOOKUP(1,('2016 E Maize Soil VWC'!$C$2:$C$4000=$AA67)*('2016 E Maize Soil VWC'!$E$2:$E$4000=$AB67)*('2016 E Maize Soil VWC'!$F$2:$F$4000=AC$5),'2016 E Maize Soil VWC'!$G$2:$G$4000)</f>
        <v>0.29398332138836569</v>
      </c>
      <c r="AD67" s="1" cm="1">
        <f t="array" ref="AD67">_xlfn.XLOOKUP(1,('2016 E Maize Soil VWC'!$C$2:$C$4000=$AA67)*('2016 E Maize Soil VWC'!$E$2:$E$4000=$AB67)*('2016 E Maize Soil VWC'!$F$2:$F$4000=AD$5),'2016 E Maize Soil VWC'!$G$2:$G$4000)</f>
        <v>0.30708293329023489</v>
      </c>
      <c r="AE67" s="1" cm="1">
        <f t="array" ref="AE67">_xlfn.XLOOKUP(1,('2016 E Maize Soil VWC'!$C$2:$C$4000=$AA67)*('2016 E Maize Soil VWC'!$E$2:$E$4000=$AB67)*('2016 E Maize Soil VWC'!$F$2:$F$4000=AE$5),'2016 E Maize Soil VWC'!$G$2:$G$4000)</f>
        <v>0.30338467732982605</v>
      </c>
      <c r="AF67" s="1" cm="1">
        <f t="array" ref="AF67">_xlfn.XLOOKUP(1,('2016 E Maize Soil VWC'!$C$2:$C$4000=$AA67)*('2016 E Maize Soil VWC'!$E$2:$E$4000=$AB67)*('2016 E Maize Soil VWC'!$F$2:$F$4000=AF$5),'2016 E Maize Soil VWC'!$G$2:$G$4000)</f>
        <v>0.29888837666217111</v>
      </c>
      <c r="AG67" s="1" cm="1">
        <f t="array" ref="AG67">_xlfn.XLOOKUP(1,('2016 E Maize Soil VWC'!$C$2:$C$4000=$AA67)*('2016 E Maize Soil VWC'!$E$2:$E$4000=$AB67)*('2016 E Maize Soil VWC'!$F$2:$F$4000=AG$5),'2016 E Maize Soil VWC'!$G$2:$G$4000)</f>
        <v>0.33474199497308205</v>
      </c>
      <c r="AH67" s="1" cm="1">
        <f t="array" ref="AH67">_xlfn.XLOOKUP(1,('2016 E Maize Soil VWC'!$C$2:$C$4000=$AA67)*('2016 E Maize Soil VWC'!$E$2:$E$4000=$AB67)*('2016 E Maize Soil VWC'!$F$2:$F$4000=AH$5),'2016 E Maize Soil VWC'!$G$2:$G$4000)</f>
        <v>0.34957394782482698</v>
      </c>
      <c r="AI67" s="1" cm="1">
        <f t="array" ref="AI67">_xlfn.XLOOKUP(1,('2016 E Maize Soil VWC'!$C$2:$C$4000=$AA67)*('2016 E Maize Soil VWC'!$E$2:$E$4000=$AB67)*('2016 E Maize Soil VWC'!$F$2:$F$4000=AI$5),'2016 E Maize Soil VWC'!$G$2:$G$4000)</f>
        <v>0.28983738181169683</v>
      </c>
      <c r="AJ67" s="1" cm="1">
        <f t="array" ref="AJ67">_xlfn.XLOOKUP(1,('2016 E Maize Soil VWC'!$C$2:$C$4000=$AA67)*('2016 E Maize Soil VWC'!$E$2:$E$4000=$AB67)*('2016 E Maize Soil VWC'!$F$2:$F$4000=AJ$5),'2016 E Maize Soil VWC'!$G$2:$G$4000)</f>
        <v>0.30272288415796339</v>
      </c>
      <c r="AK67" s="1" cm="1">
        <f t="array" ref="AK67">_xlfn.XLOOKUP(1,('2016 E Maize Soil VWC'!$C$2:$C$4000=$AA67)*('2016 E Maize Soil VWC'!$E$2:$E$4000=$AB67)*('2016 E Maize Soil VWC'!$F$2:$F$4000=AK$5),'2016 E Maize Soil VWC'!$G$2:$G$4000)</f>
        <v>0.29711710670218577</v>
      </c>
      <c r="AL67" s="1" cm="1">
        <f t="array" ref="AL67">_xlfn.XLOOKUP(1,('2016 E Maize Soil VWC'!$C$2:$C$4000=$AA67)*('2016 E Maize Soil VWC'!$E$2:$E$4000=$AB67)*('2016 E Maize Soil VWC'!$F$2:$F$4000=AL$5),'2016 E Maize Soil VWC'!$G$2:$G$4000)</f>
        <v>0.30229466504675817</v>
      </c>
      <c r="AM67" s="1" cm="1">
        <f t="array" ref="AM67">_xlfn.XLOOKUP(1,('2016 E Maize Soil VWC'!$C$2:$C$4000=$AA67)*('2016 E Maize Soil VWC'!$E$2:$E$4000=$AB67)*('2016 E Maize Soil VWC'!$F$2:$F$4000=AM$5),'2016 E Maize Soil VWC'!$G$2:$G$4000)</f>
        <v>0.31292228480666989</v>
      </c>
      <c r="AN67" s="1" cm="1">
        <f t="array" ref="AN67">_xlfn.XLOOKUP(1,('2016 E Maize Soil VWC'!$C$2:$C$4000=$AA67)*('2016 E Maize Soil VWC'!$E$2:$E$4000=$AB67)*('2016 E Maize Soil VWC'!$F$2:$F$4000=AN$5),'2016 E Maize Soil VWC'!$G$2:$G$4000)</f>
        <v>0.32111684143473368</v>
      </c>
      <c r="AO67" s="1" cm="1">
        <f t="array" ref="AO67">_xlfn.XLOOKUP(1,('2016 E Maize Soil VWC'!$C$2:$C$4000=$AA67)*('2016 E Maize Soil VWC'!$E$2:$E$4000=$AB67)*('2016 E Maize Soil VWC'!$F$2:$F$4000=AO$5),'2016 E Maize Soil VWC'!$G$2:$G$4000)</f>
        <v>0.29886891215711631</v>
      </c>
      <c r="AP67" s="1" cm="1">
        <f t="array" ref="AP67">_xlfn.XLOOKUP(1,('2016 E Maize Soil VWC'!$C$2:$C$4000=$AA67)*('2016 E Maize Soil VWC'!$E$2:$E$4000=$AB67)*('2016 E Maize Soil VWC'!$F$2:$F$4000=AP$5),'2016 E Maize Soil VWC'!$G$2:$G$4000)</f>
        <v>0.30241145207708686</v>
      </c>
      <c r="AQ67" s="1" cm="1">
        <f t="array" ref="AQ67">_xlfn.XLOOKUP(1,('2016 E Maize Soil VWC'!$C$2:$C$4000=$AA67)*('2016 E Maize Soil VWC'!$E$2:$E$4000=$AB67)*('2016 E Maize Soil VWC'!$F$2:$F$4000=AQ$5),'2016 E Maize Soil VWC'!$G$2:$G$4000)</f>
        <v>0.34392924135893982</v>
      </c>
      <c r="AR67" s="1" cm="1">
        <f t="array" ref="AR67">_xlfn.XLOOKUP(1,('2016 E Maize Soil VWC'!$C$2:$C$4000=$AA67)*('2016 E Maize Soil VWC'!$E$2:$E$4000=$AB67)*('2016 E Maize Soil VWC'!$F$2:$F$4000=AR$5),'2016 E Maize Soil VWC'!$G$2:$G$4000)</f>
        <v>0.33047926836608454</v>
      </c>
      <c r="AS67" s="1" cm="1">
        <f t="array" ref="AS67">_xlfn.XLOOKUP(1,('2016 E Maize Soil VWC'!$C$2:$C$4000=$AA67)*('2016 E Maize Soil VWC'!$E$2:$E$4000=$AB67)*('2016 E Maize Soil VWC'!$F$2:$F$4000=AS$5),'2016 E Maize Soil VWC'!$G$2:$G$4000)</f>
        <v>0.32261560832395203</v>
      </c>
      <c r="AT67" s="1" cm="1">
        <f t="array" ref="AT67">_xlfn.XLOOKUP(1,('2016 E Maize Soil VWC'!$C$2:$C$4000=$AA67)*('2016 E Maize Soil VWC'!$E$2:$E$4000=$AB67)*('2016 E Maize Soil VWC'!$F$2:$F$4000=AT$5),'2016 E Maize Soil VWC'!$G$2:$G$4000)</f>
        <v>0.31375925852402559</v>
      </c>
      <c r="AU67" s="1" cm="1">
        <f t="array" ref="AU67">_xlfn.XLOOKUP(1,('2016 E Maize Soil VWC'!$C$2:$C$4000=$AA67)*('2016 E Maize Soil VWC'!$E$2:$E$4000=$AB67)*('2016 E Maize Soil VWC'!$F$2:$F$4000=AU$5),'2016 E Maize Soil VWC'!$G$2:$G$4000)</f>
        <v>0.30856223567439844</v>
      </c>
      <c r="AV67" s="1" cm="1">
        <f t="array" ref="AV67">_xlfn.XLOOKUP(1,('2016 E Maize Soil VWC'!$C$2:$C$4000=$AA67)*('2016 E Maize Soil VWC'!$E$2:$E$4000=$AB67)*('2016 E Maize Soil VWC'!$F$2:$F$4000=AV$5),'2016 E Maize Soil VWC'!$G$2:$G$4000)</f>
        <v>0.31132619539217771</v>
      </c>
      <c r="BN67" s="15"/>
    </row>
    <row r="68" spans="25:66" x14ac:dyDescent="0.25">
      <c r="AA68" s="18">
        <f t="shared" si="11"/>
        <v>42542</v>
      </c>
      <c r="AB68" s="1">
        <f t="shared" si="12"/>
        <v>210</v>
      </c>
      <c r="AC68" s="1" cm="1">
        <f t="array" ref="AC68">_xlfn.XLOOKUP(1,('2016 E Maize Soil VWC'!$C$2:$C$4000=$AA68)*('2016 E Maize Soil VWC'!$E$2:$E$4000=$AB68)*('2016 E Maize Soil VWC'!$F$2:$F$4000=AC$5),'2016 E Maize Soil VWC'!$G$2:$G$4000)</f>
        <v>0.3069466817548514</v>
      </c>
      <c r="AD68" s="1" cm="1">
        <f t="array" ref="AD68">_xlfn.XLOOKUP(1,('2016 E Maize Soil VWC'!$C$2:$C$4000=$AA68)*('2016 E Maize Soil VWC'!$E$2:$E$4000=$AB68)*('2016 E Maize Soil VWC'!$F$2:$F$4000=AD$5),'2016 E Maize Soil VWC'!$G$2:$G$4000)</f>
        <v>0.29902462819755454</v>
      </c>
      <c r="AE68" s="1" cm="1">
        <f t="array" ref="AE68">_xlfn.XLOOKUP(1,('2016 E Maize Soil VWC'!$C$2:$C$4000=$AA68)*('2016 E Maize Soil VWC'!$E$2:$E$4000=$AB68)*('2016 E Maize Soil VWC'!$F$2:$F$4000=AE$5),'2016 E Maize Soil VWC'!$G$2:$G$4000)</f>
        <v>0.28545786817437058</v>
      </c>
      <c r="AF68" s="1" cm="1">
        <f t="array" ref="AF68">_xlfn.XLOOKUP(1,('2016 E Maize Soil VWC'!$C$2:$C$4000=$AA68)*('2016 E Maize Soil VWC'!$E$2:$E$4000=$AB68)*('2016 E Maize Soil VWC'!$F$2:$F$4000=AF$5),'2016 E Maize Soil VWC'!$G$2:$G$4000)</f>
        <v>0.29464511456022829</v>
      </c>
      <c r="AG68" s="1" t="e" cm="1">
        <f t="array" ref="AG68">_xlfn.XLOOKUP(1,('2016 E Maize Soil VWC'!$C$2:$C$4000=$AA68)*('2016 E Maize Soil VWC'!$E$2:$E$4000=$AB68)*('2016 E Maize Soil VWC'!$F$2:$F$4000=AG$5),'2016 E Maize Soil VWC'!$G$2:$G$4000)</f>
        <v>#N/A</v>
      </c>
      <c r="AH68" s="1" t="e" cm="1">
        <f t="array" ref="AH68">_xlfn.XLOOKUP(1,('2016 E Maize Soil VWC'!$C$2:$C$4000=$AA68)*('2016 E Maize Soil VWC'!$E$2:$E$4000=$AB68)*('2016 E Maize Soil VWC'!$F$2:$F$4000=AH$5),'2016 E Maize Soil VWC'!$G$2:$G$4000)</f>
        <v>#N/A</v>
      </c>
      <c r="AI68" s="1" cm="1">
        <f t="array" ref="AI68">_xlfn.XLOOKUP(1,('2016 E Maize Soil VWC'!$C$2:$C$4000=$AA68)*('2016 E Maize Soil VWC'!$E$2:$E$4000=$AB68)*('2016 E Maize Soil VWC'!$F$2:$F$4000=AI$5),'2016 E Maize Soil VWC'!$G$2:$G$4000)</f>
        <v>0.28442624940646705</v>
      </c>
      <c r="AJ68" s="1" cm="1">
        <f t="array" ref="AJ68">_xlfn.XLOOKUP(1,('2016 E Maize Soil VWC'!$C$2:$C$4000=$AA68)*('2016 E Maize Soil VWC'!$E$2:$E$4000=$AB68)*('2016 E Maize Soil VWC'!$F$2:$F$4000=AJ$5),'2016 E Maize Soil VWC'!$G$2:$G$4000)</f>
        <v>0.3026255616326895</v>
      </c>
      <c r="AK68" s="1" cm="1">
        <f t="array" ref="AK68">_xlfn.XLOOKUP(1,('2016 E Maize Soil VWC'!$C$2:$C$4000=$AA68)*('2016 E Maize Soil VWC'!$E$2:$E$4000=$AB68)*('2016 E Maize Soil VWC'!$F$2:$F$4000=AK$5),'2016 E Maize Soil VWC'!$G$2:$G$4000)</f>
        <v>0.30250877460236081</v>
      </c>
      <c r="AL68" s="1" cm="1">
        <f t="array" ref="AL68">_xlfn.XLOOKUP(1,('2016 E Maize Soil VWC'!$C$2:$C$4000=$AA68)*('2016 E Maize Soil VWC'!$E$2:$E$4000=$AB68)*('2016 E Maize Soil VWC'!$F$2:$F$4000=AL$5),'2016 E Maize Soil VWC'!$G$2:$G$4000)</f>
        <v>0.27909297502145636</v>
      </c>
      <c r="AM68" s="1" cm="1">
        <f t="array" ref="AM68">_xlfn.XLOOKUP(1,('2016 E Maize Soil VWC'!$C$2:$C$4000=$AA68)*('2016 E Maize Soil VWC'!$E$2:$E$4000=$AB68)*('2016 E Maize Soil VWC'!$F$2:$F$4000=AM$5),'2016 E Maize Soil VWC'!$G$2:$G$4000)</f>
        <v>0.306985610764961</v>
      </c>
      <c r="AN68" s="1" cm="1">
        <f t="array" ref="AN68">_xlfn.XLOOKUP(1,('2016 E Maize Soil VWC'!$C$2:$C$4000=$AA68)*('2016 E Maize Soil VWC'!$E$2:$E$4000=$AB68)*('2016 E Maize Soil VWC'!$F$2:$F$4000=AN$5),'2016 E Maize Soil VWC'!$G$2:$G$4000)</f>
        <v>0.31473248377676472</v>
      </c>
      <c r="AO68" s="1" cm="1">
        <f t="array" ref="AO68">_xlfn.XLOOKUP(1,('2016 E Maize Soil VWC'!$C$2:$C$4000=$AA68)*('2016 E Maize Soil VWC'!$E$2:$E$4000=$AB68)*('2016 E Maize Soil VWC'!$F$2:$F$4000=AO$5),'2016 E Maize Soil VWC'!$G$2:$G$4000)</f>
        <v>0.29976427938963635</v>
      </c>
      <c r="AP68" s="1" cm="1">
        <f t="array" ref="AP68">_xlfn.XLOOKUP(1,('2016 E Maize Soil VWC'!$C$2:$C$4000=$AA68)*('2016 E Maize Soil VWC'!$E$2:$E$4000=$AB68)*('2016 E Maize Soil VWC'!$F$2:$F$4000=AP$5),'2016 E Maize Soil VWC'!$G$2:$G$4000)</f>
        <v>0.27969637467815467</v>
      </c>
      <c r="AQ68" s="1" t="e" cm="1">
        <f t="array" ref="AQ68">_xlfn.XLOOKUP(1,('2016 E Maize Soil VWC'!$C$2:$C$4000=$AA68)*('2016 E Maize Soil VWC'!$E$2:$E$4000=$AB68)*('2016 E Maize Soil VWC'!$F$2:$F$4000=AQ$5),'2016 E Maize Soil VWC'!$G$2:$G$4000)</f>
        <v>#N/A</v>
      </c>
      <c r="AR68" s="1" t="e" cm="1">
        <f t="array" ref="AR68">_xlfn.XLOOKUP(1,('2016 E Maize Soil VWC'!$C$2:$C$4000=$AA68)*('2016 E Maize Soil VWC'!$E$2:$E$4000=$AB68)*('2016 E Maize Soil VWC'!$F$2:$F$4000=AR$5),'2016 E Maize Soil VWC'!$G$2:$G$4000)</f>
        <v>#N/A</v>
      </c>
      <c r="AS68" s="1" cm="1">
        <f t="array" ref="AS68">_xlfn.XLOOKUP(1,('2016 E Maize Soil VWC'!$C$2:$C$4000=$AA68)*('2016 E Maize Soil VWC'!$E$2:$E$4000=$AB68)*('2016 E Maize Soil VWC'!$F$2:$F$4000=AS$5),'2016 E Maize Soil VWC'!$G$2:$G$4000)</f>
        <v>0.305545237390907</v>
      </c>
      <c r="AT68" s="1" cm="1">
        <f t="array" ref="AT68">_xlfn.XLOOKUP(1,('2016 E Maize Soil VWC'!$C$2:$C$4000=$AA68)*('2016 E Maize Soil VWC'!$E$2:$E$4000=$AB68)*('2016 E Maize Soil VWC'!$F$2:$F$4000=AT$5),'2016 E Maize Soil VWC'!$G$2:$G$4000)</f>
        <v>0.30599292100716702</v>
      </c>
      <c r="AU68" s="1" cm="1">
        <f t="array" ref="AU68">_xlfn.XLOOKUP(1,('2016 E Maize Soil VWC'!$C$2:$C$4000=$AA68)*('2016 E Maize Soil VWC'!$E$2:$E$4000=$AB68)*('2016 E Maize Soil VWC'!$F$2:$F$4000=AU$5),'2016 E Maize Soil VWC'!$G$2:$G$4000)</f>
        <v>0.30381289644103127</v>
      </c>
      <c r="AV68" s="1" cm="1">
        <f t="array" ref="AV68">_xlfn.XLOOKUP(1,('2016 E Maize Soil VWC'!$C$2:$C$4000=$AA68)*('2016 E Maize Soil VWC'!$E$2:$E$4000=$AB68)*('2016 E Maize Soil VWC'!$F$2:$F$4000=AV$5),'2016 E Maize Soil VWC'!$G$2:$G$4000)</f>
        <v>0.30928242236142539</v>
      </c>
    </row>
    <row r="69" spans="25:66" x14ac:dyDescent="0.25">
      <c r="AA69" s="18">
        <f t="shared" si="11"/>
        <v>42542</v>
      </c>
      <c r="AB69" s="1">
        <f t="shared" si="12"/>
        <v>230</v>
      </c>
      <c r="AC69" s="1" cm="1">
        <f t="array" ref="AC69">_xlfn.XLOOKUP(1,('2016 E Maize Soil VWC'!$C$2:$C$4000=$AA69)*('2016 E Maize Soil VWC'!$E$2:$E$4000=$AB69)*('2016 E Maize Soil VWC'!$F$2:$F$4000=AC$5),'2016 E Maize Soil VWC'!$G$2:$G$4000)</f>
        <v>0.29855748007623978</v>
      </c>
      <c r="AD69" s="1" cm="1">
        <f t="array" ref="AD69">_xlfn.XLOOKUP(1,('2016 E Maize Soil VWC'!$C$2:$C$4000=$AA69)*('2016 E Maize Soil VWC'!$E$2:$E$4000=$AB69)*('2016 E Maize Soil VWC'!$F$2:$F$4000=AD$5),'2016 E Maize Soil VWC'!$G$2:$G$4000)</f>
        <v>0.3025866326225799</v>
      </c>
      <c r="AE69" s="1" cm="1">
        <f t="array" ref="AE69">_xlfn.XLOOKUP(1,('2016 E Maize Soil VWC'!$C$2:$C$4000=$AA69)*('2016 E Maize Soil VWC'!$E$2:$E$4000=$AB69)*('2016 E Maize Soil VWC'!$F$2:$F$4000=AE$5),'2016 E Maize Soil VWC'!$G$2:$G$4000)</f>
        <v>0.28831915041742373</v>
      </c>
      <c r="AF69" s="1" cm="1">
        <f t="array" ref="AF69">_xlfn.XLOOKUP(1,('2016 E Maize Soil VWC'!$C$2:$C$4000=$AA69)*('2016 E Maize Soil VWC'!$E$2:$E$4000=$AB69)*('2016 E Maize Soil VWC'!$F$2:$F$4000=AF$5),'2016 E Maize Soil VWC'!$G$2:$G$4000)</f>
        <v>0.28512697158843925</v>
      </c>
      <c r="AG69" s="1" t="e" cm="1">
        <f t="array" ref="AG69">_xlfn.XLOOKUP(1,('2016 E Maize Soil VWC'!$C$2:$C$4000=$AA69)*('2016 E Maize Soil VWC'!$E$2:$E$4000=$AB69)*('2016 E Maize Soil VWC'!$F$2:$F$4000=AG$5),'2016 E Maize Soil VWC'!$G$2:$G$4000)</f>
        <v>#N/A</v>
      </c>
      <c r="AH69" s="1" t="e" cm="1">
        <f t="array" ref="AH69">_xlfn.XLOOKUP(1,('2016 E Maize Soil VWC'!$C$2:$C$4000=$AA69)*('2016 E Maize Soil VWC'!$E$2:$E$4000=$AB69)*('2016 E Maize Soil VWC'!$F$2:$F$4000=AH$5),'2016 E Maize Soil VWC'!$G$2:$G$4000)</f>
        <v>#N/A</v>
      </c>
      <c r="AI69" s="1" cm="1">
        <f t="array" ref="AI69">_xlfn.XLOOKUP(1,('2016 E Maize Soil VWC'!$C$2:$C$4000=$AA69)*('2016 E Maize Soil VWC'!$E$2:$E$4000=$AB69)*('2016 E Maize Soil VWC'!$F$2:$F$4000=AI$5),'2016 E Maize Soil VWC'!$G$2:$G$4000)</f>
        <v>0.28356981118405655</v>
      </c>
      <c r="AJ69" s="1" cm="1">
        <f t="array" ref="AJ69">_xlfn.XLOOKUP(1,('2016 E Maize Soil VWC'!$C$2:$C$4000=$AA69)*('2016 E Maize Soil VWC'!$E$2:$E$4000=$AB69)*('2016 E Maize Soil VWC'!$F$2:$F$4000=AJ$5),'2016 E Maize Soil VWC'!$G$2:$G$4000)</f>
        <v>0.30782258448231664</v>
      </c>
      <c r="AK69" s="1" cm="1">
        <f t="array" ref="AK69">_xlfn.XLOOKUP(1,('2016 E Maize Soil VWC'!$C$2:$C$4000=$AA69)*('2016 E Maize Soil VWC'!$E$2:$E$4000=$AB69)*('2016 E Maize Soil VWC'!$F$2:$F$4000=AK$5),'2016 E Maize Soil VWC'!$G$2:$G$4000)</f>
        <v>0.31068386672536979</v>
      </c>
      <c r="AL69" s="1" cm="1">
        <f t="array" ref="AL69">_xlfn.XLOOKUP(1,('2016 E Maize Soil VWC'!$C$2:$C$4000=$AA69)*('2016 E Maize Soil VWC'!$E$2:$E$4000=$AB69)*('2016 E Maize Soil VWC'!$F$2:$F$4000=AL$5),'2016 E Maize Soil VWC'!$G$2:$G$4000)</f>
        <v>0.27562829312170495</v>
      </c>
      <c r="AM69" s="1" cm="1">
        <f t="array" ref="AM69">_xlfn.XLOOKUP(1,('2016 E Maize Soil VWC'!$C$2:$C$4000=$AA69)*('2016 E Maize Soil VWC'!$E$2:$E$4000=$AB69)*('2016 E Maize Soil VWC'!$F$2:$F$4000=AM$5),'2016 E Maize Soil VWC'!$G$2:$G$4000)</f>
        <v>0.29672781660109016</v>
      </c>
      <c r="AN69" s="1" cm="1">
        <f t="array" ref="AN69">_xlfn.XLOOKUP(1,('2016 E Maize Soil VWC'!$C$2:$C$4000=$AA69)*('2016 E Maize Soil VWC'!$E$2:$E$4000=$AB69)*('2016 E Maize Soil VWC'!$F$2:$F$4000=AN$5),'2016 E Maize Soil VWC'!$G$2:$G$4000)</f>
        <v>0.30219734252148428</v>
      </c>
      <c r="AO69" s="1" cm="1">
        <f t="array" ref="AO69">_xlfn.XLOOKUP(1,('2016 E Maize Soil VWC'!$C$2:$C$4000=$AA69)*('2016 E Maize Soil VWC'!$E$2:$E$4000=$AB69)*('2016 E Maize Soil VWC'!$F$2:$F$4000=AO$5),'2016 E Maize Soil VWC'!$G$2:$G$4000)</f>
        <v>0.29137507771102472</v>
      </c>
      <c r="AP69" s="1" cm="1">
        <f t="array" ref="AP69">_xlfn.XLOOKUP(1,('2016 E Maize Soil VWC'!$C$2:$C$4000=$AA69)*('2016 E Maize Soil VWC'!$E$2:$E$4000=$AB69)*('2016 E Maize Soil VWC'!$F$2:$F$4000=AP$5),'2016 E Maize Soil VWC'!$G$2:$G$4000)</f>
        <v>0.2836282046992209</v>
      </c>
      <c r="AQ69" s="1" t="e" cm="1">
        <f t="array" ref="AQ69">_xlfn.XLOOKUP(1,('2016 E Maize Soil VWC'!$C$2:$C$4000=$AA69)*('2016 E Maize Soil VWC'!$E$2:$E$4000=$AB69)*('2016 E Maize Soil VWC'!$F$2:$F$4000=AQ$5),'2016 E Maize Soil VWC'!$G$2:$G$4000)</f>
        <v>#N/A</v>
      </c>
      <c r="AR69" s="1" t="e" cm="1">
        <f t="array" ref="AR69">_xlfn.XLOOKUP(1,('2016 E Maize Soil VWC'!$C$2:$C$4000=$AA69)*('2016 E Maize Soil VWC'!$E$2:$E$4000=$AB69)*('2016 E Maize Soil VWC'!$F$2:$F$4000=AR$5),'2016 E Maize Soil VWC'!$G$2:$G$4000)</f>
        <v>#N/A</v>
      </c>
      <c r="AS69" s="1" cm="1">
        <f t="array" ref="AS69">_xlfn.XLOOKUP(1,('2016 E Maize Soil VWC'!$C$2:$C$4000=$AA69)*('2016 E Maize Soil VWC'!$E$2:$E$4000=$AB69)*('2016 E Maize Soil VWC'!$F$2:$F$4000=AS$5),'2016 E Maize Soil VWC'!$G$2:$G$4000)</f>
        <v>0.30087375617775897</v>
      </c>
      <c r="AT69" s="1" cm="1">
        <f t="array" ref="AT69">_xlfn.XLOOKUP(1,('2016 E Maize Soil VWC'!$C$2:$C$4000=$AA69)*('2016 E Maize Soil VWC'!$E$2:$E$4000=$AB69)*('2016 E Maize Soil VWC'!$F$2:$F$4000=AT$5),'2016 E Maize Soil VWC'!$G$2:$G$4000)</f>
        <v>0.30237252306697732</v>
      </c>
      <c r="AU69" s="1" cm="1">
        <f t="array" ref="AU69">_xlfn.XLOOKUP(1,('2016 E Maize Soil VWC'!$C$2:$C$4000=$AA69)*('2016 E Maize Soil VWC'!$E$2:$E$4000=$AB69)*('2016 E Maize Soil VWC'!$F$2:$F$4000=AU$5),'2016 E Maize Soil VWC'!$G$2:$G$4000)</f>
        <v>0.29061596201388812</v>
      </c>
      <c r="AV69" s="1" cm="1">
        <f t="array" ref="AV69">_xlfn.XLOOKUP(1,('2016 E Maize Soil VWC'!$C$2:$C$4000=$AA69)*('2016 E Maize Soil VWC'!$E$2:$E$4000=$AB69)*('2016 E Maize Soil VWC'!$F$2:$F$4000=AV$5),'2016 E Maize Soil VWC'!$G$2:$G$4000)</f>
        <v>0.30731650735089228</v>
      </c>
      <c r="BN69" s="15"/>
    </row>
    <row r="70" spans="25:66" x14ac:dyDescent="0.25">
      <c r="AA70" s="18"/>
      <c r="BN70" s="15"/>
    </row>
    <row r="71" spans="25:66" x14ac:dyDescent="0.25">
      <c r="Y71" s="1">
        <v>2016</v>
      </c>
      <c r="Z71" s="1">
        <v>180</v>
      </c>
      <c r="AA71" s="18">
        <f>DATE(Y71,1,Z71)</f>
        <v>42549</v>
      </c>
      <c r="AB71" s="1">
        <v>10</v>
      </c>
      <c r="AC71" s="1" cm="1">
        <f t="array" ref="AC71">_xlfn.XLOOKUP(1,('2016 E Maize Soil VWC'!$C$2:$C$4000=$AA71)*('2016 E Maize Soil VWC'!$E$2:$E$4000=$AB71)*('2016 E Maize Soil VWC'!$F$2:$F$4000=AC$5),'2016 E Maize Soil VWC'!$G$2:$G$4000)</f>
        <v>0.17604660282889534</v>
      </c>
      <c r="AD71" s="1" cm="1">
        <f t="array" ref="AD71">_xlfn.XLOOKUP(1,('2016 E Maize Soil VWC'!$C$2:$C$4000=$AA71)*('2016 E Maize Soil VWC'!$E$2:$E$4000=$AB71)*('2016 E Maize Soil VWC'!$F$2:$F$4000=AD$5),'2016 E Maize Soil VWC'!$G$2:$G$4000)</f>
        <v>0.17127043052041419</v>
      </c>
      <c r="AE71" s="1" cm="1">
        <f t="array" ref="AE71">_xlfn.XLOOKUP(1,('2016 E Maize Soil VWC'!$C$2:$C$4000=$AA71)*('2016 E Maize Soil VWC'!$E$2:$E$4000=$AB71)*('2016 E Maize Soil VWC'!$F$2:$F$4000=AE$5),'2016 E Maize Soil VWC'!$G$2:$G$4000)</f>
        <v>0.16856585102043092</v>
      </c>
      <c r="AF71" s="1" cm="1">
        <f t="array" ref="AF71">_xlfn.XLOOKUP(1,('2016 E Maize Soil VWC'!$C$2:$C$4000=$AA71)*('2016 E Maize Soil VWC'!$E$2:$E$4000=$AB71)*('2016 E Maize Soil VWC'!$F$2:$F$4000=AF$5),'2016 E Maize Soil VWC'!$G$2:$G$4000)</f>
        <v>0.16279224513748791</v>
      </c>
      <c r="AG71" s="1" cm="1">
        <f t="array" ref="AG71">_xlfn.XLOOKUP(1,('2016 E Maize Soil VWC'!$C$2:$C$4000=$AA71)*('2016 E Maize Soil VWC'!$E$2:$E$4000=$AB71)*('2016 E Maize Soil VWC'!$F$2:$F$4000=AG$5),'2016 E Maize Soil VWC'!$G$2:$G$4000)</f>
        <v>0.18421788557352564</v>
      </c>
      <c r="AH71" s="1" cm="1">
        <f t="array" ref="AH71">_xlfn.XLOOKUP(1,('2016 E Maize Soil VWC'!$C$2:$C$4000=$AA71)*('2016 E Maize Soil VWC'!$E$2:$E$4000=$AB71)*('2016 E Maize Soil VWC'!$F$2:$F$4000=AH$5),'2016 E Maize Soil VWC'!$G$2:$G$4000)</f>
        <v>0.17969107165866005</v>
      </c>
      <c r="AI71" s="1" cm="1">
        <f t="array" ref="AI71">_xlfn.XLOOKUP(1,('2016 E Maize Soil VWC'!$C$2:$C$4000=$AA71)*('2016 E Maize Soil VWC'!$E$2:$E$4000=$AB71)*('2016 E Maize Soil VWC'!$F$2:$F$4000=AI$5),'2016 E Maize Soil VWC'!$G$2:$G$4000)</f>
        <v>0.17809901422249963</v>
      </c>
      <c r="AJ71" s="1" cm="1">
        <f t="array" ref="AJ71">_xlfn.XLOOKUP(1,('2016 E Maize Soil VWC'!$C$2:$C$4000=$AA71)*('2016 E Maize Soil VWC'!$E$2:$E$4000=$AB71)*('2016 E Maize Soil VWC'!$F$2:$F$4000=AJ$5),'2016 E Maize Soil VWC'!$G$2:$G$4000)</f>
        <v>0.1291288619993981</v>
      </c>
      <c r="AK71" s="1" cm="1">
        <f t="array" ref="AK71">_xlfn.XLOOKUP(1,('2016 E Maize Soil VWC'!$C$2:$C$4000=$AA71)*('2016 E Maize Soil VWC'!$E$2:$E$4000=$AB71)*('2016 E Maize Soil VWC'!$F$2:$F$4000=AK$5),'2016 E Maize Soil VWC'!$G$2:$G$4000)</f>
        <v>0.16373213446726931</v>
      </c>
      <c r="AL71" s="1" cm="1">
        <f t="array" ref="AL71">_xlfn.XLOOKUP(1,('2016 E Maize Soil VWC'!$C$2:$C$4000=$AA71)*('2016 E Maize Soil VWC'!$E$2:$E$4000=$AB71)*('2016 E Maize Soil VWC'!$F$2:$F$4000=AL$5),'2016 E Maize Soil VWC'!$G$2:$G$4000)</f>
        <v>0.17750439036080118</v>
      </c>
      <c r="AM71" s="1" cm="1">
        <f t="array" ref="AM71">_xlfn.XLOOKUP(1,('2016 E Maize Soil VWC'!$C$2:$C$4000=$AA71)*('2016 E Maize Soil VWC'!$E$2:$E$4000=$AB71)*('2016 E Maize Soil VWC'!$F$2:$F$4000=AM$5),'2016 E Maize Soil VWC'!$G$2:$G$4000)</f>
        <v>0.14997905998863093</v>
      </c>
      <c r="AN71" s="1" cm="1">
        <f t="array" ref="AN71">_xlfn.XLOOKUP(1,('2016 E Maize Soil VWC'!$C$2:$C$4000=$AA71)*('2016 E Maize Soil VWC'!$E$2:$E$4000=$AB71)*('2016 E Maize Soil VWC'!$F$2:$F$4000=AN$5),'2016 E Maize Soil VWC'!$G$2:$G$4000)</f>
        <v>0.12747926031855725</v>
      </c>
      <c r="AO71" s="1" cm="1">
        <f t="array" ref="AO71">_xlfn.XLOOKUP(1,('2016 E Maize Soil VWC'!$C$2:$C$4000=$AA71)*('2016 E Maize Soil VWC'!$E$2:$E$4000=$AB71)*('2016 E Maize Soil VWC'!$F$2:$F$4000=AO$5),'2016 E Maize Soil VWC'!$G$2:$G$4000)</f>
        <v>0.17570133736081234</v>
      </c>
      <c r="AP71" s="1" cm="1">
        <f t="array" ref="AP71">_xlfn.XLOOKUP(1,('2016 E Maize Soil VWC'!$C$2:$C$4000=$AA71)*('2016 E Maize Soil VWC'!$E$2:$E$4000=$AB71)*('2016 E Maize Soil VWC'!$F$2:$F$4000=AP$5),'2016 E Maize Soil VWC'!$G$2:$G$4000)</f>
        <v>0.16693543075448353</v>
      </c>
      <c r="AQ71" s="1" cm="1">
        <f t="array" ref="AQ71">_xlfn.XLOOKUP(1,('2016 E Maize Soil VWC'!$C$2:$C$4000=$AA71)*('2016 E Maize Soil VWC'!$E$2:$E$4000=$AB71)*('2016 E Maize Soil VWC'!$F$2:$F$4000=AQ$5),'2016 E Maize Soil VWC'!$G$2:$G$4000)</f>
        <v>0.18692246507350896</v>
      </c>
      <c r="AR71" s="1" cm="1">
        <f t="array" ref="AR71">_xlfn.XLOOKUP(1,('2016 E Maize Soil VWC'!$C$2:$C$4000=$AA71)*('2016 E Maize Soil VWC'!$E$2:$E$4000=$AB71)*('2016 E Maize Soil VWC'!$F$2:$F$4000=AR$5),'2016 E Maize Soil VWC'!$G$2:$G$4000)</f>
        <v>0.17806065139271265</v>
      </c>
      <c r="AS71" s="1" cm="1">
        <f t="array" ref="AS71">_xlfn.XLOOKUP(1,('2016 E Maize Soil VWC'!$C$2:$C$4000=$AA71)*('2016 E Maize Soil VWC'!$E$2:$E$4000=$AB71)*('2016 E Maize Soil VWC'!$F$2:$F$4000=AS$5),'2016 E Maize Soil VWC'!$G$2:$G$4000)</f>
        <v>0.15747899321198883</v>
      </c>
      <c r="AT71" s="1" cm="1">
        <f t="array" ref="AT71">_xlfn.XLOOKUP(1,('2016 E Maize Soil VWC'!$C$2:$C$4000=$AA71)*('2016 E Maize Soil VWC'!$E$2:$E$4000=$AB71)*('2016 E Maize Soil VWC'!$F$2:$F$4000=AT$5),'2016 E Maize Soil VWC'!$G$2:$G$4000)</f>
        <v>0.16292651504174238</v>
      </c>
      <c r="AU71" s="1" cm="1">
        <f t="array" ref="AU71">_xlfn.XLOOKUP(1,('2016 E Maize Soil VWC'!$C$2:$C$4000=$AA71)*('2016 E Maize Soil VWC'!$E$2:$E$4000=$AB71)*('2016 E Maize Soil VWC'!$F$2:$F$4000=AU$5),'2016 E Maize Soil VWC'!$G$2:$G$4000)</f>
        <v>0.15588693577582846</v>
      </c>
      <c r="AV71" s="1" cm="1">
        <f t="array" ref="AV71">_xlfn.XLOOKUP(1,('2016 E Maize Soil VWC'!$C$2:$C$4000=$AA71)*('2016 E Maize Soil VWC'!$E$2:$E$4000=$AB71)*('2016 E Maize Soil VWC'!$F$2:$F$4000=AV$5),'2016 E Maize Soil VWC'!$G$2:$G$4000)</f>
        <v>0.1724404968289176</v>
      </c>
      <c r="AW71" s="1">
        <f>Z71</f>
        <v>180</v>
      </c>
      <c r="AX71" s="15">
        <f>AA71</f>
        <v>42549</v>
      </c>
      <c r="AY71" s="1">
        <f>1400*AVERAGE(AG71:AH77)+100*AVERAGE(AG78:AH78)</f>
        <v>450.18567959305381</v>
      </c>
      <c r="AZ71" s="1">
        <f>1400*AVERAGE(AC71:AF77,AI71:AL77)+100*AVERAGE(AC78:AF78,AI78:AL78)</f>
        <v>451.61177011672822</v>
      </c>
      <c r="BA71" s="1">
        <f>1400*AVERAGE(AQ71:AR77)+100*AVERAGE(AQ78:AR78)</f>
        <v>435.97058877971835</v>
      </c>
      <c r="BB71" s="1">
        <f>1400*AVERAGE(AM71:AP77,AS71:AV77)+100*AVERAGE(AM78:AP78,AS78:AV78)</f>
        <v>433.45411122710851</v>
      </c>
      <c r="BC71" s="1">
        <f>AVERAGE(AC71:AD82)*2400</f>
        <v>724.28256588940792</v>
      </c>
      <c r="BD71" s="1">
        <f>AVERAGE(AE71:AF82)*2400</f>
        <v>706.01805714636021</v>
      </c>
      <c r="BE71" s="1">
        <f>AVERAGE(AG71:AH80)*2000</f>
        <v>621.76976919870276</v>
      </c>
      <c r="BF71" s="1">
        <f>AVERAGE(AI71:AJ82)*2400</f>
        <v>725.45278125661821</v>
      </c>
      <c r="BG71" s="1">
        <f>AVERAGE(AK71:AL82)*2400</f>
        <v>729.08110015381715</v>
      </c>
      <c r="BH71" s="1">
        <f>AVERAGE(AM71:AN82)*2400</f>
        <v>714.03389286645802</v>
      </c>
      <c r="BI71" s="1">
        <f>AVERAGE(AO71:AP82)*2400</f>
        <v>685.73483515164344</v>
      </c>
      <c r="BJ71" s="1">
        <f>AVERAGE(AQ71:AR80)*2000</f>
        <v>602.50753222466199</v>
      </c>
      <c r="BK71" s="1">
        <f>AVERAGE(AS71:AT82)*2400</f>
        <v>731.57736651470736</v>
      </c>
      <c r="BL71" s="1">
        <f>AVERAGE(AU71:AV82)*2400</f>
        <v>722.21984759633074</v>
      </c>
      <c r="BN71" s="15"/>
    </row>
    <row r="72" spans="25:66" x14ac:dyDescent="0.25">
      <c r="AA72" s="18">
        <f t="shared" ref="AA72:AA82" si="13">AA71</f>
        <v>42549</v>
      </c>
      <c r="AB72" s="1">
        <f t="shared" ref="AB72:AB82" si="14">AB71+20</f>
        <v>30</v>
      </c>
      <c r="AC72" s="1" cm="1">
        <f t="array" ref="AC72">_xlfn.XLOOKUP(1,('2016 E Maize Soil VWC'!$C$2:$C$4000=$AA72)*('2016 E Maize Soil VWC'!$E$2:$E$4000=$AB72)*('2016 E Maize Soil VWC'!$F$2:$F$4000=AC$5),'2016 E Maize Soil VWC'!$G$2:$G$4000)</f>
        <v>0.23760130034441634</v>
      </c>
      <c r="AD72" s="1" cm="1">
        <f t="array" ref="AD72">_xlfn.XLOOKUP(1,('2016 E Maize Soil VWC'!$C$2:$C$4000=$AA72)*('2016 E Maize Soil VWC'!$E$2:$E$4000=$AB72)*('2016 E Maize Soil VWC'!$F$2:$F$4000=AD$5),'2016 E Maize Soil VWC'!$G$2:$G$4000)</f>
        <v>0.26663634783820234</v>
      </c>
      <c r="AE72" s="1" cm="1">
        <f t="array" ref="AE72">_xlfn.XLOOKUP(1,('2016 E Maize Soil VWC'!$C$2:$C$4000=$AA72)*('2016 E Maize Soil VWC'!$E$2:$E$4000=$AB72)*('2016 E Maize Soil VWC'!$F$2:$F$4000=AE$5),'2016 E Maize Soil VWC'!$G$2:$G$4000)</f>
        <v>0.25188984106691042</v>
      </c>
      <c r="AF72" s="1" cm="1">
        <f t="array" ref="AF72">_xlfn.XLOOKUP(1,('2016 E Maize Soil VWC'!$C$2:$C$4000=$AA72)*('2016 E Maize Soil VWC'!$E$2:$E$4000=$AB72)*('2016 E Maize Soil VWC'!$F$2:$F$4000=AF$5),'2016 E Maize Soil VWC'!$G$2:$G$4000)</f>
        <v>0.24866118042288532</v>
      </c>
      <c r="AG72" s="1" cm="1">
        <f t="array" ref="AG72">_xlfn.XLOOKUP(1,('2016 E Maize Soil VWC'!$C$2:$C$4000=$AA72)*('2016 E Maize Soil VWC'!$E$2:$E$4000=$AB72)*('2016 E Maize Soil VWC'!$F$2:$F$4000=AG$5),'2016 E Maize Soil VWC'!$G$2:$G$4000)</f>
        <v>0.27510871974096329</v>
      </c>
      <c r="AH72" s="1" cm="1">
        <f t="array" ref="AH72">_xlfn.XLOOKUP(1,('2016 E Maize Soil VWC'!$C$2:$C$4000=$AA72)*('2016 E Maize Soil VWC'!$E$2:$E$4000=$AB72)*('2016 E Maize Soil VWC'!$F$2:$F$4000=AH$5),'2016 E Maize Soil VWC'!$G$2:$G$4000)</f>
        <v>0.27373482159456958</v>
      </c>
      <c r="AI72" s="1" cm="1">
        <f t="array" ref="AI72">_xlfn.XLOOKUP(1,('2016 E Maize Soil VWC'!$C$2:$C$4000=$AA72)*('2016 E Maize Soil VWC'!$E$2:$E$4000=$AB72)*('2016 E Maize Soil VWC'!$F$2:$F$4000=AI$5),'2016 E Maize Soil VWC'!$G$2:$G$4000)</f>
        <v>0.25752282346712441</v>
      </c>
      <c r="AJ72" s="1" cm="1">
        <f t="array" ref="AJ72">_xlfn.XLOOKUP(1,('2016 E Maize Soil VWC'!$C$2:$C$4000=$AA72)*('2016 E Maize Soil VWC'!$E$2:$E$4000=$AB72)*('2016 E Maize Soil VWC'!$F$2:$F$4000=AJ$5),'2016 E Maize Soil VWC'!$G$2:$G$4000)</f>
        <v>0.25395068828650091</v>
      </c>
      <c r="AK72" s="1" cm="1">
        <f t="array" ref="AK72">_xlfn.XLOOKUP(1,('2016 E Maize Soil VWC'!$C$2:$C$4000=$AA72)*('2016 E Maize Soil VWC'!$E$2:$E$4000=$AB72)*('2016 E Maize Soil VWC'!$F$2:$F$4000=AK$5),'2016 E Maize Soil VWC'!$G$2:$G$4000)</f>
        <v>0.25713355232564622</v>
      </c>
      <c r="AL72" s="1" cm="1">
        <f t="array" ref="AL72">_xlfn.XLOOKUP(1,('2016 E Maize Soil VWC'!$C$2:$C$4000=$AA72)*('2016 E Maize Soil VWC'!$E$2:$E$4000=$AB72)*('2016 E Maize Soil VWC'!$F$2:$F$4000=AL$5),'2016 E Maize Soil VWC'!$G$2:$G$4000)</f>
        <v>0.28472600676571885</v>
      </c>
      <c r="AM72" s="1" cm="1">
        <f t="array" ref="AM72">_xlfn.XLOOKUP(1,('2016 E Maize Soil VWC'!$C$2:$C$4000=$AA72)*('2016 E Maize Soil VWC'!$E$2:$E$4000=$AB72)*('2016 E Maize Soil VWC'!$F$2:$F$4000=AM$5),'2016 E Maize Soil VWC'!$G$2:$G$4000)</f>
        <v>0.22493853909515477</v>
      </c>
      <c r="AN72" s="1" cm="1">
        <f t="array" ref="AN72">_xlfn.XLOOKUP(1,('2016 E Maize Soil VWC'!$C$2:$C$4000=$AA72)*('2016 E Maize Soil VWC'!$E$2:$E$4000=$AB72)*('2016 E Maize Soil VWC'!$F$2:$F$4000=AN$5),'2016 E Maize Soil VWC'!$G$2:$G$4000)</f>
        <v>0.18104249331787731</v>
      </c>
      <c r="AO72" s="1" cm="1">
        <f t="array" ref="AO72">_xlfn.XLOOKUP(1,('2016 E Maize Soil VWC'!$C$2:$C$4000=$AA72)*('2016 E Maize Soil VWC'!$E$2:$E$4000=$AB72)*('2016 E Maize Soil VWC'!$F$2:$F$4000=AO$5),'2016 E Maize Soil VWC'!$G$2:$G$4000)</f>
        <v>0.16702873222466202</v>
      </c>
      <c r="AP72" s="1" cm="1">
        <f t="array" ref="AP72">_xlfn.XLOOKUP(1,('2016 E Maize Soil VWC'!$C$2:$C$4000=$AA72)*('2016 E Maize Soil VWC'!$E$2:$E$4000=$AB72)*('2016 E Maize Soil VWC'!$F$2:$F$4000=AP$5),'2016 E Maize Soil VWC'!$G$2:$G$4000)</f>
        <v>0.1662272916392657</v>
      </c>
      <c r="AQ72" s="1" cm="1">
        <f t="array" ref="AQ72">_xlfn.XLOOKUP(1,('2016 E Maize Soil VWC'!$C$2:$C$4000=$AA72)*('2016 E Maize Soil VWC'!$E$2:$E$4000=$AB72)*('2016 E Maize Soil VWC'!$F$2:$F$4000=AQ$5),'2016 E Maize Soil VWC'!$G$2:$G$4000)</f>
        <v>0.2696589237602684</v>
      </c>
      <c r="AR72" s="1" cm="1">
        <f t="array" ref="AR72">_xlfn.XLOOKUP(1,('2016 E Maize Soil VWC'!$C$2:$C$4000=$AA72)*('2016 E Maize Soil VWC'!$E$2:$E$4000=$AB72)*('2016 E Maize Soil VWC'!$F$2:$F$4000=AR$5),'2016 E Maize Soil VWC'!$G$2:$G$4000)</f>
        <v>0.26839951712607424</v>
      </c>
      <c r="AS72" s="1" cm="1">
        <f t="array" ref="AS72">_xlfn.XLOOKUP(1,('2016 E Maize Soil VWC'!$C$2:$C$4000=$AA72)*('2016 E Maize Soil VWC'!$E$2:$E$4000=$AB72)*('2016 E Maize Soil VWC'!$F$2:$F$4000=AS$5),'2016 E Maize Soil VWC'!$G$2:$G$4000)</f>
        <v>0.26468999213081135</v>
      </c>
      <c r="AT72" s="1" cm="1">
        <f t="array" ref="AT72">_xlfn.XLOOKUP(1,('2016 E Maize Soil VWC'!$C$2:$C$4000=$AA72)*('2016 E Maize Soil VWC'!$E$2:$E$4000=$AB72)*('2016 E Maize Soil VWC'!$F$2:$F$4000=AT$5),'2016 E Maize Soil VWC'!$G$2:$G$4000)</f>
        <v>0.24856958721312572</v>
      </c>
      <c r="AU72" s="1" cm="1">
        <f t="array" ref="AU72">_xlfn.XLOOKUP(1,('2016 E Maize Soil VWC'!$C$2:$C$4000=$AA72)*('2016 E Maize Soil VWC'!$E$2:$E$4000=$AB72)*('2016 E Maize Soil VWC'!$F$2:$F$4000=AU$5),'2016 E Maize Soil VWC'!$G$2:$G$4000)</f>
        <v>0.24286790990559204</v>
      </c>
      <c r="AV72" s="1" cm="1">
        <f t="array" ref="AV72">_xlfn.XLOOKUP(1,('2016 E Maize Soil VWC'!$C$2:$C$4000=$AA72)*('2016 E Maize Soil VWC'!$E$2:$E$4000=$AB72)*('2016 E Maize Soil VWC'!$F$2:$F$4000=AV$5),'2016 E Maize Soil VWC'!$G$2:$G$4000)</f>
        <v>0.24433340126174524</v>
      </c>
      <c r="BN72" s="15"/>
    </row>
    <row r="73" spans="25:66" x14ac:dyDescent="0.25">
      <c r="AA73" s="18">
        <f t="shared" si="13"/>
        <v>42549</v>
      </c>
      <c r="AB73" s="1">
        <f t="shared" si="14"/>
        <v>50</v>
      </c>
      <c r="AC73" s="1" cm="1">
        <f t="array" ref="AC73">_xlfn.XLOOKUP(1,('2016 E Maize Soil VWC'!$C$2:$C$4000=$AA73)*('2016 E Maize Soil VWC'!$E$2:$E$4000=$AB73)*('2016 E Maize Soil VWC'!$F$2:$F$4000=AC$5),'2016 E Maize Soil VWC'!$G$2:$G$4000)</f>
        <v>0.32243951088422484</v>
      </c>
      <c r="AD73" s="1" cm="1">
        <f t="array" ref="AD73">_xlfn.XLOOKUP(1,('2016 E Maize Soil VWC'!$C$2:$C$4000=$AA73)*('2016 E Maize Soil VWC'!$E$2:$E$4000=$AB73)*('2016 E Maize Soil VWC'!$F$2:$F$4000=AD$5),'2016 E Maize Soil VWC'!$G$2:$G$4000)</f>
        <v>0.34155959342153663</v>
      </c>
      <c r="AE73" s="1" cm="1">
        <f t="array" ref="AE73">_xlfn.XLOOKUP(1,('2016 E Maize Soil VWC'!$C$2:$C$4000=$AA73)*('2016 E Maize Soil VWC'!$E$2:$E$4000=$AB73)*('2016 E Maize Soil VWC'!$F$2:$F$4000=AE$5),'2016 E Maize Soil VWC'!$G$2:$G$4000)</f>
        <v>0.33837672938239127</v>
      </c>
      <c r="AF73" s="1" cm="1">
        <f t="array" ref="AF73">_xlfn.XLOOKUP(1,('2016 E Maize Soil VWC'!$C$2:$C$4000=$AA73)*('2016 E Maize Soil VWC'!$E$2:$E$4000=$AB73)*('2016 E Maize Soil VWC'!$F$2:$F$4000=AF$5),'2016 E Maize Soil VWC'!$G$2:$G$4000)</f>
        <v>0.31749347755720769</v>
      </c>
      <c r="AG73" s="1" cm="1">
        <f t="array" ref="AG73">_xlfn.XLOOKUP(1,('2016 E Maize Soil VWC'!$C$2:$C$4000=$AA73)*('2016 E Maize Soil VWC'!$E$2:$E$4000=$AB73)*('2016 E Maize Soil VWC'!$F$2:$F$4000=AG$5),'2016 E Maize Soil VWC'!$G$2:$G$4000)</f>
        <v>0.30670837710801746</v>
      </c>
      <c r="AH73" s="1" cm="1">
        <f t="array" ref="AH73">_xlfn.XLOOKUP(1,('2016 E Maize Soil VWC'!$C$2:$C$4000=$AA73)*('2016 E Maize Soil VWC'!$E$2:$E$4000=$AB73)*('2016 E Maize Soil VWC'!$F$2:$F$4000=AH$5),'2016 E Maize Soil VWC'!$G$2:$G$4000)</f>
        <v>0.3204702568743939</v>
      </c>
      <c r="AI73" s="1" cm="1">
        <f t="array" ref="AI73">_xlfn.XLOOKUP(1,('2016 E Maize Soil VWC'!$C$2:$C$4000=$AA73)*('2016 E Maize Soil VWC'!$E$2:$E$4000=$AB73)*('2016 E Maize Soil VWC'!$F$2:$F$4000=AI$5),'2016 E Maize Soil VWC'!$G$2:$G$4000)</f>
        <v>0.33867440731410992</v>
      </c>
      <c r="AJ73" s="1" cm="1">
        <f t="array" ref="AJ73">_xlfn.XLOOKUP(1,('2016 E Maize Soil VWC'!$C$2:$C$4000=$AA73)*('2016 E Maize Soil VWC'!$E$2:$E$4000=$AB73)*('2016 E Maize Soil VWC'!$F$2:$F$4000=AJ$5),'2016 E Maize Soil VWC'!$G$2:$G$4000)</f>
        <v>0.33485039080664758</v>
      </c>
      <c r="AK73" s="1" cm="1">
        <f t="array" ref="AK73">_xlfn.XLOOKUP(1,('2016 E Maize Soil VWC'!$C$2:$C$4000=$AA73)*('2016 E Maize Soil VWC'!$E$2:$E$4000=$AB73)*('2016 E Maize Soil VWC'!$F$2:$F$4000=AK$5),'2016 E Maize Soil VWC'!$G$2:$G$4000)</f>
        <v>0.33134695053334373</v>
      </c>
      <c r="AL73" s="1" cm="1">
        <f t="array" ref="AL73">_xlfn.XLOOKUP(1,('2016 E Maize Soil VWC'!$C$2:$C$4000=$AA73)*('2016 E Maize Soil VWC'!$E$2:$E$4000=$AB73)*('2016 E Maize Soil VWC'!$F$2:$F$4000=AL$5),'2016 E Maize Soil VWC'!$G$2:$G$4000)</f>
        <v>0.34728416903151021</v>
      </c>
      <c r="AM73" s="1" cm="1">
        <f t="array" ref="AM73">_xlfn.XLOOKUP(1,('2016 E Maize Soil VWC'!$C$2:$C$4000=$AA73)*('2016 E Maize Soil VWC'!$E$2:$E$4000=$AB73)*('2016 E Maize Soil VWC'!$F$2:$F$4000=AM$5),'2016 E Maize Soil VWC'!$G$2:$G$4000)</f>
        <v>0.32312645995742167</v>
      </c>
      <c r="AN73" s="1" cm="1">
        <f t="array" ref="AN73">_xlfn.XLOOKUP(1,('2016 E Maize Soil VWC'!$C$2:$C$4000=$AA73)*('2016 E Maize Soil VWC'!$E$2:$E$4000=$AB73)*('2016 E Maize Soil VWC'!$F$2:$F$4000=AN$5),'2016 E Maize Soil VWC'!$G$2:$G$4000)</f>
        <v>0.31073847833743884</v>
      </c>
      <c r="AO73" s="1" cm="1">
        <f t="array" ref="AO73">_xlfn.XLOOKUP(1,('2016 E Maize Soil VWC'!$C$2:$C$4000=$AA73)*('2016 E Maize Soil VWC'!$E$2:$E$4000=$AB73)*('2016 E Maize Soil VWC'!$F$2:$F$4000=AO$5),'2016 E Maize Soil VWC'!$G$2:$G$4000)</f>
        <v>0.28193241386805179</v>
      </c>
      <c r="AP73" s="1" cm="1">
        <f t="array" ref="AP73">_xlfn.XLOOKUP(1,('2016 E Maize Soil VWC'!$C$2:$C$4000=$AA73)*('2016 E Maize Soil VWC'!$E$2:$E$4000=$AB73)*('2016 E Maize Soil VWC'!$F$2:$F$4000=AP$5),'2016 E Maize Soil VWC'!$G$2:$G$4000)</f>
        <v>0.27050616095054447</v>
      </c>
      <c r="AQ73" s="1" cm="1">
        <f t="array" ref="AQ73">_xlfn.XLOOKUP(1,('2016 E Maize Soil VWC'!$C$2:$C$4000=$AA73)*('2016 E Maize Soil VWC'!$E$2:$E$4000=$AB73)*('2016 E Maize Soil VWC'!$F$2:$F$4000=AQ$5),'2016 E Maize Soil VWC'!$G$2:$G$4000)</f>
        <v>0.2898323282098153</v>
      </c>
      <c r="AR73" s="1" cm="1">
        <f t="array" ref="AR73">_xlfn.XLOOKUP(1,('2016 E Maize Soil VWC'!$C$2:$C$4000=$AA73)*('2016 E Maize Soil VWC'!$E$2:$E$4000=$AB73)*('2016 E Maize Soil VWC'!$F$2:$F$4000=AR$5),'2016 E Maize Soil VWC'!$G$2:$G$4000)</f>
        <v>0.29702239517594214</v>
      </c>
      <c r="AS73" s="1" cm="1">
        <f t="array" ref="AS73">_xlfn.XLOOKUP(1,('2016 E Maize Soil VWC'!$C$2:$C$4000=$AA73)*('2016 E Maize Soil VWC'!$E$2:$E$4000=$AB73)*('2016 E Maize Soil VWC'!$F$2:$F$4000=AS$5),'2016 E Maize Soil VWC'!$G$2:$G$4000)</f>
        <v>0.337575288796995</v>
      </c>
      <c r="AT73" s="1" cm="1">
        <f t="array" ref="AT73">_xlfn.XLOOKUP(1,('2016 E Maize Soil VWC'!$C$2:$C$4000=$AA73)*('2016 E Maize Soil VWC'!$E$2:$E$4000=$AB73)*('2016 E Maize Soil VWC'!$F$2:$F$4000=AT$5),'2016 E Maize Soil VWC'!$G$2:$G$4000)</f>
        <v>0.32814118819175853</v>
      </c>
      <c r="AU73" s="1" cm="1">
        <f t="array" ref="AU73">_xlfn.XLOOKUP(1,('2016 E Maize Soil VWC'!$C$2:$C$4000=$AA73)*('2016 E Maize Soil VWC'!$E$2:$E$4000=$AB73)*('2016 E Maize Soil VWC'!$F$2:$F$4000=AU$5),'2016 E Maize Soil VWC'!$G$2:$G$4000)</f>
        <v>0.31321149500094747</v>
      </c>
      <c r="AV73" s="1" cm="1">
        <f t="array" ref="AV73">_xlfn.XLOOKUP(1,('2016 E Maize Soil VWC'!$C$2:$C$4000=$AA73)*('2016 E Maize Soil VWC'!$E$2:$E$4000=$AB73)*('2016 E Maize Soil VWC'!$F$2:$F$4000=AV$5),'2016 E Maize Soil VWC'!$G$2:$G$4000)</f>
        <v>0.33290403509925653</v>
      </c>
      <c r="BN73" s="15"/>
    </row>
    <row r="74" spans="25:66" x14ac:dyDescent="0.25">
      <c r="AA74" s="18">
        <f t="shared" si="13"/>
        <v>42549</v>
      </c>
      <c r="AB74" s="1">
        <f t="shared" si="14"/>
        <v>70</v>
      </c>
      <c r="AC74" s="1" cm="1">
        <f t="array" ref="AC74">_xlfn.XLOOKUP(1,('2016 E Maize Soil VWC'!$C$2:$C$4000=$AA74)*('2016 E Maize Soil VWC'!$E$2:$E$4000=$AB74)*('2016 E Maize Soil VWC'!$F$2:$F$4000=AC$5),'2016 E Maize Soil VWC'!$G$2:$G$4000)</f>
        <v>0.33975062752878499</v>
      </c>
      <c r="AD74" s="1" cm="1">
        <f t="array" ref="AD74">_xlfn.XLOOKUP(1,('2016 E Maize Soil VWC'!$C$2:$C$4000=$AA74)*('2016 E Maize Soil VWC'!$E$2:$E$4000=$AB74)*('2016 E Maize Soil VWC'!$F$2:$F$4000=AD$5),'2016 E Maize Soil VWC'!$G$2:$G$4000)</f>
        <v>0.34794821980226714</v>
      </c>
      <c r="AE74" s="1" cm="1">
        <f t="array" ref="AE74">_xlfn.XLOOKUP(1,('2016 E Maize Soil VWC'!$C$2:$C$4000=$AA74)*('2016 E Maize Soil VWC'!$E$2:$E$4000=$AB74)*('2016 E Maize Soil VWC'!$F$2:$F$4000=AE$5),'2016 E Maize Soil VWC'!$G$2:$G$4000)</f>
        <v>0.33670515330427903</v>
      </c>
      <c r="AF74" s="1" cm="1">
        <f t="array" ref="AF74">_xlfn.XLOOKUP(1,('2016 E Maize Soil VWC'!$C$2:$C$4000=$AA74)*('2016 E Maize Soil VWC'!$E$2:$E$4000=$AB74)*('2016 E Maize Soil VWC'!$F$2:$F$4000=AF$5),'2016 E Maize Soil VWC'!$G$2:$G$4000)</f>
        <v>0.3290113236844745</v>
      </c>
      <c r="AG74" s="1" cm="1">
        <f t="array" ref="AG74">_xlfn.XLOOKUP(1,('2016 E Maize Soil VWC'!$C$2:$C$4000=$AA74)*('2016 E Maize Soil VWC'!$E$2:$E$4000=$AB74)*('2016 E Maize Soil VWC'!$F$2:$F$4000=AG$5),'2016 E Maize Soil VWC'!$G$2:$G$4000)</f>
        <v>0.32788930686491968</v>
      </c>
      <c r="AH74" s="1" cm="1">
        <f t="array" ref="AH74">_xlfn.XLOOKUP(1,('2016 E Maize Soil VWC'!$C$2:$C$4000=$AA74)*('2016 E Maize Soil VWC'!$E$2:$E$4000=$AB74)*('2016 E Maize Soil VWC'!$F$2:$F$4000=AH$5),'2016 E Maize Soil VWC'!$G$2:$G$4000)</f>
        <v>0.32498122245505312</v>
      </c>
      <c r="AI74" s="1" cm="1">
        <f t="array" ref="AI74">_xlfn.XLOOKUP(1,('2016 E Maize Soil VWC'!$C$2:$C$4000=$AA74)*('2016 E Maize Soil VWC'!$E$2:$E$4000=$AB74)*('2016 E Maize Soil VWC'!$F$2:$F$4000=AI$5),'2016 E Maize Soil VWC'!$G$2:$G$4000)</f>
        <v>0.34561259295339791</v>
      </c>
      <c r="AJ74" s="1" cm="1">
        <f t="array" ref="AJ74">_xlfn.XLOOKUP(1,('2016 E Maize Soil VWC'!$C$2:$C$4000=$AA74)*('2016 E Maize Soil VWC'!$E$2:$E$4000=$AB74)*('2016 E Maize Soil VWC'!$F$2:$F$4000=AJ$5),'2016 E Maize Soil VWC'!$G$2:$G$4000)</f>
        <v>0.33459850947980874</v>
      </c>
      <c r="AK74" s="1" cm="1">
        <f t="array" ref="AK74">_xlfn.XLOOKUP(1,('2016 E Maize Soil VWC'!$C$2:$C$4000=$AA74)*('2016 E Maize Soil VWC'!$E$2:$E$4000=$AB74)*('2016 E Maize Soil VWC'!$F$2:$F$4000=AK$5),'2016 E Maize Soil VWC'!$G$2:$G$4000)</f>
        <v>0.33878889882630941</v>
      </c>
      <c r="AL74" s="1" cm="1">
        <f t="array" ref="AL74">_xlfn.XLOOKUP(1,('2016 E Maize Soil VWC'!$C$2:$C$4000=$AA74)*('2016 E Maize Soil VWC'!$E$2:$E$4000=$AB74)*('2016 E Maize Soil VWC'!$F$2:$F$4000=AL$5),'2016 E Maize Soil VWC'!$G$2:$G$4000)</f>
        <v>0.3493450162511007</v>
      </c>
      <c r="AM74" s="1" cm="1">
        <f t="array" ref="AM74">_xlfn.XLOOKUP(1,('2016 E Maize Soil VWC'!$C$2:$C$4000=$AA74)*('2016 E Maize Soil VWC'!$E$2:$E$4000=$AB74)*('2016 E Maize Soil VWC'!$F$2:$F$4000=AM$5),'2016 E Maize Soil VWC'!$G$2:$G$4000)</f>
        <v>0.34032308508978232</v>
      </c>
      <c r="AN74" s="1" cm="1">
        <f t="array" ref="AN74">_xlfn.XLOOKUP(1,('2016 E Maize Soil VWC'!$C$2:$C$4000=$AA74)*('2016 E Maize Soil VWC'!$E$2:$E$4000=$AB74)*('2016 E Maize Soil VWC'!$F$2:$F$4000=AN$5),'2016 E Maize Soil VWC'!$G$2:$G$4000)</f>
        <v>0.33638457707012048</v>
      </c>
      <c r="AO74" s="1" cm="1">
        <f t="array" ref="AO74">_xlfn.XLOOKUP(1,('2016 E Maize Soil VWC'!$C$2:$C$4000=$AA74)*('2016 E Maize Soil VWC'!$E$2:$E$4000=$AB74)*('2016 E Maize Soil VWC'!$F$2:$F$4000=AO$5),'2016 E Maize Soil VWC'!$G$2:$G$4000)</f>
        <v>0.32891973047471496</v>
      </c>
      <c r="AP74" s="1" cm="1">
        <f t="array" ref="AP74">_xlfn.XLOOKUP(1,('2016 E Maize Soil VWC'!$C$2:$C$4000=$AA74)*('2016 E Maize Soil VWC'!$E$2:$E$4000=$AB74)*('2016 E Maize Soil VWC'!$F$2:$F$4000=AP$5),'2016 E Maize Soil VWC'!$G$2:$G$4000)</f>
        <v>0.34025439018246267</v>
      </c>
      <c r="AQ74" s="1" cm="1">
        <f t="array" ref="AQ74">_xlfn.XLOOKUP(1,('2016 E Maize Soil VWC'!$C$2:$C$4000=$AA74)*('2016 E Maize Soil VWC'!$E$2:$E$4000=$AB74)*('2016 E Maize Soil VWC'!$F$2:$F$4000=AQ$5),'2016 E Maize Soil VWC'!$G$2:$G$4000)</f>
        <v>0.31584479978153529</v>
      </c>
      <c r="AR74" s="1" cm="1">
        <f t="array" ref="AR74">_xlfn.XLOOKUP(1,('2016 E Maize Soil VWC'!$C$2:$C$4000=$AA74)*('2016 E Maize Soil VWC'!$E$2:$E$4000=$AB74)*('2016 E Maize Soil VWC'!$F$2:$F$4000=AR$5),'2016 E Maize Soil VWC'!$G$2:$G$4000)</f>
        <v>0.31559291845469645</v>
      </c>
      <c r="AS74" s="1" cm="1">
        <f t="array" ref="AS74">_xlfn.XLOOKUP(1,('2016 E Maize Soil VWC'!$C$2:$C$4000=$AA74)*('2016 E Maize Soil VWC'!$E$2:$E$4000=$AB74)*('2016 E Maize Soil VWC'!$F$2:$F$4000=AS$5),'2016 E Maize Soil VWC'!$G$2:$G$4000)</f>
        <v>0.34169698323617603</v>
      </c>
      <c r="AT74" s="1" cm="1">
        <f t="array" ref="AT74">_xlfn.XLOOKUP(1,('2016 E Maize Soil VWC'!$C$2:$C$4000=$AA74)*('2016 E Maize Soil VWC'!$E$2:$E$4000=$AB74)*('2016 E Maize Soil VWC'!$F$2:$F$4000=AT$5),'2016 E Maize Soil VWC'!$G$2:$G$4000)</f>
        <v>0.33482749250420768</v>
      </c>
      <c r="AU74" s="1" cm="1">
        <f t="array" ref="AU74">_xlfn.XLOOKUP(1,('2016 E Maize Soil VWC'!$C$2:$C$4000=$AA74)*('2016 E Maize Soil VWC'!$E$2:$E$4000=$AB74)*('2016 E Maize Soil VWC'!$F$2:$F$4000=AU$5),'2016 E Maize Soil VWC'!$G$2:$G$4000)</f>
        <v>0.33311011982121563</v>
      </c>
      <c r="AV74" s="1" cm="1">
        <f t="array" ref="AV74">_xlfn.XLOOKUP(1,('2016 E Maize Soil VWC'!$C$2:$C$4000=$AA74)*('2016 E Maize Soil VWC'!$E$2:$E$4000=$AB74)*('2016 E Maize Soil VWC'!$F$2:$F$4000=AV$5),'2016 E Maize Soil VWC'!$G$2:$G$4000)</f>
        <v>0.33349939096269382</v>
      </c>
      <c r="BN74" s="15"/>
    </row>
    <row r="75" spans="25:66" x14ac:dyDescent="0.25">
      <c r="AA75" s="18">
        <f t="shared" si="13"/>
        <v>42549</v>
      </c>
      <c r="AB75" s="1">
        <f t="shared" si="14"/>
        <v>90</v>
      </c>
      <c r="AC75" s="1" cm="1">
        <f t="array" ref="AC75">_xlfn.XLOOKUP(1,('2016 E Maize Soil VWC'!$C$2:$C$4000=$AA75)*('2016 E Maize Soil VWC'!$E$2:$E$4000=$AB75)*('2016 E Maize Soil VWC'!$F$2:$F$4000=AC$5),'2016 E Maize Soil VWC'!$G$2:$G$4000)</f>
        <v>0.34080394944102016</v>
      </c>
      <c r="AD75" s="1" cm="1">
        <f t="array" ref="AD75">_xlfn.XLOOKUP(1,('2016 E Maize Soil VWC'!$C$2:$C$4000=$AA75)*('2016 E Maize Soil VWC'!$E$2:$E$4000=$AB75)*('2016 E Maize Soil VWC'!$F$2:$F$4000=AD$5),'2016 E Maize Soil VWC'!$G$2:$G$4000)</f>
        <v>0.34435318631920375</v>
      </c>
      <c r="AE75" s="1" cm="1">
        <f t="array" ref="AE75">_xlfn.XLOOKUP(1,('2016 E Maize Soil VWC'!$C$2:$C$4000=$AA75)*('2016 E Maize Soil VWC'!$E$2:$E$4000=$AB75)*('2016 E Maize Soil VWC'!$F$2:$F$4000=AE$5),'2016 E Maize Soil VWC'!$G$2:$G$4000)</f>
        <v>0.33210259451386026</v>
      </c>
      <c r="AF75" s="1" cm="1">
        <f t="array" ref="AF75">_xlfn.XLOOKUP(1,('2016 E Maize Soil VWC'!$C$2:$C$4000=$AA75)*('2016 E Maize Soil VWC'!$E$2:$E$4000=$AB75)*('2016 E Maize Soil VWC'!$F$2:$F$4000=AF$5),'2016 E Maize Soil VWC'!$G$2:$G$4000)</f>
        <v>0.33311011982121563</v>
      </c>
      <c r="AG75" s="1" cm="1">
        <f t="array" ref="AG75">_xlfn.XLOOKUP(1,('2016 E Maize Soil VWC'!$C$2:$C$4000=$AA75)*('2016 E Maize Soil VWC'!$E$2:$E$4000=$AB75)*('2016 E Maize Soil VWC'!$F$2:$F$4000=AG$5),'2016 E Maize Soil VWC'!$G$2:$G$4000)</f>
        <v>0.3359953059286423</v>
      </c>
      <c r="AH75" s="1" cm="1">
        <f t="array" ref="AH75">_xlfn.XLOOKUP(1,('2016 E Maize Soil VWC'!$C$2:$C$4000=$AA75)*('2016 E Maize Soil VWC'!$E$2:$E$4000=$AB75)*('2016 E Maize Soil VWC'!$F$2:$F$4000=AH$5),'2016 E Maize Soil VWC'!$G$2:$G$4000)</f>
        <v>0.32596584945996859</v>
      </c>
      <c r="AI75" s="1" cm="1">
        <f t="array" ref="AI75">_xlfn.XLOOKUP(1,('2016 E Maize Soil VWC'!$C$2:$C$4000=$AA75)*('2016 E Maize Soil VWC'!$E$2:$E$4000=$AB75)*('2016 E Maize Soil VWC'!$F$2:$F$4000=AI$5),'2016 E Maize Soil VWC'!$G$2:$G$4000)</f>
        <v>0.34199466116789462</v>
      </c>
      <c r="AJ75" s="1" cm="1">
        <f t="array" ref="AJ75">_xlfn.XLOOKUP(1,('2016 E Maize Soil VWC'!$C$2:$C$4000=$AA75)*('2016 E Maize Soil VWC'!$E$2:$E$4000=$AB75)*('2016 E Maize Soil VWC'!$F$2:$F$4000=AJ$5),'2016 E Maize Soil VWC'!$G$2:$G$4000)</f>
        <v>0.33805615314823284</v>
      </c>
      <c r="AK75" s="1" cm="1">
        <f t="array" ref="AK75">_xlfn.XLOOKUP(1,('2016 E Maize Soil VWC'!$C$2:$C$4000=$AA75)*('2016 E Maize Soil VWC'!$E$2:$E$4000=$AB75)*('2016 E Maize Soil VWC'!$F$2:$F$4000=AK$5),'2016 E Maize Soil VWC'!$G$2:$G$4000)</f>
        <v>0.33537705176276517</v>
      </c>
      <c r="AL75" s="1" cm="1">
        <f t="array" ref="AL75">_xlfn.XLOOKUP(1,('2016 E Maize Soil VWC'!$C$2:$C$4000=$AA75)*('2016 E Maize Soil VWC'!$E$2:$E$4000=$AB75)*('2016 E Maize Soil VWC'!$F$2:$F$4000=AL$5),'2016 E Maize Soil VWC'!$G$2:$G$4000)</f>
        <v>0.34389522027040587</v>
      </c>
      <c r="AM75" s="1" cm="1">
        <f t="array" ref="AM75">_xlfn.XLOOKUP(1,('2016 E Maize Soil VWC'!$C$2:$C$4000=$AA75)*('2016 E Maize Soil VWC'!$E$2:$E$4000=$AB75)*('2016 E Maize Soil VWC'!$F$2:$F$4000=AM$5),'2016 E Maize Soil VWC'!$G$2:$G$4000)</f>
        <v>0.3359266110213226</v>
      </c>
      <c r="AN75" s="1" cm="1">
        <f t="array" ref="AN75">_xlfn.XLOOKUP(1,('2016 E Maize Soil VWC'!$C$2:$C$4000=$AA75)*('2016 E Maize Soil VWC'!$E$2:$E$4000=$AB75)*('2016 E Maize Soil VWC'!$F$2:$F$4000=AN$5),'2016 E Maize Soil VWC'!$G$2:$G$4000)</f>
        <v>0.34013989867026317</v>
      </c>
      <c r="AO75" s="1" cm="1">
        <f t="array" ref="AO75">_xlfn.XLOOKUP(1,('2016 E Maize Soil VWC'!$C$2:$C$4000=$AA75)*('2016 E Maize Soil VWC'!$E$2:$E$4000=$AB75)*('2016 E Maize Soil VWC'!$F$2:$F$4000=AO$5),'2016 E Maize Soil VWC'!$G$2:$G$4000)</f>
        <v>0.33086608618210595</v>
      </c>
      <c r="AP75" s="1" cm="1">
        <f t="array" ref="AP75">_xlfn.XLOOKUP(1,('2016 E Maize Soil VWC'!$C$2:$C$4000=$AA75)*('2016 E Maize Soil VWC'!$E$2:$E$4000=$AB75)*('2016 E Maize Soil VWC'!$F$2:$F$4000=AP$5),'2016 E Maize Soil VWC'!$G$2:$G$4000)</f>
        <v>0.3306828997625868</v>
      </c>
      <c r="AQ75" s="1" cm="1">
        <f t="array" ref="AQ75">_xlfn.XLOOKUP(1,('2016 E Maize Soil VWC'!$C$2:$C$4000=$AA75)*('2016 E Maize Soil VWC'!$E$2:$E$4000=$AB75)*('2016 E Maize Soil VWC'!$F$2:$F$4000=AQ$5),'2016 E Maize Soil VWC'!$G$2:$G$4000)</f>
        <v>0.32120300255247053</v>
      </c>
      <c r="AR75" s="1" cm="1">
        <f t="array" ref="AR75">_xlfn.XLOOKUP(1,('2016 E Maize Soil VWC'!$C$2:$C$4000=$AA75)*('2016 E Maize Soil VWC'!$E$2:$E$4000=$AB75)*('2016 E Maize Soil VWC'!$F$2:$F$4000=AR$5),'2016 E Maize Soil VWC'!$G$2:$G$4000)</f>
        <v>0.32120300255247053</v>
      </c>
      <c r="AS75" s="1" cm="1">
        <f t="array" ref="AS75">_xlfn.XLOOKUP(1,('2016 E Maize Soil VWC'!$C$2:$C$4000=$AA75)*('2016 E Maize Soil VWC'!$E$2:$E$4000=$AB75)*('2016 E Maize Soil VWC'!$F$2:$F$4000=AS$5),'2016 E Maize Soil VWC'!$G$2:$G$4000)</f>
        <v>0.3393613563873068</v>
      </c>
      <c r="AT75" s="1" cm="1">
        <f t="array" ref="AT75">_xlfn.XLOOKUP(1,('2016 E Maize Soil VWC'!$C$2:$C$4000=$AA75)*('2016 E Maize Soil VWC'!$E$2:$E$4000=$AB75)*('2016 E Maize Soil VWC'!$F$2:$F$4000=AT$5),'2016 E Maize Soil VWC'!$G$2:$G$4000)</f>
        <v>0.33381996719685231</v>
      </c>
      <c r="AU75" s="1" cm="1">
        <f t="array" ref="AU75">_xlfn.XLOOKUP(1,('2016 E Maize Soil VWC'!$C$2:$C$4000=$AA75)*('2016 E Maize Soil VWC'!$E$2:$E$4000=$AB75)*('2016 E Maize Soil VWC'!$F$2:$F$4000=AU$5),'2016 E Maize Soil VWC'!$G$2:$G$4000)</f>
        <v>0.33262925546997785</v>
      </c>
      <c r="AV75" s="1" cm="1">
        <f t="array" ref="AV75">_xlfn.XLOOKUP(1,('2016 E Maize Soil VWC'!$C$2:$C$4000=$AA75)*('2016 E Maize Soil VWC'!$E$2:$E$4000=$AB75)*('2016 E Maize Soil VWC'!$F$2:$F$4000=AV$5),'2016 E Maize Soil VWC'!$G$2:$G$4000)</f>
        <v>0.33292693340169649</v>
      </c>
      <c r="BN75" s="15"/>
    </row>
    <row r="76" spans="25:66" x14ac:dyDescent="0.25">
      <c r="AA76" s="18">
        <f t="shared" si="13"/>
        <v>42549</v>
      </c>
      <c r="AB76" s="1">
        <f t="shared" si="14"/>
        <v>110</v>
      </c>
      <c r="AC76" s="1" cm="1">
        <f t="array" ref="AC76">_xlfn.XLOOKUP(1,('2016 E Maize Soil VWC'!$C$2:$C$4000=$AA76)*('2016 E Maize Soil VWC'!$E$2:$E$4000=$AB76)*('2016 E Maize Soil VWC'!$F$2:$F$4000=AC$5),'2016 E Maize Soil VWC'!$G$2:$G$4000)</f>
        <v>0.34389522027040587</v>
      </c>
      <c r="AD76" s="1" cm="1">
        <f t="array" ref="AD76">_xlfn.XLOOKUP(1,('2016 E Maize Soil VWC'!$C$2:$C$4000=$AA76)*('2016 E Maize Soil VWC'!$E$2:$E$4000=$AB76)*('2016 E Maize Soil VWC'!$F$2:$F$4000=AD$5),'2016 E Maize Soil VWC'!$G$2:$G$4000)</f>
        <v>0.34055206811418126</v>
      </c>
      <c r="AE76" s="1" cm="1">
        <f t="array" ref="AE76">_xlfn.XLOOKUP(1,('2016 E Maize Soil VWC'!$C$2:$C$4000=$AA76)*('2016 E Maize Soil VWC'!$E$2:$E$4000=$AB76)*('2016 E Maize Soil VWC'!$F$2:$F$4000=AE$5),'2016 E Maize Soil VWC'!$G$2:$G$4000)</f>
        <v>0.32997305238695007</v>
      </c>
      <c r="AF76" s="1" cm="1">
        <f t="array" ref="AF76">_xlfn.XLOOKUP(1,('2016 E Maize Soil VWC'!$C$2:$C$4000=$AA76)*('2016 E Maize Soil VWC'!$E$2:$E$4000=$AB76)*('2016 E Maize Soil VWC'!$F$2:$F$4000=AF$5),'2016 E Maize Soil VWC'!$G$2:$G$4000)</f>
        <v>0.34064366132394086</v>
      </c>
      <c r="AG76" s="1" cm="1">
        <f t="array" ref="AG76">_xlfn.XLOOKUP(1,('2016 E Maize Soil VWC'!$C$2:$C$4000=$AA76)*('2016 E Maize Soil VWC'!$E$2:$E$4000=$AB76)*('2016 E Maize Soil VWC'!$F$2:$F$4000=AG$5),'2016 E Maize Soil VWC'!$G$2:$G$4000)</f>
        <v>0.34004830546050357</v>
      </c>
      <c r="AH76" s="1" cm="1">
        <f t="array" ref="AH76">_xlfn.XLOOKUP(1,('2016 E Maize Soil VWC'!$C$2:$C$4000=$AA76)*('2016 E Maize Soil VWC'!$E$2:$E$4000=$AB76)*('2016 E Maize Soil VWC'!$F$2:$F$4000=AH$5),'2016 E Maize Soil VWC'!$G$2:$G$4000)</f>
        <v>0.32601164606484839</v>
      </c>
      <c r="AI76" s="1" cm="1">
        <f t="array" ref="AI76">_xlfn.XLOOKUP(1,('2016 E Maize Soil VWC'!$C$2:$C$4000=$AA76)*('2016 E Maize Soil VWC'!$E$2:$E$4000=$AB76)*('2016 E Maize Soil VWC'!$F$2:$F$4000=AI$5),'2016 E Maize Soil VWC'!$G$2:$G$4000)</f>
        <v>0.34357464403624732</v>
      </c>
      <c r="AJ76" s="1" cm="1">
        <f t="array" ref="AJ76">_xlfn.XLOOKUP(1,('2016 E Maize Soil VWC'!$C$2:$C$4000=$AA76)*('2016 E Maize Soil VWC'!$E$2:$E$4000=$AB76)*('2016 E Maize Soil VWC'!$F$2:$F$4000=AJ$5),'2016 E Maize Soil VWC'!$G$2:$G$4000)</f>
        <v>0.34291059326549039</v>
      </c>
      <c r="AK76" s="1" cm="1">
        <f t="array" ref="AK76">_xlfn.XLOOKUP(1,('2016 E Maize Soil VWC'!$C$2:$C$4000=$AA76)*('2016 E Maize Soil VWC'!$E$2:$E$4000=$AB76)*('2016 E Maize Soil VWC'!$F$2:$F$4000=AK$5),'2016 E Maize Soil VWC'!$G$2:$G$4000)</f>
        <v>0.33752949219211525</v>
      </c>
      <c r="AL76" s="1" cm="1">
        <f t="array" ref="AL76">_xlfn.XLOOKUP(1,('2016 E Maize Soil VWC'!$C$2:$C$4000=$AA76)*('2016 E Maize Soil VWC'!$E$2:$E$4000=$AB76)*('2016 E Maize Soil VWC'!$F$2:$F$4000=AL$5),'2016 E Maize Soil VWC'!$G$2:$G$4000)</f>
        <v>0.34043757660198182</v>
      </c>
      <c r="AM76" s="1" cm="1">
        <f t="array" ref="AM76">_xlfn.XLOOKUP(1,('2016 E Maize Soil VWC'!$C$2:$C$4000=$AA76)*('2016 E Maize Soil VWC'!$E$2:$E$4000=$AB76)*('2016 E Maize Soil VWC'!$F$2:$F$4000=AM$5),'2016 E Maize Soil VWC'!$G$2:$G$4000)</f>
        <v>0.327385544211242</v>
      </c>
      <c r="AN76" s="1" cm="1">
        <f t="array" ref="AN76">_xlfn.XLOOKUP(1,('2016 E Maize Soil VWC'!$C$2:$C$4000=$AA76)*('2016 E Maize Soil VWC'!$E$2:$E$4000=$AB76)*('2016 E Maize Soil VWC'!$F$2:$F$4000=AN$5),'2016 E Maize Soil VWC'!$G$2:$G$4000)</f>
        <v>0.33649906858231998</v>
      </c>
      <c r="AO76" s="1" cm="1">
        <f t="array" ref="AO76">_xlfn.XLOOKUP(1,('2016 E Maize Soil VWC'!$C$2:$C$4000=$AA76)*('2016 E Maize Soil VWC'!$E$2:$E$4000=$AB76)*('2016 E Maize Soil VWC'!$F$2:$F$4000=AO$5),'2016 E Maize Soil VWC'!$G$2:$G$4000)</f>
        <v>0.33473589929444808</v>
      </c>
      <c r="AP76" s="1" cm="1">
        <f t="array" ref="AP76">_xlfn.XLOOKUP(1,('2016 E Maize Soil VWC'!$C$2:$C$4000=$AA76)*('2016 E Maize Soil VWC'!$E$2:$E$4000=$AB76)*('2016 E Maize Soil VWC'!$F$2:$F$4000=AP$5),'2016 E Maize Soil VWC'!$G$2:$G$4000)</f>
        <v>0.32864495084543621</v>
      </c>
      <c r="AQ76" s="1" cm="1">
        <f t="array" ref="AQ76">_xlfn.XLOOKUP(1,('2016 E Maize Soil VWC'!$C$2:$C$4000=$AA76)*('2016 E Maize Soil VWC'!$E$2:$E$4000=$AB76)*('2016 E Maize Soil VWC'!$F$2:$F$4000=AQ$5),'2016 E Maize Soil VWC'!$G$2:$G$4000)</f>
        <v>0.32788930686491968</v>
      </c>
      <c r="AR76" s="1" cm="1">
        <f t="array" ref="AR76">_xlfn.XLOOKUP(1,('2016 E Maize Soil VWC'!$C$2:$C$4000=$AA76)*('2016 E Maize Soil VWC'!$E$2:$E$4000=$AB76)*('2016 E Maize Soil VWC'!$F$2:$F$4000=AR$5),'2016 E Maize Soil VWC'!$G$2:$G$4000)</f>
        <v>0.32626352739168718</v>
      </c>
      <c r="AS76" s="1" cm="1">
        <f t="array" ref="AS76">_xlfn.XLOOKUP(1,('2016 E Maize Soil VWC'!$C$2:$C$4000=$AA76)*('2016 E Maize Soil VWC'!$E$2:$E$4000=$AB76)*('2016 E Maize Soil VWC'!$F$2:$F$4000=AS$5),'2016 E Maize Soil VWC'!$G$2:$G$4000)</f>
        <v>0.33869730561654982</v>
      </c>
      <c r="AT76" s="1" cm="1">
        <f t="array" ref="AT76">_xlfn.XLOOKUP(1,('2016 E Maize Soil VWC'!$C$2:$C$4000=$AA76)*('2016 E Maize Soil VWC'!$E$2:$E$4000=$AB76)*('2016 E Maize Soil VWC'!$F$2:$F$4000=AT$5),'2016 E Maize Soil VWC'!$G$2:$G$4000)</f>
        <v>0.33977352583122489</v>
      </c>
      <c r="AU76" s="1" cm="1">
        <f t="array" ref="AU76">_xlfn.XLOOKUP(1,('2016 E Maize Soil VWC'!$C$2:$C$4000=$AA76)*('2016 E Maize Soil VWC'!$E$2:$E$4000=$AB76)*('2016 E Maize Soil VWC'!$F$2:$F$4000=AU$5),'2016 E Maize Soil VWC'!$G$2:$G$4000)</f>
        <v>0.33949874620194609</v>
      </c>
      <c r="AV76" s="1" cm="1">
        <f t="array" ref="AV76">_xlfn.XLOOKUP(1,('2016 E Maize Soil VWC'!$C$2:$C$4000=$AA76)*('2016 E Maize Soil VWC'!$E$2:$E$4000=$AB76)*('2016 E Maize Soil VWC'!$F$2:$F$4000=AV$5),'2016 E Maize Soil VWC'!$G$2:$G$4000)</f>
        <v>0.33214839111874006</v>
      </c>
      <c r="BN76" s="15"/>
    </row>
    <row r="77" spans="25:66" x14ac:dyDescent="0.25">
      <c r="AA77" s="18">
        <f t="shared" si="13"/>
        <v>42549</v>
      </c>
      <c r="AB77" s="1">
        <f t="shared" si="14"/>
        <v>130</v>
      </c>
      <c r="AC77" s="1" cm="1">
        <f t="array" ref="AC77">_xlfn.XLOOKUP(1,('2016 E Maize Soil VWC'!$C$2:$C$4000=$AA77)*('2016 E Maize Soil VWC'!$E$2:$E$4000=$AB77)*('2016 E Maize Soil VWC'!$F$2:$F$4000=AC$5),'2016 E Maize Soil VWC'!$G$2:$G$4000)</f>
        <v>0.31358407797853255</v>
      </c>
      <c r="AD77" s="1" cm="1">
        <f t="array" ref="AD77">_xlfn.XLOOKUP(1,('2016 E Maize Soil VWC'!$C$2:$C$4000=$AA77)*('2016 E Maize Soil VWC'!$E$2:$E$4000=$AB77)*('2016 E Maize Soil VWC'!$F$2:$F$4000=AD$5),'2016 E Maize Soil VWC'!$G$2:$G$4000)</f>
        <v>0.31422640664534041</v>
      </c>
      <c r="AE77" s="1" cm="1">
        <f t="array" ref="AE77">_xlfn.XLOOKUP(1,('2016 E Maize Soil VWC'!$C$2:$C$4000=$AA77)*('2016 E Maize Soil VWC'!$E$2:$E$4000=$AB77)*('2016 E Maize Soil VWC'!$F$2:$F$4000=AE$5),'2016 E Maize Soil VWC'!$G$2:$G$4000)</f>
        <v>0.30830919710868626</v>
      </c>
      <c r="AF77" s="1" cm="1">
        <f t="array" ref="AF77">_xlfn.XLOOKUP(1,('2016 E Maize Soil VWC'!$C$2:$C$4000=$AA77)*('2016 E Maize Soil VWC'!$E$2:$E$4000=$AB77)*('2016 E Maize Soil VWC'!$F$2:$F$4000=AF$5),'2016 E Maize Soil VWC'!$G$2:$G$4000)</f>
        <v>0.31025564761416458</v>
      </c>
      <c r="AG77" s="1" cm="1">
        <f t="array" ref="AG77">_xlfn.XLOOKUP(1,('2016 E Maize Soil VWC'!$C$2:$C$4000=$AA77)*('2016 E Maize Soil VWC'!$E$2:$E$4000=$AB77)*('2016 E Maize Soil VWC'!$F$2:$F$4000=AG$5),'2016 E Maize Soil VWC'!$G$2:$G$4000)</f>
        <v>0.31683465032268138</v>
      </c>
      <c r="AH77" s="1" cm="1">
        <f t="array" ref="AH77">_xlfn.XLOOKUP(1,('2016 E Maize Soil VWC'!$C$2:$C$4000=$AA77)*('2016 E Maize Soil VWC'!$E$2:$E$4000=$AB77)*('2016 E Maize Soil VWC'!$F$2:$F$4000=AH$5),'2016 E Maize Soil VWC'!$G$2:$G$4000)</f>
        <v>0.30928242236142539</v>
      </c>
      <c r="AI77" s="1" cm="1">
        <f t="array" ref="AI77">_xlfn.XLOOKUP(1,('2016 E Maize Soil VWC'!$C$2:$C$4000=$AA77)*('2016 E Maize Soil VWC'!$E$2:$E$4000=$AB77)*('2016 E Maize Soil VWC'!$F$2:$F$4000=AI$5),'2016 E Maize Soil VWC'!$G$2:$G$4000)</f>
        <v>0.3179635916158588</v>
      </c>
      <c r="AJ77" s="1" cm="1">
        <f t="array" ref="AJ77">_xlfn.XLOOKUP(1,('2016 E Maize Soil VWC'!$C$2:$C$4000=$AA77)*('2016 E Maize Soil VWC'!$E$2:$E$4000=$AB77)*('2016 E Maize Soil VWC'!$F$2:$F$4000=AJ$5),'2016 E Maize Soil VWC'!$G$2:$G$4000)</f>
        <v>0.3339828792759455</v>
      </c>
      <c r="AK77" s="1" cm="1">
        <f t="array" ref="AK77">_xlfn.XLOOKUP(1,('2016 E Maize Soil VWC'!$C$2:$C$4000=$AA77)*('2016 E Maize Soil VWC'!$E$2:$E$4000=$AB77)*('2016 E Maize Soil VWC'!$F$2:$F$4000=AK$5),'2016 E Maize Soil VWC'!$G$2:$G$4000)</f>
        <v>0.30945760290691848</v>
      </c>
      <c r="AL77" s="1" cm="1">
        <f t="array" ref="AL77">_xlfn.XLOOKUP(1,('2016 E Maize Soil VWC'!$C$2:$C$4000=$AA77)*('2016 E Maize Soil VWC'!$E$2:$E$4000=$AB77)*('2016 E Maize Soil VWC'!$F$2:$F$4000=AL$5),'2016 E Maize Soil VWC'!$G$2:$G$4000)</f>
        <v>0.31860592028266665</v>
      </c>
      <c r="AM77" s="1" cm="1">
        <f t="array" ref="AM77">_xlfn.XLOOKUP(1,('2016 E Maize Soil VWC'!$C$2:$C$4000=$AA77)*('2016 E Maize Soil VWC'!$E$2:$E$4000=$AB77)*('2016 E Maize Soil VWC'!$F$2:$F$4000=AM$5),'2016 E Maize Soil VWC'!$G$2:$G$4000)</f>
        <v>0.3091656353310967</v>
      </c>
      <c r="AN77" s="1" cm="1">
        <f t="array" ref="AN77">_xlfn.XLOOKUP(1,('2016 E Maize Soil VWC'!$C$2:$C$4000=$AA77)*('2016 E Maize Soil VWC'!$E$2:$E$4000=$AB77)*('2016 E Maize Soil VWC'!$F$2:$F$4000=AN$5),'2016 E Maize Soil VWC'!$G$2:$G$4000)</f>
        <v>0.2990440927026094</v>
      </c>
      <c r="AO77" s="1" cm="1">
        <f t="array" ref="AO77">_xlfn.XLOOKUP(1,('2016 E Maize Soil VWC'!$C$2:$C$4000=$AA77)*('2016 E Maize Soil VWC'!$E$2:$E$4000=$AB77)*('2016 E Maize Soil VWC'!$F$2:$F$4000=AO$5),'2016 E Maize Soil VWC'!$G$2:$G$4000)</f>
        <v>0.31449890971610733</v>
      </c>
      <c r="AP77" s="1" cm="1">
        <f t="array" ref="AP77">_xlfn.XLOOKUP(1,('2016 E Maize Soil VWC'!$C$2:$C$4000=$AA77)*('2016 E Maize Soil VWC'!$E$2:$E$4000=$AB77)*('2016 E Maize Soil VWC'!$F$2:$F$4000=AP$5),'2016 E Maize Soil VWC'!$G$2:$G$4000)</f>
        <v>0.31268871074601251</v>
      </c>
      <c r="AQ77" s="1" cm="1">
        <f t="array" ref="AQ77">_xlfn.XLOOKUP(1,('2016 E Maize Soil VWC'!$C$2:$C$4000=$AA77)*('2016 E Maize Soil VWC'!$E$2:$E$4000=$AB77)*('2016 E Maize Soil VWC'!$F$2:$F$4000=AQ$5),'2016 E Maize Soil VWC'!$G$2:$G$4000)</f>
        <v>0.30595399199705747</v>
      </c>
      <c r="AR77" s="1" cm="1">
        <f t="array" ref="AR77">_xlfn.XLOOKUP(1,('2016 E Maize Soil VWC'!$C$2:$C$4000=$AA77)*('2016 E Maize Soil VWC'!$E$2:$E$4000=$AB77)*('2016 E Maize Soil VWC'!$F$2:$F$4000=AR$5),'2016 E Maize Soil VWC'!$G$2:$G$4000)</f>
        <v>0.30149662033951202</v>
      </c>
      <c r="AS77" s="1" cm="1">
        <f t="array" ref="AS77">_xlfn.XLOOKUP(1,('2016 E Maize Soil VWC'!$C$2:$C$4000=$AA77)*('2016 E Maize Soil VWC'!$E$2:$E$4000=$AB77)*('2016 E Maize Soil VWC'!$F$2:$F$4000=AS$5),'2016 E Maize Soil VWC'!$G$2:$G$4000)</f>
        <v>0.31159869846294463</v>
      </c>
      <c r="AT77" s="1" cm="1">
        <f t="array" ref="AT77">_xlfn.XLOOKUP(1,('2016 E Maize Soil VWC'!$C$2:$C$4000=$AA77)*('2016 E Maize Soil VWC'!$E$2:$E$4000=$AB77)*('2016 E Maize Soil VWC'!$F$2:$F$4000=AT$5),'2016 E Maize Soil VWC'!$G$2:$G$4000)</f>
        <v>0.31148191143261594</v>
      </c>
      <c r="AU77" s="1" cm="1">
        <f t="array" ref="AU77">_xlfn.XLOOKUP(1,('2016 E Maize Soil VWC'!$C$2:$C$4000=$AA77)*('2016 E Maize Soil VWC'!$E$2:$E$4000=$AB77)*('2016 E Maize Soil VWC'!$F$2:$F$4000=AU$5),'2016 E Maize Soil VWC'!$G$2:$G$4000)</f>
        <v>0.30679096571441311</v>
      </c>
      <c r="AV77" s="1" cm="1">
        <f t="array" ref="AV77">_xlfn.XLOOKUP(1,('2016 E Maize Soil VWC'!$C$2:$C$4000=$AA77)*('2016 E Maize Soil VWC'!$E$2:$E$4000=$AB77)*('2016 E Maize Soil VWC'!$F$2:$F$4000=AV$5),'2016 E Maize Soil VWC'!$G$2:$G$4000)</f>
        <v>0.30428004456234609</v>
      </c>
      <c r="BN77" s="15"/>
    </row>
    <row r="78" spans="25:66" x14ac:dyDescent="0.25">
      <c r="AA78" s="18">
        <f t="shared" si="13"/>
        <v>42549</v>
      </c>
      <c r="AB78" s="1">
        <f t="shared" si="14"/>
        <v>150</v>
      </c>
      <c r="AC78" s="1" cm="1">
        <f t="array" ref="AC78">_xlfn.XLOOKUP(1,('2016 E Maize Soil VWC'!$C$2:$C$4000=$AA78)*('2016 E Maize Soil VWC'!$E$2:$E$4000=$AB78)*('2016 E Maize Soil VWC'!$F$2:$F$4000=AC$5),'2016 E Maize Soil VWC'!$G$2:$G$4000)</f>
        <v>0.34268351303543365</v>
      </c>
      <c r="AD78" s="1" cm="1">
        <f t="array" ref="AD78">_xlfn.XLOOKUP(1,('2016 E Maize Soil VWC'!$C$2:$C$4000=$AA78)*('2016 E Maize Soil VWC'!$E$2:$E$4000=$AB78)*('2016 E Maize Soil VWC'!$F$2:$F$4000=AD$5),'2016 E Maize Soil VWC'!$G$2:$G$4000)</f>
        <v>0.33696094854932734</v>
      </c>
      <c r="AE78" s="1" cm="1">
        <f t="array" ref="AE78">_xlfn.XLOOKUP(1,('2016 E Maize Soil VWC'!$C$2:$C$4000=$AA78)*('2016 E Maize Soil VWC'!$E$2:$E$4000=$AB78)*('2016 E Maize Soil VWC'!$F$2:$F$4000=AE$5),'2016 E Maize Soil VWC'!$G$2:$G$4000)</f>
        <v>0.31802198513102314</v>
      </c>
      <c r="AF78" s="1" cm="1">
        <f t="array" ref="AF78">_xlfn.XLOOKUP(1,('2016 E Maize Soil VWC'!$C$2:$C$4000=$AA78)*('2016 E Maize Soil VWC'!$E$2:$E$4000=$AB78)*('2016 E Maize Soil VWC'!$F$2:$F$4000=AF$5),'2016 E Maize Soil VWC'!$G$2:$G$4000)</f>
        <v>0.30067911112721113</v>
      </c>
      <c r="AG78" s="1" cm="1">
        <f t="array" ref="AG78">_xlfn.XLOOKUP(1,('2016 E Maize Soil VWC'!$C$2:$C$4000=$AA78)*('2016 E Maize Soil VWC'!$E$2:$E$4000=$AB78)*('2016 E Maize Soil VWC'!$F$2:$F$4000=AG$5),'2016 E Maize Soil VWC'!$G$2:$G$4000)</f>
        <v>0.36136943788802572</v>
      </c>
      <c r="AH78" s="1" cm="1">
        <f t="array" ref="AH78">_xlfn.XLOOKUP(1,('2016 E Maize Soil VWC'!$C$2:$C$4000=$AA78)*('2016 E Maize Soil VWC'!$E$2:$E$4000=$AB78)*('2016 E Maize Soil VWC'!$F$2:$F$4000=AH$5),'2016 E Maize Soil VWC'!$G$2:$G$4000)</f>
        <v>0.34846447103670436</v>
      </c>
      <c r="AI78" s="1" cm="1">
        <f t="array" ref="AI78">_xlfn.XLOOKUP(1,('2016 E Maize Soil VWC'!$C$2:$C$4000=$AA78)*('2016 E Maize Soil VWC'!$E$2:$E$4000=$AB78)*('2016 E Maize Soil VWC'!$F$2:$F$4000=AI$5),'2016 E Maize Soil VWC'!$G$2:$G$4000)</f>
        <v>0.32890264345664705</v>
      </c>
      <c r="AJ78" s="1" cm="1">
        <f t="array" ref="AJ78">_xlfn.XLOOKUP(1,('2016 E Maize Soil VWC'!$C$2:$C$4000=$AA78)*('2016 E Maize Soil VWC'!$E$2:$E$4000=$AB78)*('2016 E Maize Soil VWC'!$F$2:$F$4000=AJ$5),'2016 E Maize Soil VWC'!$G$2:$G$4000)</f>
        <v>0.35039145703712793</v>
      </c>
      <c r="AK78" s="1" cm="1">
        <f t="array" ref="AK78">_xlfn.XLOOKUP(1,('2016 E Maize Soil VWC'!$C$2:$C$4000=$AA78)*('2016 E Maize Soil VWC'!$E$2:$E$4000=$AB78)*('2016 E Maize Soil VWC'!$F$2:$F$4000=AK$5),'2016 E Maize Soil VWC'!$G$2:$G$4000)</f>
        <v>0.33411913081132899</v>
      </c>
      <c r="AL78" s="1" cm="1">
        <f t="array" ref="AL78">_xlfn.XLOOKUP(1,('2016 E Maize Soil VWC'!$C$2:$C$4000=$AA78)*('2016 E Maize Soil VWC'!$E$2:$E$4000=$AB78)*('2016 E Maize Soil VWC'!$F$2:$F$4000=AL$5),'2016 E Maize Soil VWC'!$G$2:$G$4000)</f>
        <v>0.34790000039011565</v>
      </c>
      <c r="AM78" s="1" cm="1">
        <f t="array" ref="AM78">_xlfn.XLOOKUP(1,('2016 E Maize Soil VWC'!$C$2:$C$4000=$AA78)*('2016 E Maize Soil VWC'!$E$2:$E$4000=$AB78)*('2016 E Maize Soil VWC'!$F$2:$F$4000=AM$5),'2016 E Maize Soil VWC'!$G$2:$G$4000)</f>
        <v>0.34180761030796841</v>
      </c>
      <c r="AN78" s="1" cm="1">
        <f t="array" ref="AN78">_xlfn.XLOOKUP(1,('2016 E Maize Soil VWC'!$C$2:$C$4000=$AA78)*('2016 E Maize Soil VWC'!$E$2:$E$4000=$AB78)*('2016 E Maize Soil VWC'!$F$2:$F$4000=AN$5),'2016 E Maize Soil VWC'!$G$2:$G$4000)</f>
        <v>0.33705827107460129</v>
      </c>
      <c r="AO78" s="1" cm="1">
        <f t="array" ref="AO78">_xlfn.XLOOKUP(1,('2016 E Maize Soil VWC'!$C$2:$C$4000=$AA78)*('2016 E Maize Soil VWC'!$E$2:$E$4000=$AB78)*('2016 E Maize Soil VWC'!$F$2:$F$4000=AO$5),'2016 E Maize Soil VWC'!$G$2:$G$4000)</f>
        <v>0.30797830052275493</v>
      </c>
      <c r="AP78" s="1" cm="1">
        <f t="array" ref="AP78">_xlfn.XLOOKUP(1,('2016 E Maize Soil VWC'!$C$2:$C$4000=$AA78)*('2016 E Maize Soil VWC'!$E$2:$E$4000=$AB78)*('2016 E Maize Soil VWC'!$F$2:$F$4000=AP$5),'2016 E Maize Soil VWC'!$G$2:$G$4000)</f>
        <v>0.30836759062385055</v>
      </c>
      <c r="AQ78" s="1" cm="1">
        <f t="array" ref="AQ78">_xlfn.XLOOKUP(1,('2016 E Maize Soil VWC'!$C$2:$C$4000=$AA78)*('2016 E Maize Soil VWC'!$E$2:$E$4000=$AB78)*('2016 E Maize Soil VWC'!$F$2:$F$4000=AQ$5),'2016 E Maize Soil VWC'!$G$2:$G$4000)</f>
        <v>0.34102903010577712</v>
      </c>
      <c r="AR78" s="1" cm="1">
        <f t="array" ref="AR78">_xlfn.XLOOKUP(1,('2016 E Maize Soil VWC'!$C$2:$C$4000=$AA78)*('2016 E Maize Soil VWC'!$E$2:$E$4000=$AB78)*('2016 E Maize Soil VWC'!$F$2:$F$4000=AR$5),'2016 E Maize Soil VWC'!$G$2:$G$4000)</f>
        <v>0.32769584414325048</v>
      </c>
      <c r="AS78" s="1" cm="1">
        <f t="array" ref="AS78">_xlfn.XLOOKUP(1,('2016 E Maize Soil VWC'!$C$2:$C$4000=$AA78)*('2016 E Maize Soil VWC'!$E$2:$E$4000=$AB78)*('2016 E Maize Soil VWC'!$F$2:$F$4000=AS$5),'2016 E Maize Soil VWC'!$G$2:$G$4000)</f>
        <v>0.32594403868832</v>
      </c>
      <c r="AT78" s="1" cm="1">
        <f t="array" ref="AT78">_xlfn.XLOOKUP(1,('2016 E Maize Soil VWC'!$C$2:$C$4000=$AA78)*('2016 E Maize Soil VWC'!$E$2:$E$4000=$AB78)*('2016 E Maize Soil VWC'!$F$2:$F$4000=AT$5),'2016 E Maize Soil VWC'!$G$2:$G$4000)</f>
        <v>0.33184178371991935</v>
      </c>
      <c r="AU78" s="1" cm="1">
        <f t="array" ref="AU78">_xlfn.XLOOKUP(1,('2016 E Maize Soil VWC'!$C$2:$C$4000=$AA78)*('2016 E Maize Soil VWC'!$E$2:$E$4000=$AB78)*('2016 E Maize Soil VWC'!$F$2:$F$4000=AU$5),'2016 E Maize Soil VWC'!$G$2:$G$4000)</f>
        <v>0.33569575572076643</v>
      </c>
      <c r="AV78" s="1" cm="1">
        <f t="array" ref="AV78">_xlfn.XLOOKUP(1,('2016 E Maize Soil VWC'!$C$2:$C$4000=$AA78)*('2016 E Maize Soil VWC'!$E$2:$E$4000=$AB78)*('2016 E Maize Soil VWC'!$F$2:$F$4000=AV$5),'2016 E Maize Soil VWC'!$G$2:$G$4000)</f>
        <v>0.34971019936021053</v>
      </c>
      <c r="BN78" s="15"/>
    </row>
    <row r="79" spans="25:66" x14ac:dyDescent="0.25">
      <c r="AA79" s="18">
        <f t="shared" si="13"/>
        <v>42549</v>
      </c>
      <c r="AB79" s="1">
        <f t="shared" si="14"/>
        <v>170</v>
      </c>
      <c r="AC79" s="1" cm="1">
        <f t="array" ref="AC79">_xlfn.XLOOKUP(1,('2016 E Maize Soil VWC'!$C$2:$C$4000=$AA79)*('2016 E Maize Soil VWC'!$E$2:$E$4000=$AB79)*('2016 E Maize Soil VWC'!$F$2:$F$4000=AC$5),'2016 E Maize Soil VWC'!$G$2:$G$4000)</f>
        <v>0.28481553950756272</v>
      </c>
      <c r="AD79" s="1" cm="1">
        <f t="array" ref="AD79">_xlfn.XLOOKUP(1,('2016 E Maize Soil VWC'!$C$2:$C$4000=$AA79)*('2016 E Maize Soil VWC'!$E$2:$E$4000=$AB79)*('2016 E Maize Soil VWC'!$F$2:$F$4000=AD$5),'2016 E Maize Soil VWC'!$G$2:$G$4000)</f>
        <v>0.27905404601134681</v>
      </c>
      <c r="AE79" s="1" cm="1">
        <f t="array" ref="AE79">_xlfn.XLOOKUP(1,('2016 E Maize Soil VWC'!$C$2:$C$4000=$AA79)*('2016 E Maize Soil VWC'!$E$2:$E$4000=$AB79)*('2016 E Maize Soil VWC'!$F$2:$F$4000=AE$5),'2016 E Maize Soil VWC'!$G$2:$G$4000)</f>
        <v>0.29466457906528309</v>
      </c>
      <c r="AF79" s="1" cm="1">
        <f t="array" ref="AF79">_xlfn.XLOOKUP(1,('2016 E Maize Soil VWC'!$C$2:$C$4000=$AA79)*('2016 E Maize Soil VWC'!$E$2:$E$4000=$AB79)*('2016 E Maize Soil VWC'!$F$2:$F$4000=AF$5),'2016 E Maize Soil VWC'!$G$2:$G$4000)</f>
        <v>0.29503440466132397</v>
      </c>
      <c r="AG79" s="1" cm="1">
        <f t="array" ref="AG79">_xlfn.XLOOKUP(1,('2016 E Maize Soil VWC'!$C$2:$C$4000=$AA79)*('2016 E Maize Soil VWC'!$E$2:$E$4000=$AB79)*('2016 E Maize Soil VWC'!$F$2:$F$4000=AG$5),'2016 E Maize Soil VWC'!$G$2:$G$4000)</f>
        <v>0.33055712638630363</v>
      </c>
      <c r="AH79" s="1" cm="1">
        <f t="array" ref="AH79">_xlfn.XLOOKUP(1,('2016 E Maize Soil VWC'!$C$2:$C$4000=$AA79)*('2016 E Maize Soil VWC'!$E$2:$E$4000=$AB79)*('2016 E Maize Soil VWC'!$F$2:$F$4000=AH$5),'2016 E Maize Soil VWC'!$G$2:$G$4000)</f>
        <v>0.34028937891369532</v>
      </c>
      <c r="AI79" s="1" cm="1">
        <f t="array" ref="AI79">_xlfn.XLOOKUP(1,('2016 E Maize Soil VWC'!$C$2:$C$4000=$AA79)*('2016 E Maize Soil VWC'!$E$2:$E$4000=$AB79)*('2016 E Maize Soil VWC'!$F$2:$F$4000=AI$5),'2016 E Maize Soil VWC'!$G$2:$G$4000)</f>
        <v>0.30176912341027901</v>
      </c>
      <c r="AJ79" s="1" cm="1">
        <f t="array" ref="AJ79">_xlfn.XLOOKUP(1,('2016 E Maize Soil VWC'!$C$2:$C$4000=$AA79)*('2016 E Maize Soil VWC'!$E$2:$E$4000=$AB79)*('2016 E Maize Soil VWC'!$F$2:$F$4000=AJ$5),'2016 E Maize Soil VWC'!$G$2:$G$4000)</f>
        <v>0.31167655648316378</v>
      </c>
      <c r="AK79" s="1" cm="1">
        <f t="array" ref="AK79">_xlfn.XLOOKUP(1,('2016 E Maize Soil VWC'!$C$2:$C$4000=$AA79)*('2016 E Maize Soil VWC'!$E$2:$E$4000=$AB79)*('2016 E Maize Soil VWC'!$F$2:$F$4000=AK$5),'2016 E Maize Soil VWC'!$G$2:$G$4000)</f>
        <v>0.30513648278475658</v>
      </c>
      <c r="AL79" s="1" cm="1">
        <f t="array" ref="AL79">_xlfn.XLOOKUP(1,('2016 E Maize Soil VWC'!$C$2:$C$4000=$AA79)*('2016 E Maize Soil VWC'!$E$2:$E$4000=$AB79)*('2016 E Maize Soil VWC'!$F$2:$F$4000=AL$5),'2016 E Maize Soil VWC'!$G$2:$G$4000)</f>
        <v>0.31235781416008118</v>
      </c>
      <c r="AM79" s="1" cm="1">
        <f t="array" ref="AM79">_xlfn.XLOOKUP(1,('2016 E Maize Soil VWC'!$C$2:$C$4000=$AA79)*('2016 E Maize Soil VWC'!$E$2:$E$4000=$AB79)*('2016 E Maize Soil VWC'!$F$2:$F$4000=AM$5),'2016 E Maize Soil VWC'!$G$2:$G$4000)</f>
        <v>0.32458152333448514</v>
      </c>
      <c r="AN79" s="1" cm="1">
        <f t="array" ref="AN79">_xlfn.XLOOKUP(1,('2016 E Maize Soil VWC'!$C$2:$C$4000=$AA79)*('2016 E Maize Soil VWC'!$E$2:$E$4000=$AB79)*('2016 E Maize Soil VWC'!$F$2:$F$4000=AN$5),'2016 E Maize Soil VWC'!$G$2:$G$4000)</f>
        <v>0.33818721236777871</v>
      </c>
      <c r="AO79" s="1" cm="1">
        <f t="array" ref="AO79">_xlfn.XLOOKUP(1,('2016 E Maize Soil VWC'!$C$2:$C$4000=$AA79)*('2016 E Maize Soil VWC'!$E$2:$E$4000=$AB79)*('2016 E Maize Soil VWC'!$F$2:$F$4000=AO$5),'2016 E Maize Soil VWC'!$G$2:$G$4000)</f>
        <v>0.30655739165375573</v>
      </c>
      <c r="AP79" s="1" cm="1">
        <f t="array" ref="AP79">_xlfn.XLOOKUP(1,('2016 E Maize Soil VWC'!$C$2:$C$4000=$AA79)*('2016 E Maize Soil VWC'!$E$2:$E$4000=$AB79)*('2016 E Maize Soil VWC'!$F$2:$F$4000=AP$5),'2016 E Maize Soil VWC'!$G$2:$G$4000)</f>
        <v>0.32142827351561021</v>
      </c>
      <c r="AQ79" s="1" cm="1">
        <f t="array" ref="AQ79">_xlfn.XLOOKUP(1,('2016 E Maize Soil VWC'!$C$2:$C$4000=$AA79)*('2016 E Maize Soil VWC'!$E$2:$E$4000=$AB79)*('2016 E Maize Soil VWC'!$F$2:$F$4000=AQ$5),'2016 E Maize Soil VWC'!$G$2:$G$4000)</f>
        <v>0.33215321580079588</v>
      </c>
      <c r="AR79" s="1" cm="1">
        <f t="array" ref="AR79">_xlfn.XLOOKUP(1,('2016 E Maize Soil VWC'!$C$2:$C$4000=$AA79)*('2016 E Maize Soil VWC'!$E$2:$E$4000=$AB79)*('2016 E Maize Soil VWC'!$F$2:$F$4000=AR$5),'2016 E Maize Soil VWC'!$G$2:$G$4000)</f>
        <v>0.32319954347559554</v>
      </c>
      <c r="AS79" s="1" cm="1">
        <f t="array" ref="AS79">_xlfn.XLOOKUP(1,('2016 E Maize Soil VWC'!$C$2:$C$4000=$AA79)*('2016 E Maize Soil VWC'!$E$2:$E$4000=$AB79)*('2016 E Maize Soil VWC'!$F$2:$F$4000=AS$5),'2016 E Maize Soil VWC'!$G$2:$G$4000)</f>
        <v>0.31928717795958406</v>
      </c>
      <c r="AT79" s="1" cm="1">
        <f t="array" ref="AT79">_xlfn.XLOOKUP(1,('2016 E Maize Soil VWC'!$C$2:$C$4000=$AA79)*('2016 E Maize Soil VWC'!$E$2:$E$4000=$AB79)*('2016 E Maize Soil VWC'!$F$2:$F$4000=AT$5),'2016 E Maize Soil VWC'!$G$2:$G$4000)</f>
        <v>0.33166660317442626</v>
      </c>
      <c r="AU79" s="1" cm="1">
        <f t="array" ref="AU79">_xlfn.XLOOKUP(1,('2016 E Maize Soil VWC'!$C$2:$C$4000=$AA79)*('2016 E Maize Soil VWC'!$E$2:$E$4000=$AB79)*('2016 E Maize Soil VWC'!$F$2:$F$4000=AU$5),'2016 E Maize Soil VWC'!$G$2:$G$4000)</f>
        <v>0.31664000527213354</v>
      </c>
      <c r="AV79" s="1" cm="1">
        <f t="array" ref="AV79">_xlfn.XLOOKUP(1,('2016 E Maize Soil VWC'!$C$2:$C$4000=$AA79)*('2016 E Maize Soil VWC'!$E$2:$E$4000=$AB79)*('2016 E Maize Soil VWC'!$F$2:$F$4000=AV$5),'2016 E Maize Soil VWC'!$G$2:$G$4000)</f>
        <v>0.32086380286902155</v>
      </c>
      <c r="BN79" s="15"/>
    </row>
    <row r="80" spans="25:66" x14ac:dyDescent="0.25">
      <c r="AA80" s="18">
        <f t="shared" si="13"/>
        <v>42549</v>
      </c>
      <c r="AB80" s="1">
        <f t="shared" si="14"/>
        <v>190</v>
      </c>
      <c r="AC80" s="1" cm="1">
        <f t="array" ref="AC80">_xlfn.XLOOKUP(1,('2016 E Maize Soil VWC'!$C$2:$C$4000=$AA80)*('2016 E Maize Soil VWC'!$E$2:$E$4000=$AB80)*('2016 E Maize Soil VWC'!$F$2:$F$4000=AC$5),'2016 E Maize Soil VWC'!$G$2:$G$4000)</f>
        <v>0.29114150365036734</v>
      </c>
      <c r="AD80" s="1" cm="1">
        <f t="array" ref="AD80">_xlfn.XLOOKUP(1,('2016 E Maize Soil VWC'!$C$2:$C$4000=$AA80)*('2016 E Maize Soil VWC'!$E$2:$E$4000=$AB80)*('2016 E Maize Soil VWC'!$F$2:$F$4000=AD$5),'2016 E Maize Soil VWC'!$G$2:$G$4000)</f>
        <v>0.30075696914743033</v>
      </c>
      <c r="AE80" s="1" cm="1">
        <f t="array" ref="AE80">_xlfn.XLOOKUP(1,('2016 E Maize Soil VWC'!$C$2:$C$4000=$AA80)*('2016 E Maize Soil VWC'!$E$2:$E$4000=$AB80)*('2016 E Maize Soil VWC'!$F$2:$F$4000=AE$5),'2016 E Maize Soil VWC'!$G$2:$G$4000)</f>
        <v>0.3026060971276347</v>
      </c>
      <c r="AF80" s="1" cm="1">
        <f t="array" ref="AF80">_xlfn.XLOOKUP(1,('2016 E Maize Soil VWC'!$C$2:$C$4000=$AA80)*('2016 E Maize Soil VWC'!$E$2:$E$4000=$AB80)*('2016 E Maize Soil VWC'!$F$2:$F$4000=AF$5),'2016 E Maize Soil VWC'!$G$2:$G$4000)</f>
        <v>0.2990440927026094</v>
      </c>
      <c r="AG80" s="1" cm="1">
        <f t="array" ref="AG80">_xlfn.XLOOKUP(1,('2016 E Maize Soil VWC'!$C$2:$C$4000=$AA80)*('2016 E Maize Soil VWC'!$E$2:$E$4000=$AB80)*('2016 E Maize Soil VWC'!$F$2:$F$4000=AG$5),'2016 E Maize Soil VWC'!$G$2:$G$4000)</f>
        <v>0.3354037881449447</v>
      </c>
      <c r="AH80" s="1" cm="1">
        <f t="array" ref="AH80">_xlfn.XLOOKUP(1,('2016 E Maize Soil VWC'!$C$2:$C$4000=$AA80)*('2016 E Maize Soil VWC'!$E$2:$E$4000=$AB80)*('2016 E Maize Soil VWC'!$F$2:$F$4000=AH$5),'2016 E Maize Soil VWC'!$G$2:$G$4000)</f>
        <v>0.35467364814918029</v>
      </c>
      <c r="AI80" s="1" cm="1">
        <f t="array" ref="AI80">_xlfn.XLOOKUP(1,('2016 E Maize Soil VWC'!$C$2:$C$4000=$AA80)*('2016 E Maize Soil VWC'!$E$2:$E$4000=$AB80)*('2016 E Maize Soil VWC'!$F$2:$F$4000=AI$5),'2016 E Maize Soil VWC'!$G$2:$G$4000)</f>
        <v>0.29028506542795685</v>
      </c>
      <c r="AJ80" s="1" cm="1">
        <f t="array" ref="AJ80">_xlfn.XLOOKUP(1,('2016 E Maize Soil VWC'!$C$2:$C$4000=$AA80)*('2016 E Maize Soil VWC'!$E$2:$E$4000=$AB80)*('2016 E Maize Soil VWC'!$F$2:$F$4000=AJ$5),'2016 E Maize Soil VWC'!$G$2:$G$4000)</f>
        <v>0.29978374389469109</v>
      </c>
      <c r="AK80" s="1" cm="1">
        <f t="array" ref="AK80">_xlfn.XLOOKUP(1,('2016 E Maize Soil VWC'!$C$2:$C$4000=$AA80)*('2016 E Maize Soil VWC'!$E$2:$E$4000=$AB80)*('2016 E Maize Soil VWC'!$F$2:$F$4000=AK$5),'2016 E Maize Soil VWC'!$G$2:$G$4000)</f>
        <v>0.29400278589342044</v>
      </c>
      <c r="AL80" s="1" cm="1">
        <f t="array" ref="AL80">_xlfn.XLOOKUP(1,('2016 E Maize Soil VWC'!$C$2:$C$4000=$AA80)*('2016 E Maize Soil VWC'!$E$2:$E$4000=$AB80)*('2016 E Maize Soil VWC'!$F$2:$F$4000=AL$5),'2016 E Maize Soil VWC'!$G$2:$G$4000)</f>
        <v>0.2967667456111997</v>
      </c>
      <c r="AM80" s="1" cm="1">
        <f t="array" ref="AM80">_xlfn.XLOOKUP(1,('2016 E Maize Soil VWC'!$C$2:$C$4000=$AA80)*('2016 E Maize Soil VWC'!$E$2:$E$4000=$AB80)*('2016 E Maize Soil VWC'!$F$2:$F$4000=AM$5),'2016 E Maize Soil VWC'!$G$2:$G$4000)</f>
        <v>0.31080065375569849</v>
      </c>
      <c r="AN80" s="1" cm="1">
        <f t="array" ref="AN80">_xlfn.XLOOKUP(1,('2016 E Maize Soil VWC'!$C$2:$C$4000=$AA80)*('2016 E Maize Soil VWC'!$E$2:$E$4000=$AB80)*('2016 E Maize Soil VWC'!$F$2:$F$4000=AN$5),'2016 E Maize Soil VWC'!$G$2:$G$4000)</f>
        <v>0.31969593256573448</v>
      </c>
      <c r="AO80" s="1" cm="1">
        <f t="array" ref="AO80">_xlfn.XLOOKUP(1,('2016 E Maize Soil VWC'!$C$2:$C$4000=$AA80)*('2016 E Maize Soil VWC'!$E$2:$E$4000=$AB80)*('2016 E Maize Soil VWC'!$F$2:$F$4000=AO$5),'2016 E Maize Soil VWC'!$G$2:$G$4000)</f>
        <v>0.29849908656107543</v>
      </c>
      <c r="AP80" s="1" cm="1">
        <f t="array" ref="AP80">_xlfn.XLOOKUP(1,('2016 E Maize Soil VWC'!$C$2:$C$4000=$AA80)*('2016 E Maize Soil VWC'!$E$2:$E$4000=$AB80)*('2016 E Maize Soil VWC'!$F$2:$F$4000=AP$5),'2016 E Maize Soil VWC'!$G$2:$G$4000)</f>
        <v>0.30443576060278432</v>
      </c>
      <c r="AQ80" s="1" cm="1">
        <f t="array" ref="AQ80">_xlfn.XLOOKUP(1,('2016 E Maize Soil VWC'!$C$2:$C$4000=$AA80)*('2016 E Maize Soil VWC'!$E$2:$E$4000=$AB80)*('2016 E Maize Soil VWC'!$F$2:$F$4000=AQ$5),'2016 E Maize Soil VWC'!$G$2:$G$4000)</f>
        <v>0.34200225535851625</v>
      </c>
      <c r="AR80" s="1" cm="1">
        <f t="array" ref="AR80">_xlfn.XLOOKUP(1,('2016 E Maize Soil VWC'!$C$2:$C$4000=$AA80)*('2016 E Maize Soil VWC'!$E$2:$E$4000=$AB80)*('2016 E Maize Soil VWC'!$F$2:$F$4000=AR$5),'2016 E Maize Soil VWC'!$G$2:$G$4000)</f>
        <v>0.33365198269001417</v>
      </c>
      <c r="AS80" s="1" cm="1">
        <f t="array" ref="AS80">_xlfn.XLOOKUP(1,('2016 E Maize Soil VWC'!$C$2:$C$4000=$AA80)*('2016 E Maize Soil VWC'!$E$2:$E$4000=$AB80)*('2016 E Maize Soil VWC'!$F$2:$F$4000=AS$5),'2016 E Maize Soil VWC'!$G$2:$G$4000)</f>
        <v>0.3215839895560485</v>
      </c>
      <c r="AT80" s="1" cm="1">
        <f t="array" ref="AT80">_xlfn.XLOOKUP(1,('2016 E Maize Soil VWC'!$C$2:$C$4000=$AA80)*('2016 E Maize Soil VWC'!$E$2:$E$4000=$AB80)*('2016 E Maize Soil VWC'!$F$2:$F$4000=AT$5),'2016 E Maize Soil VWC'!$G$2:$G$4000)</f>
        <v>0.31401229708973777</v>
      </c>
      <c r="AU80" s="1" cm="1">
        <f t="array" ref="AU80">_xlfn.XLOOKUP(1,('2016 E Maize Soil VWC'!$C$2:$C$4000=$AA80)*('2016 E Maize Soil VWC'!$E$2:$E$4000=$AB80)*('2016 E Maize Soil VWC'!$F$2:$F$4000=AU$5),'2016 E Maize Soil VWC'!$G$2:$G$4000)</f>
        <v>0.30881527424011057</v>
      </c>
      <c r="AV80" s="1" cm="1">
        <f t="array" ref="AV80">_xlfn.XLOOKUP(1,('2016 E Maize Soil VWC'!$C$2:$C$4000=$AA80)*('2016 E Maize Soil VWC'!$E$2:$E$4000=$AB80)*('2016 E Maize Soil VWC'!$F$2:$F$4000=AV$5),'2016 E Maize Soil VWC'!$G$2:$G$4000)</f>
        <v>0.30877634523000103</v>
      </c>
      <c r="BN80" s="15"/>
    </row>
    <row r="81" spans="25:64" x14ac:dyDescent="0.25">
      <c r="AA81" s="18">
        <f t="shared" si="13"/>
        <v>42549</v>
      </c>
      <c r="AB81" s="1">
        <f t="shared" si="14"/>
        <v>210</v>
      </c>
      <c r="AC81" s="1" cm="1">
        <f t="array" ref="AC81">_xlfn.XLOOKUP(1,('2016 E Maize Soil VWC'!$C$2:$C$4000=$AA81)*('2016 E Maize Soil VWC'!$E$2:$E$4000=$AB81)*('2016 E Maize Soil VWC'!$F$2:$F$4000=AC$5),'2016 E Maize Soil VWC'!$G$2:$G$4000)</f>
        <v>0.30283967118829214</v>
      </c>
      <c r="AD81" s="1" cm="1">
        <f t="array" ref="AD81">_xlfn.XLOOKUP(1,('2016 E Maize Soil VWC'!$C$2:$C$4000=$AA81)*('2016 E Maize Soil VWC'!$E$2:$E$4000=$AB81)*('2016 E Maize Soil VWC'!$F$2:$F$4000=AD$5),'2016 E Maize Soil VWC'!$G$2:$G$4000)</f>
        <v>0.30369610941070257</v>
      </c>
      <c r="AE81" s="1" cm="1">
        <f t="array" ref="AE81">_xlfn.XLOOKUP(1,('2016 E Maize Soil VWC'!$C$2:$C$4000=$AA81)*('2016 E Maize Soil VWC'!$E$2:$E$4000=$AB81)*('2016 E Maize Soil VWC'!$F$2:$F$4000=AE$5),'2016 E Maize Soil VWC'!$G$2:$G$4000)</f>
        <v>0.28356981118405655</v>
      </c>
      <c r="AF81" s="1" cm="1">
        <f t="array" ref="AF81">_xlfn.XLOOKUP(1,('2016 E Maize Soil VWC'!$C$2:$C$4000=$AA81)*('2016 E Maize Soil VWC'!$E$2:$E$4000=$AB81)*('2016 E Maize Soil VWC'!$F$2:$F$4000=AF$5),'2016 E Maize Soil VWC'!$G$2:$G$4000)</f>
        <v>0.28966220126620373</v>
      </c>
      <c r="AG81" s="1" t="e" cm="1">
        <f t="array" ref="AG81">_xlfn.XLOOKUP(1,('2016 E Maize Soil VWC'!$C$2:$C$4000=$AA81)*('2016 E Maize Soil VWC'!$E$2:$E$4000=$AB81)*('2016 E Maize Soil VWC'!$F$2:$F$4000=AG$5),'2016 E Maize Soil VWC'!$G$2:$G$4000)</f>
        <v>#N/A</v>
      </c>
      <c r="AH81" s="1" t="e" cm="1">
        <f t="array" ref="AH81">_xlfn.XLOOKUP(1,('2016 E Maize Soil VWC'!$C$2:$C$4000=$AA81)*('2016 E Maize Soil VWC'!$E$2:$E$4000=$AB81)*('2016 E Maize Soil VWC'!$F$2:$F$4000=AH$5),'2016 E Maize Soil VWC'!$G$2:$G$4000)</f>
        <v>#N/A</v>
      </c>
      <c r="AI81" s="1" cm="1">
        <f t="array" ref="AI81">_xlfn.XLOOKUP(1,('2016 E Maize Soil VWC'!$C$2:$C$4000=$AA81)*('2016 E Maize Soil VWC'!$E$2:$E$4000=$AB81)*('2016 E Maize Soil VWC'!$F$2:$F$4000=AI$5),'2016 E Maize Soil VWC'!$G$2:$G$4000)</f>
        <v>0.28520482960865839</v>
      </c>
      <c r="AJ81" s="1" cm="1">
        <f t="array" ref="AJ81">_xlfn.XLOOKUP(1,('2016 E Maize Soil VWC'!$C$2:$C$4000=$AA81)*('2016 E Maize Soil VWC'!$E$2:$E$4000=$AB81)*('2016 E Maize Soil VWC'!$F$2:$F$4000=AJ$5),'2016 E Maize Soil VWC'!$G$2:$G$4000)</f>
        <v>0.30237252306697732</v>
      </c>
      <c r="AK81" s="1" cm="1">
        <f t="array" ref="AK81">_xlfn.XLOOKUP(1,('2016 E Maize Soil VWC'!$C$2:$C$4000=$AA81)*('2016 E Maize Soil VWC'!$E$2:$E$4000=$AB81)*('2016 E Maize Soil VWC'!$F$2:$F$4000=AK$5),'2016 E Maize Soil VWC'!$G$2:$G$4000)</f>
        <v>0.30885420325022017</v>
      </c>
      <c r="AL81" s="1" cm="1">
        <f t="array" ref="AL81">_xlfn.XLOOKUP(1,('2016 E Maize Soil VWC'!$C$2:$C$4000=$AA81)*('2016 E Maize Soil VWC'!$E$2:$E$4000=$AB81)*('2016 E Maize Soil VWC'!$F$2:$F$4000=AL$5),'2016 E Maize Soil VWC'!$G$2:$G$4000)</f>
        <v>0.27117092146415955</v>
      </c>
      <c r="AM81" s="1" cm="1">
        <f t="array" ref="AM81">_xlfn.XLOOKUP(1,('2016 E Maize Soil VWC'!$C$2:$C$4000=$AA81)*('2016 E Maize Soil VWC'!$E$2:$E$4000=$AB81)*('2016 E Maize Soil VWC'!$F$2:$F$4000=AM$5),'2016 E Maize Soil VWC'!$G$2:$G$4000)</f>
        <v>0.30682989472452271</v>
      </c>
      <c r="AN81" s="1" cm="1">
        <f t="array" ref="AN81">_xlfn.XLOOKUP(1,('2016 E Maize Soil VWC'!$C$2:$C$4000=$AA81)*('2016 E Maize Soil VWC'!$E$2:$E$4000=$AB81)*('2016 E Maize Soil VWC'!$F$2:$F$4000=AN$5),'2016 E Maize Soil VWC'!$G$2:$G$4000)</f>
        <v>0.31623125066598307</v>
      </c>
      <c r="AO81" s="1" cm="1">
        <f t="array" ref="AO81">_xlfn.XLOOKUP(1,('2016 E Maize Soil VWC'!$C$2:$C$4000=$AA81)*('2016 E Maize Soil VWC'!$E$2:$E$4000=$AB81)*('2016 E Maize Soil VWC'!$F$2:$F$4000=AO$5),'2016 E Maize Soil VWC'!$G$2:$G$4000)</f>
        <v>0.30089322068281377</v>
      </c>
      <c r="AP81" s="1" cm="1">
        <f t="array" ref="AP81">_xlfn.XLOOKUP(1,('2016 E Maize Soil VWC'!$C$2:$C$4000=$AA81)*('2016 E Maize Soil VWC'!$E$2:$E$4000=$AB81)*('2016 E Maize Soil VWC'!$F$2:$F$4000=AP$5),'2016 E Maize Soil VWC'!$G$2:$G$4000)</f>
        <v>0.27885940096079898</v>
      </c>
      <c r="AQ81" s="1" t="e" cm="1">
        <f t="array" ref="AQ81">_xlfn.XLOOKUP(1,('2016 E Maize Soil VWC'!$C$2:$C$4000=$AA81)*('2016 E Maize Soil VWC'!$E$2:$E$4000=$AB81)*('2016 E Maize Soil VWC'!$F$2:$F$4000=AQ$5),'2016 E Maize Soil VWC'!$G$2:$G$4000)</f>
        <v>#N/A</v>
      </c>
      <c r="AR81" s="1" t="e" cm="1">
        <f t="array" ref="AR81">_xlfn.XLOOKUP(1,('2016 E Maize Soil VWC'!$C$2:$C$4000=$AA81)*('2016 E Maize Soil VWC'!$E$2:$E$4000=$AB81)*('2016 E Maize Soil VWC'!$F$2:$F$4000=AR$5),'2016 E Maize Soil VWC'!$G$2:$G$4000)</f>
        <v>#N/A</v>
      </c>
      <c r="AS81" s="1" cm="1">
        <f t="array" ref="AS81">_xlfn.XLOOKUP(1,('2016 E Maize Soil VWC'!$C$2:$C$4000=$AA81)*('2016 E Maize Soil VWC'!$E$2:$E$4000=$AB81)*('2016 E Maize Soil VWC'!$F$2:$F$4000=AS$5),'2016 E Maize Soil VWC'!$G$2:$G$4000)</f>
        <v>0.3048639797139896</v>
      </c>
      <c r="AT81" s="1" cm="1">
        <f t="array" ref="AT81">_xlfn.XLOOKUP(1,('2016 E Maize Soil VWC'!$C$2:$C$4000=$AA81)*('2016 E Maize Soil VWC'!$E$2:$E$4000=$AB81)*('2016 E Maize Soil VWC'!$F$2:$F$4000=AT$5),'2016 E Maize Soil VWC'!$G$2:$G$4000)</f>
        <v>0.30587613397683833</v>
      </c>
      <c r="AU81" s="1" cm="1">
        <f t="array" ref="AU81">_xlfn.XLOOKUP(1,('2016 E Maize Soil VWC'!$C$2:$C$4000=$AA81)*('2016 E Maize Soil VWC'!$E$2:$E$4000=$AB81)*('2016 E Maize Soil VWC'!$F$2:$F$4000=AU$5),'2016 E Maize Soil VWC'!$G$2:$G$4000)</f>
        <v>0.30128251078390944</v>
      </c>
      <c r="AV81" s="1" cm="1">
        <f t="array" ref="AV81">_xlfn.XLOOKUP(1,('2016 E Maize Soil VWC'!$C$2:$C$4000=$AA81)*('2016 E Maize Soil VWC'!$E$2:$E$4000=$AB81)*('2016 E Maize Soil VWC'!$F$2:$F$4000=AV$5),'2016 E Maize Soil VWC'!$G$2:$G$4000)</f>
        <v>0.3055257728858522</v>
      </c>
    </row>
    <row r="82" spans="25:64" x14ac:dyDescent="0.25">
      <c r="AA82" s="18">
        <f t="shared" si="13"/>
        <v>42549</v>
      </c>
      <c r="AB82" s="1">
        <f t="shared" si="14"/>
        <v>230</v>
      </c>
      <c r="AC82" s="1" cm="1">
        <f t="array" ref="AC82">_xlfn.XLOOKUP(1,('2016 E Maize Soil VWC'!$C$2:$C$4000=$AA82)*('2016 E Maize Soil VWC'!$E$2:$E$4000=$AB82)*('2016 E Maize Soil VWC'!$F$2:$F$4000=AC$5),'2016 E Maize Soil VWC'!$G$2:$G$4000)</f>
        <v>0.29466457906528309</v>
      </c>
      <c r="AD82" s="1" cm="1">
        <f t="array" ref="AD82">_xlfn.XLOOKUP(1,('2016 E Maize Soil VWC'!$C$2:$C$4000=$AA82)*('2016 E Maize Soil VWC'!$E$2:$E$4000=$AB82)*('2016 E Maize Soil VWC'!$F$2:$F$4000=AD$5),'2016 E Maize Soil VWC'!$G$2:$G$4000)</f>
        <v>0.305545237390907</v>
      </c>
      <c r="AE82" s="1" cm="1">
        <f t="array" ref="AE82">_xlfn.XLOOKUP(1,('2016 E Maize Soil VWC'!$C$2:$C$4000=$AA82)*('2016 E Maize Soil VWC'!$E$2:$E$4000=$AB82)*('2016 E Maize Soil VWC'!$F$2:$F$4000=AE$5),'2016 E Maize Soil VWC'!$G$2:$G$4000)</f>
        <v>0.28744324768995844</v>
      </c>
      <c r="AF82" s="1" cm="1">
        <f t="array" ref="AF82">_xlfn.XLOOKUP(1,('2016 E Maize Soil VWC'!$C$2:$C$4000=$AA82)*('2016 E Maize Soil VWC'!$E$2:$E$4000=$AB82)*('2016 E Maize Soil VWC'!$F$2:$F$4000=AF$5),'2016 E Maize Soil VWC'!$G$2:$G$4000)</f>
        <v>0.28156496716341389</v>
      </c>
      <c r="AG82" s="1" t="e" cm="1">
        <f t="array" ref="AG82">_xlfn.XLOOKUP(1,('2016 E Maize Soil VWC'!$C$2:$C$4000=$AA82)*('2016 E Maize Soil VWC'!$E$2:$E$4000=$AB82)*('2016 E Maize Soil VWC'!$F$2:$F$4000=AG$5),'2016 E Maize Soil VWC'!$G$2:$G$4000)</f>
        <v>#N/A</v>
      </c>
      <c r="AH82" s="1" t="e" cm="1">
        <f t="array" ref="AH82">_xlfn.XLOOKUP(1,('2016 E Maize Soil VWC'!$C$2:$C$4000=$AA82)*('2016 E Maize Soil VWC'!$E$2:$E$4000=$AB82)*('2016 E Maize Soil VWC'!$F$2:$F$4000=AH$5),'2016 E Maize Soil VWC'!$G$2:$G$4000)</f>
        <v>#N/A</v>
      </c>
      <c r="AI82" s="1" cm="1">
        <f t="array" ref="AI82">_xlfn.XLOOKUP(1,('2016 E Maize Soil VWC'!$C$2:$C$4000=$AA82)*('2016 E Maize Soil VWC'!$E$2:$E$4000=$AB82)*('2016 E Maize Soil VWC'!$F$2:$F$4000=AI$5),'2016 E Maize Soil VWC'!$G$2:$G$4000)</f>
        <v>0.28337516613350877</v>
      </c>
      <c r="AJ82" s="1" cm="1">
        <f t="array" ref="AJ82">_xlfn.XLOOKUP(1,('2016 E Maize Soil VWC'!$C$2:$C$4000=$AA82)*('2016 E Maize Soil VWC'!$E$2:$E$4000=$AB82)*('2016 E Maize Soil VWC'!$F$2:$F$4000=AJ$5),'2016 E Maize Soil VWC'!$G$2:$G$4000)</f>
        <v>0.3098468930080141</v>
      </c>
      <c r="AK82" s="1" cm="1">
        <f t="array" ref="AK82">_xlfn.XLOOKUP(1,('2016 E Maize Soil VWC'!$C$2:$C$4000=$AA82)*('2016 E Maize Soil VWC'!$E$2:$E$4000=$AB82)*('2016 E Maize Soil VWC'!$F$2:$F$4000=AK$5),'2016 E Maize Soil VWC'!$G$2:$G$4000)</f>
        <v>0.30817294557330277</v>
      </c>
      <c r="AL82" s="1" cm="1">
        <f t="array" ref="AL82">_xlfn.XLOOKUP(1,('2016 E Maize Soil VWC'!$C$2:$C$4000=$AA82)*('2016 E Maize Soil VWC'!$E$2:$E$4000=$AB82)*('2016 E Maize Soil VWC'!$F$2:$F$4000=AL$5),'2016 E Maize Soil VWC'!$G$2:$G$4000)</f>
        <v>0.27716598902103284</v>
      </c>
      <c r="AM82" s="1" cm="1">
        <f t="array" ref="AM82">_xlfn.XLOOKUP(1,('2016 E Maize Soil VWC'!$C$2:$C$4000=$AA82)*('2016 E Maize Soil VWC'!$E$2:$E$4000=$AB82)*('2016 E Maize Soil VWC'!$F$2:$F$4000=AM$5),'2016 E Maize Soil VWC'!$G$2:$G$4000)</f>
        <v>0.29661102957076146</v>
      </c>
      <c r="AN82" s="1" cm="1">
        <f t="array" ref="AN82">_xlfn.XLOOKUP(1,('2016 E Maize Soil VWC'!$C$2:$C$4000=$AA82)*('2016 E Maize Soil VWC'!$E$2:$E$4000=$AB82)*('2016 E Maize Soil VWC'!$F$2:$F$4000=AN$5),'2016 E Maize Soil VWC'!$G$2:$G$4000)</f>
        <v>0.30636274660320795</v>
      </c>
      <c r="AO82" s="1" cm="1">
        <f t="array" ref="AO82">_xlfn.XLOOKUP(1,('2016 E Maize Soil VWC'!$C$2:$C$4000=$AA82)*('2016 E Maize Soil VWC'!$E$2:$E$4000=$AB82)*('2016 E Maize Soil VWC'!$F$2:$F$4000=AO$5),'2016 E Maize Soil VWC'!$G$2:$G$4000)</f>
        <v>0.29349670876199607</v>
      </c>
      <c r="AP82" s="1" cm="1">
        <f t="array" ref="AP82">_xlfn.XLOOKUP(1,('2016 E Maize Soil VWC'!$C$2:$C$4000=$AA82)*('2016 E Maize Soil VWC'!$E$2:$E$4000=$AB82)*('2016 E Maize Soil VWC'!$F$2:$F$4000=AP$5),'2016 E Maize Soil VWC'!$G$2:$G$4000)</f>
        <v>0.28720967362930105</v>
      </c>
      <c r="AQ82" s="1" t="e" cm="1">
        <f t="array" ref="AQ82">_xlfn.XLOOKUP(1,('2016 E Maize Soil VWC'!$C$2:$C$4000=$AA82)*('2016 E Maize Soil VWC'!$E$2:$E$4000=$AB82)*('2016 E Maize Soil VWC'!$F$2:$F$4000=AQ$5),'2016 E Maize Soil VWC'!$G$2:$G$4000)</f>
        <v>#N/A</v>
      </c>
      <c r="AR82" s="1" t="e" cm="1">
        <f t="array" ref="AR82">_xlfn.XLOOKUP(1,('2016 E Maize Soil VWC'!$C$2:$C$4000=$AA82)*('2016 E Maize Soil VWC'!$E$2:$E$4000=$AB82)*('2016 E Maize Soil VWC'!$F$2:$F$4000=AR$5),'2016 E Maize Soil VWC'!$G$2:$G$4000)</f>
        <v>#N/A</v>
      </c>
      <c r="AS82" s="1" cm="1">
        <f t="array" ref="AS82">_xlfn.XLOOKUP(1,('2016 E Maize Soil VWC'!$C$2:$C$4000=$AA82)*('2016 E Maize Soil VWC'!$E$2:$E$4000=$AB82)*('2016 E Maize Soil VWC'!$F$2:$F$4000=AS$5),'2016 E Maize Soil VWC'!$G$2:$G$4000)</f>
        <v>0.30379343193597652</v>
      </c>
      <c r="AT82" s="1" cm="1">
        <f t="array" ref="AT82">_xlfn.XLOOKUP(1,('2016 E Maize Soil VWC'!$C$2:$C$4000=$AA82)*('2016 E Maize Soil VWC'!$E$2:$E$4000=$AB82)*('2016 E Maize Soil VWC'!$F$2:$F$4000=AT$5),'2016 E Maize Soil VWC'!$G$2:$G$4000)</f>
        <v>0.306265424077934</v>
      </c>
      <c r="AU82" s="1" cm="1">
        <f t="array" ref="AU82">_xlfn.XLOOKUP(1,('2016 E Maize Soil VWC'!$C$2:$C$4000=$AA82)*('2016 E Maize Soil VWC'!$E$2:$E$4000=$AB82)*('2016 E Maize Soil VWC'!$F$2:$F$4000=AU$5),'2016 E Maize Soil VWC'!$G$2:$G$4000)</f>
        <v>0.29221205142838041</v>
      </c>
      <c r="AV82" s="1" cm="1">
        <f t="array" ref="AV82">_xlfn.XLOOKUP(1,('2016 E Maize Soil VWC'!$C$2:$C$4000=$AA82)*('2016 E Maize Soil VWC'!$E$2:$E$4000=$AB82)*('2016 E Maize Soil VWC'!$F$2:$F$4000=AV$5),'2016 E Maize Soil VWC'!$G$2:$G$4000)</f>
        <v>0.30614863704760525</v>
      </c>
    </row>
    <row r="83" spans="25:64" x14ac:dyDescent="0.25">
      <c r="AA83" s="18"/>
    </row>
    <row r="84" spans="25:64" x14ac:dyDescent="0.25">
      <c r="Y84" s="1">
        <v>2016</v>
      </c>
      <c r="Z84" s="1">
        <v>193</v>
      </c>
      <c r="AA84" s="18">
        <f>DATE(Y84,1,Z84)</f>
        <v>42562</v>
      </c>
      <c r="AB84" s="1">
        <v>10</v>
      </c>
      <c r="AC84" s="1" cm="1">
        <f t="array" ref="AC84">_xlfn.XLOOKUP(1,('2016 E Maize Soil VWC'!$C$2:$C$4000=$AA84)*('2016 E Maize Soil VWC'!$E$2:$E$4000=$AB84)*('2016 E Maize Soil VWC'!$F$2:$F$4000=AC$5),'2016 E Maize Soil VWC'!$G$2:$G$4000)</f>
        <v>0.1686042138502179</v>
      </c>
      <c r="AD84" s="1" cm="1">
        <f t="array" ref="AD84">_xlfn.XLOOKUP(1,('2016 E Maize Soil VWC'!$C$2:$C$4000=$AA84)*('2016 E Maize Soil VWC'!$E$2:$E$4000=$AB84)*('2016 E Maize Soil VWC'!$F$2:$F$4000=AD$5),'2016 E Maize Soil VWC'!$G$2:$G$4000)</f>
        <v>0.15134094044606933</v>
      </c>
      <c r="AE84" s="1" cm="1">
        <f t="array" ref="AE84">_xlfn.XLOOKUP(1,('2016 E Maize Soil VWC'!$C$2:$C$4000=$AA84)*('2016 E Maize Soil VWC'!$E$2:$E$4000=$AB84)*('2016 E Maize Soil VWC'!$F$2:$F$4000=AE$5),'2016 E Maize Soil VWC'!$G$2:$G$4000)</f>
        <v>0.14175023299932007</v>
      </c>
      <c r="AF84" s="1" cm="1">
        <f t="array" ref="AF84">_xlfn.XLOOKUP(1,('2016 E Maize Soil VWC'!$C$2:$C$4000=$AA84)*('2016 E Maize Soil VWC'!$E$2:$E$4000=$AB84)*('2016 E Maize Soil VWC'!$F$2:$F$4000=AF$5),'2016 E Maize Soil VWC'!$G$2:$G$4000)</f>
        <v>0.15711454632901234</v>
      </c>
      <c r="AG84" s="1" cm="1">
        <f t="array" ref="AG84">_xlfn.XLOOKUP(1,('2016 E Maize Soil VWC'!$C$2:$C$4000=$AA84)*('2016 E Maize Soil VWC'!$E$2:$E$4000=$AB84)*('2016 E Maize Soil VWC'!$F$2:$F$4000=AG$5),'2016 E Maize Soil VWC'!$G$2:$G$4000)</f>
        <v>0.15711454632901234</v>
      </c>
      <c r="AH84" s="1" cm="1">
        <f t="array" ref="AH84">_xlfn.XLOOKUP(1,('2016 E Maize Soil VWC'!$C$2:$C$4000=$AA84)*('2016 E Maize Soil VWC'!$E$2:$E$4000=$AB84)*('2016 E Maize Soil VWC'!$F$2:$F$4000=AH$5),'2016 E Maize Soil VWC'!$G$2:$G$4000)</f>
        <v>0.17786883724377767</v>
      </c>
      <c r="AI84" s="1" cm="1">
        <f t="array" ref="AI84">_xlfn.XLOOKUP(1,('2016 E Maize Soil VWC'!$C$2:$C$4000=$AA84)*('2016 E Maize Soil VWC'!$E$2:$E$4000=$AB84)*('2016 E Maize Soil VWC'!$F$2:$F$4000=AI$5),'2016 E Maize Soil VWC'!$G$2:$G$4000)</f>
        <v>0.16208253278642842</v>
      </c>
      <c r="AJ84" s="1" cm="1">
        <f t="array" ref="AJ84">_xlfn.XLOOKUP(1,('2016 E Maize Soil VWC'!$C$2:$C$4000=$AA84)*('2016 E Maize Soil VWC'!$E$2:$E$4000=$AB84)*('2016 E Maize Soil VWC'!$F$2:$F$4000=AJ$5),'2016 E Maize Soil VWC'!$G$2:$G$4000)</f>
        <v>0.16146872750983648</v>
      </c>
      <c r="AK84" s="1" cm="1">
        <f t="array" ref="AK84">_xlfn.XLOOKUP(1,('2016 E Maize Soil VWC'!$C$2:$C$4000=$AA84)*('2016 E Maize Soil VWC'!$E$2:$E$4000=$AB84)*('2016 E Maize Soil VWC'!$F$2:$F$4000=AK$5),'2016 E Maize Soil VWC'!$G$2:$G$4000)</f>
        <v>0.15333580759499316</v>
      </c>
      <c r="AL84" s="1" cm="1">
        <f t="array" ref="AL84">_xlfn.XLOOKUP(1,('2016 E Maize Soil VWC'!$C$2:$C$4000=$AA84)*('2016 E Maize Soil VWC'!$E$2:$E$4000=$AB84)*('2016 E Maize Soil VWC'!$F$2:$F$4000=AL$5),'2016 E Maize Soil VWC'!$G$2:$G$4000)</f>
        <v>0.16474874945662471</v>
      </c>
      <c r="AM84" s="1" cm="1">
        <f t="array" ref="AM84">_xlfn.XLOOKUP(1,('2016 E Maize Soil VWC'!$C$2:$C$4000=$AA84)*('2016 E Maize Soil VWC'!$E$2:$E$4000=$AB84)*('2016 E Maize Soil VWC'!$F$2:$F$4000=AM$5),'2016 E Maize Soil VWC'!$G$2:$G$4000)</f>
        <v>0.14320802053122594</v>
      </c>
      <c r="AN84" s="1" cm="1">
        <f t="array" ref="AN84">_xlfn.XLOOKUP(1,('2016 E Maize Soil VWC'!$C$2:$C$4000=$AA84)*('2016 E Maize Soil VWC'!$E$2:$E$4000=$AB84)*('2016 E Maize Soil VWC'!$F$2:$F$4000=AN$5),'2016 E Maize Soil VWC'!$G$2:$G$4000)</f>
        <v>0.12517749053133742</v>
      </c>
      <c r="AO84" s="1" cm="1">
        <f t="array" ref="AO84">_xlfn.XLOOKUP(1,('2016 E Maize Soil VWC'!$C$2:$C$4000=$AA84)*('2016 E Maize Soil VWC'!$E$2:$E$4000=$AB84)*('2016 E Maize Soil VWC'!$F$2:$F$4000=AO$5),'2016 E Maize Soil VWC'!$G$2:$G$4000)</f>
        <v>0.16599554142470213</v>
      </c>
      <c r="AP84" s="1" cm="1">
        <f t="array" ref="AP84">_xlfn.XLOOKUP(1,('2016 E Maize Soil VWC'!$C$2:$C$4000=$AA84)*('2016 E Maize Soil VWC'!$E$2:$E$4000=$AB84)*('2016 E Maize Soil VWC'!$F$2:$F$4000=AP$5),'2016 E Maize Soil VWC'!$G$2:$G$4000)</f>
        <v>0.15170538732904576</v>
      </c>
      <c r="AQ84" s="1" cm="1">
        <f t="array" ref="AQ84">_xlfn.XLOOKUP(1,('2016 E Maize Soil VWC'!$C$2:$C$4000=$AA84)*('2016 E Maize Soil VWC'!$E$2:$E$4000=$AB84)*('2016 E Maize Soil VWC'!$F$2:$F$4000=AQ$5),'2016 E Maize Soil VWC'!$G$2:$G$4000)</f>
        <v>0.1870950978075504</v>
      </c>
      <c r="AR84" s="1" cm="1">
        <f t="array" ref="AR84">_xlfn.XLOOKUP(1,('2016 E Maize Soil VWC'!$C$2:$C$4000=$AA84)*('2016 E Maize Soil VWC'!$E$2:$E$4000=$AB84)*('2016 E Maize Soil VWC'!$F$2:$F$4000=AR$5),'2016 E Maize Soil VWC'!$G$2:$G$4000)</f>
        <v>0.19288788510538696</v>
      </c>
      <c r="AS84" s="1" cm="1">
        <f t="array" ref="AS84">_xlfn.XLOOKUP(1,('2016 E Maize Soil VWC'!$C$2:$C$4000=$AA84)*('2016 E Maize Soil VWC'!$E$2:$E$4000=$AB84)*('2016 E Maize Soil VWC'!$F$2:$F$4000=AS$5),'2016 E Maize Soil VWC'!$G$2:$G$4000)</f>
        <v>0.1650172892651337</v>
      </c>
      <c r="AT84" s="1" cm="1">
        <f t="array" ref="AT84">_xlfn.XLOOKUP(1,('2016 E Maize Soil VWC'!$C$2:$C$4000=$AA84)*('2016 E Maize Soil VWC'!$E$2:$E$4000=$AB84)*('2016 E Maize Soil VWC'!$F$2:$F$4000=AT$5),'2016 E Maize Soil VWC'!$G$2:$G$4000)</f>
        <v>0.13779886153125942</v>
      </c>
      <c r="AU84" s="1" cm="1">
        <f t="array" ref="AU84">_xlfn.XLOOKUP(1,('2016 E Maize Soil VWC'!$C$2:$C$4000=$AA84)*('2016 E Maize Soil VWC'!$E$2:$E$4000=$AB84)*('2016 E Maize Soil VWC'!$F$2:$F$4000=AU$5),'2016 E Maize Soil VWC'!$G$2:$G$4000)</f>
        <v>0.1526644580737207</v>
      </c>
      <c r="AV84" s="1" cm="1">
        <f t="array" ref="AV84">_xlfn.XLOOKUP(1,('2016 E Maize Soil VWC'!$C$2:$C$4000=$AA84)*('2016 E Maize Soil VWC'!$E$2:$E$4000=$AB84)*('2016 E Maize Soil VWC'!$F$2:$F$4000=AV$5),'2016 E Maize Soil VWC'!$G$2:$G$4000)</f>
        <v>0.16319505485025132</v>
      </c>
      <c r="AW84" s="1">
        <f>Z84</f>
        <v>193</v>
      </c>
      <c r="AX84" s="15">
        <f>AA84</f>
        <v>42562</v>
      </c>
      <c r="AY84" s="1">
        <f>1400*AVERAGE(AG84:AH90)+100*AVERAGE(AG91:AH91)</f>
        <v>429.22899670798182</v>
      </c>
      <c r="AZ84" s="1">
        <f>1400*AVERAGE(AC84:AF90,AI84:AL90)+100*AVERAGE(AC91:AF91,AI91:AL91)</f>
        <v>441.03425173782557</v>
      </c>
      <c r="BA84" s="1">
        <f>1400*AVERAGE(AQ84:AR90)+100*AVERAGE(AQ91:AR91)</f>
        <v>425.65229484768781</v>
      </c>
      <c r="BB84" s="1">
        <f>1400*AVERAGE(AM84:AP90,AS84:AV90)+100*AVERAGE(AM91:AP91,AS91:AV91)</f>
        <v>422.07789346235933</v>
      </c>
      <c r="BC84" s="1">
        <f>AVERAGE(AC84:AD95)*2400</f>
        <v>717.58122272813421</v>
      </c>
      <c r="BD84" s="1">
        <f>AVERAGE(AE84:AF95)*2400</f>
        <v>695.65331978554786</v>
      </c>
      <c r="BE84" s="1">
        <f>AVERAGE(AG84:AH93)*2000</f>
        <v>606.88990479173412</v>
      </c>
      <c r="BF84" s="1">
        <f>AVERAGE(AI84:AJ95)*2400</f>
        <v>716.87062519366452</v>
      </c>
      <c r="BG84" s="1">
        <f>AVERAGE(AK84:AL95)*2400</f>
        <v>712.28885103937944</v>
      </c>
      <c r="BH84" s="1">
        <f>AVERAGE(AM84:AN95)*2400</f>
        <v>708.49425502301665</v>
      </c>
      <c r="BI84" s="1">
        <f>AVERAGE(AO84:AP95)*2400</f>
        <v>671.40500485638177</v>
      </c>
      <c r="BJ84" s="1">
        <f>AVERAGE(AQ84:AR93)*2000</f>
        <v>596.32349916626731</v>
      </c>
      <c r="BK84" s="1">
        <f>AVERAGE(AS84:AT95)*2400</f>
        <v>717.99726657489657</v>
      </c>
      <c r="BL84" s="1">
        <f>AVERAGE(AU84:AV95)*2400</f>
        <v>706.26385780286921</v>
      </c>
    </row>
    <row r="85" spans="25:64" x14ac:dyDescent="0.25">
      <c r="AA85" s="18">
        <f t="shared" ref="AA85:AA95" si="15">AA84</f>
        <v>42562</v>
      </c>
      <c r="AB85" s="1">
        <f t="shared" ref="AB85:AB95" si="16">AB84+20</f>
        <v>30</v>
      </c>
      <c r="AC85" s="1" cm="1">
        <f t="array" ref="AC85">_xlfn.XLOOKUP(1,('2016 E Maize Soil VWC'!$C$2:$C$4000=$AA85)*('2016 E Maize Soil VWC'!$E$2:$E$4000=$AB85)*('2016 E Maize Soil VWC'!$F$2:$F$4000=AC$5),'2016 E Maize Soil VWC'!$G$2:$G$4000)</f>
        <v>0.24543251977886021</v>
      </c>
      <c r="AD85" s="1" cm="1">
        <f t="array" ref="AD85">_xlfn.XLOOKUP(1,('2016 E Maize Soil VWC'!$C$2:$C$4000=$AA85)*('2016 E Maize Soil VWC'!$E$2:$E$4000=$AB85)*('2016 E Maize Soil VWC'!$F$2:$F$4000=AD$5),'2016 E Maize Soil VWC'!$G$2:$G$4000)</f>
        <v>0.27375771989700948</v>
      </c>
      <c r="AE85" s="1" cm="1">
        <f t="array" ref="AE85">_xlfn.XLOOKUP(1,('2016 E Maize Soil VWC'!$C$2:$C$4000=$AA85)*('2016 E Maize Soil VWC'!$E$2:$E$4000=$AB85)*('2016 E Maize Soil VWC'!$F$2:$F$4000=AE$5),'2016 E Maize Soil VWC'!$G$2:$G$4000)</f>
        <v>0.23327352118327632</v>
      </c>
      <c r="AF85" s="1" cm="1">
        <f t="array" ref="AF85">_xlfn.XLOOKUP(1,('2016 E Maize Soil VWC'!$C$2:$C$4000=$AA85)*('2016 E Maize Soil VWC'!$E$2:$E$4000=$AB85)*('2016 E Maize Soil VWC'!$F$2:$F$4000=AF$5),'2016 E Maize Soil VWC'!$G$2:$G$4000)</f>
        <v>0.24806582455944809</v>
      </c>
      <c r="AG85" s="1" cm="1">
        <f t="array" ref="AG85">_xlfn.XLOOKUP(1,('2016 E Maize Soil VWC'!$C$2:$C$4000=$AA85)*('2016 E Maize Soil VWC'!$E$2:$E$4000=$AB85)*('2016 E Maize Soil VWC'!$F$2:$F$4000=AG$5),'2016 E Maize Soil VWC'!$G$2:$G$4000)</f>
        <v>0.26423202608201346</v>
      </c>
      <c r="AH85" s="1" cm="1">
        <f t="array" ref="AH85">_xlfn.XLOOKUP(1,('2016 E Maize Soil VWC'!$C$2:$C$4000=$AA85)*('2016 E Maize Soil VWC'!$E$2:$E$4000=$AB85)*('2016 E Maize Soil VWC'!$F$2:$F$4000=AH$5),'2016 E Maize Soil VWC'!$G$2:$G$4000)</f>
        <v>0.2627436364234203</v>
      </c>
      <c r="AI85" s="1" cm="1">
        <f t="array" ref="AI85">_xlfn.XLOOKUP(1,('2016 E Maize Soil VWC'!$C$2:$C$4000=$AA85)*('2016 E Maize Soil VWC'!$E$2:$E$4000=$AB85)*('2016 E Maize Soil VWC'!$F$2:$F$4000=AI$5),'2016 E Maize Soil VWC'!$G$2:$G$4000)</f>
        <v>0.25727094214028556</v>
      </c>
      <c r="AJ85" s="1" cm="1">
        <f t="array" ref="AJ85">_xlfn.XLOOKUP(1,('2016 E Maize Soil VWC'!$C$2:$C$4000=$AA85)*('2016 E Maize Soil VWC'!$E$2:$E$4000=$AB85)*('2016 E Maize Soil VWC'!$F$2:$F$4000=AJ$5),'2016 E Maize Soil VWC'!$G$2:$G$4000)</f>
        <v>0.26665924614064224</v>
      </c>
      <c r="AK85" s="1" cm="1">
        <f t="array" ref="AK85">_xlfn.XLOOKUP(1,('2016 E Maize Soil VWC'!$C$2:$C$4000=$AA85)*('2016 E Maize Soil VWC'!$E$2:$E$4000=$AB85)*('2016 E Maize Soil VWC'!$F$2:$F$4000=AK$5),'2016 E Maize Soil VWC'!$G$2:$G$4000)</f>
        <v>0.25156926483275188</v>
      </c>
      <c r="AL85" s="1" cm="1">
        <f t="array" ref="AL85">_xlfn.XLOOKUP(1,('2016 E Maize Soil VWC'!$C$2:$C$4000=$AA85)*('2016 E Maize Soil VWC'!$E$2:$E$4000=$AB85)*('2016 E Maize Soil VWC'!$F$2:$F$4000=AL$5),'2016 E Maize Soil VWC'!$G$2:$G$4000)</f>
        <v>0.27735275338007293</v>
      </c>
      <c r="AM85" s="1" cm="1">
        <f t="array" ref="AM85">_xlfn.XLOOKUP(1,('2016 E Maize Soil VWC'!$C$2:$C$4000=$AA85)*('2016 E Maize Soil VWC'!$E$2:$E$4000=$AB85)*('2016 E Maize Soil VWC'!$F$2:$F$4000=AM$5),'2016 E Maize Soil VWC'!$G$2:$G$4000)</f>
        <v>0.23288425004179814</v>
      </c>
      <c r="AN85" s="1" cm="1">
        <f t="array" ref="AN85">_xlfn.XLOOKUP(1,('2016 E Maize Soil VWC'!$C$2:$C$4000=$AA85)*('2016 E Maize Soil VWC'!$E$2:$E$4000=$AB85)*('2016 E Maize Soil VWC'!$F$2:$F$4000=AN$5),'2016 E Maize Soil VWC'!$G$2:$G$4000)</f>
        <v>0.19892606752343478</v>
      </c>
      <c r="AO85" s="1" cm="1">
        <f t="array" ref="AO85">_xlfn.XLOOKUP(1,('2016 E Maize Soil VWC'!$C$2:$C$4000=$AA85)*('2016 E Maize Soil VWC'!$E$2:$E$4000=$AB85)*('2016 E Maize Soil VWC'!$F$2:$F$4000=AO$5),'2016 E Maize Soil VWC'!$G$2:$G$4000)</f>
        <v>0.15894563146337931</v>
      </c>
      <c r="AP85" s="1" cm="1">
        <f t="array" ref="AP85">_xlfn.XLOOKUP(1,('2016 E Maize Soil VWC'!$C$2:$C$4000=$AA85)*('2016 E Maize Soil VWC'!$E$2:$E$4000=$AB85)*('2016 E Maize Soil VWC'!$F$2:$F$4000=AP$5),'2016 E Maize Soil VWC'!$G$2:$G$4000)</f>
        <v>0.15578566572667385</v>
      </c>
      <c r="AQ85" s="1" cm="1">
        <f t="array" ref="AQ85">_xlfn.XLOOKUP(1,('2016 E Maize Soil VWC'!$C$2:$C$4000=$AA85)*('2016 E Maize Soil VWC'!$E$2:$E$4000=$AB85)*('2016 E Maize Soil VWC'!$F$2:$F$4000=AQ$5),'2016 E Maize Soil VWC'!$G$2:$G$4000)</f>
        <v>0.2728188894969738</v>
      </c>
      <c r="AR85" s="1" cm="1">
        <f t="array" ref="AR85">_xlfn.XLOOKUP(1,('2016 E Maize Soil VWC'!$C$2:$C$4000=$AA85)*('2016 E Maize Soil VWC'!$E$2:$E$4000=$AB85)*('2016 E Maize Soil VWC'!$F$2:$F$4000=AR$5),'2016 E Maize Soil VWC'!$G$2:$G$4000)</f>
        <v>0.2611865518575075</v>
      </c>
      <c r="AS85" s="1" cm="1">
        <f t="array" ref="AS85">_xlfn.XLOOKUP(1,('2016 E Maize Soil VWC'!$C$2:$C$4000=$AA85)*('2016 E Maize Soil VWC'!$E$2:$E$4000=$AB85)*('2016 E Maize Soil VWC'!$F$2:$F$4000=AS$5),'2016 E Maize Soil VWC'!$G$2:$G$4000)</f>
        <v>0.27258990647257492</v>
      </c>
      <c r="AT85" s="1" cm="1">
        <f t="array" ref="AT85">_xlfn.XLOOKUP(1,('2016 E Maize Soil VWC'!$C$2:$C$4000=$AA85)*('2016 E Maize Soil VWC'!$E$2:$E$4000=$AB85)*('2016 E Maize Soil VWC'!$F$2:$F$4000=AT$5),'2016 E Maize Soil VWC'!$G$2:$G$4000)</f>
        <v>0.21234447275321289</v>
      </c>
      <c r="AU85" s="1" cm="1">
        <f t="array" ref="AU85">_xlfn.XLOOKUP(1,('2016 E Maize Soil VWC'!$C$2:$C$4000=$AA85)*('2016 E Maize Soil VWC'!$E$2:$E$4000=$AB85)*('2016 E Maize Soil VWC'!$F$2:$F$4000=AU$5),'2016 E Maize Soil VWC'!$G$2:$G$4000)</f>
        <v>0.23771579185661579</v>
      </c>
      <c r="AV85" s="1" cm="1">
        <f t="array" ref="AV85">_xlfn.XLOOKUP(1,('2016 E Maize Soil VWC'!$C$2:$C$4000=$AA85)*('2016 E Maize Soil VWC'!$E$2:$E$4000=$AB85)*('2016 E Maize Soil VWC'!$F$2:$F$4000=AV$5),'2016 E Maize Soil VWC'!$G$2:$G$4000)</f>
        <v>0.24245574046167395</v>
      </c>
    </row>
    <row r="86" spans="25:64" x14ac:dyDescent="0.25">
      <c r="AA86" s="18">
        <f t="shared" si="15"/>
        <v>42562</v>
      </c>
      <c r="AB86" s="1">
        <f t="shared" si="16"/>
        <v>50</v>
      </c>
      <c r="AC86" s="1" cm="1">
        <f t="array" ref="AC86">_xlfn.XLOOKUP(1,('2016 E Maize Soil VWC'!$C$2:$C$4000=$AA86)*('2016 E Maize Soil VWC'!$E$2:$E$4000=$AB86)*('2016 E Maize Soil VWC'!$F$2:$F$4000=AC$5),'2016 E Maize Soil VWC'!$G$2:$G$4000)</f>
        <v>0.30796778374221162</v>
      </c>
      <c r="AD86" s="1" cm="1">
        <f t="array" ref="AD86">_xlfn.XLOOKUP(1,('2016 E Maize Soil VWC'!$C$2:$C$4000=$AA86)*('2016 E Maize Soil VWC'!$E$2:$E$4000=$AB86)*('2016 E Maize Soil VWC'!$F$2:$F$4000=AD$5),'2016 E Maize Soil VWC'!$G$2:$G$4000)</f>
        <v>0.32303486674766207</v>
      </c>
      <c r="AE86" s="1" cm="1">
        <f t="array" ref="AE86">_xlfn.XLOOKUP(1,('2016 E Maize Soil VWC'!$C$2:$C$4000=$AA86)*('2016 E Maize Soil VWC'!$E$2:$E$4000=$AB86)*('2016 E Maize Soil VWC'!$F$2:$F$4000=AE$5),'2016 E Maize Soil VWC'!$G$2:$G$4000)</f>
        <v>0.30599852973238073</v>
      </c>
      <c r="AF86" s="1" cm="1">
        <f t="array" ref="AF86">_xlfn.XLOOKUP(1,('2016 E Maize Soil VWC'!$C$2:$C$4000=$AA86)*('2016 E Maize Soil VWC'!$E$2:$E$4000=$AB86)*('2016 E Maize Soil VWC'!$F$2:$F$4000=AF$5),'2016 E Maize Soil VWC'!$G$2:$G$4000)</f>
        <v>0.2951676326783107</v>
      </c>
      <c r="AG86" s="1" cm="1">
        <f t="array" ref="AG86">_xlfn.XLOOKUP(1,('2016 E Maize Soil VWC'!$C$2:$C$4000=$AA86)*('2016 E Maize Soil VWC'!$E$2:$E$4000=$AB86)*('2016 E Maize Soil VWC'!$F$2:$F$4000=AG$5),'2016 E Maize Soil VWC'!$G$2:$G$4000)</f>
        <v>0.28571063377063433</v>
      </c>
      <c r="AH86" s="1" cm="1">
        <f t="array" ref="AH86">_xlfn.XLOOKUP(1,('2016 E Maize Soil VWC'!$C$2:$C$4000=$AA86)*('2016 E Maize Soil VWC'!$E$2:$E$4000=$AB86)*('2016 E Maize Soil VWC'!$F$2:$F$4000=AH$5),'2016 E Maize Soil VWC'!$G$2:$G$4000)</f>
        <v>0.28314602389736615</v>
      </c>
      <c r="AI86" s="1" cm="1">
        <f t="array" ref="AI86">_xlfn.XLOOKUP(1,('2016 E Maize Soil VWC'!$C$2:$C$4000=$AA86)*('2016 E Maize Soil VWC'!$E$2:$E$4000=$AB86)*('2016 E Maize Soil VWC'!$F$2:$F$4000=AI$5),'2016 E Maize Soil VWC'!$G$2:$G$4000)</f>
        <v>0.31037210549840055</v>
      </c>
      <c r="AJ86" s="1" cm="1">
        <f t="array" ref="AJ86">_xlfn.XLOOKUP(1,('2016 E Maize Soil VWC'!$C$2:$C$4000=$AA86)*('2016 E Maize Soil VWC'!$E$2:$E$4000=$AB86)*('2016 E Maize Soil VWC'!$F$2:$F$4000=AJ$5),'2016 E Maize Soil VWC'!$G$2:$G$4000)</f>
        <v>0.30048003884436619</v>
      </c>
      <c r="AK86" s="1" cm="1">
        <f t="array" ref="AK86">_xlfn.XLOOKUP(1,('2016 E Maize Soil VWC'!$C$2:$C$4000=$AA86)*('2016 E Maize Soil VWC'!$E$2:$E$4000=$AB86)*('2016 E Maize Soil VWC'!$F$2:$F$4000=AK$5),'2016 E Maize Soil VWC'!$G$2:$G$4000)</f>
        <v>0.29777803915645862</v>
      </c>
      <c r="AL86" s="1" cm="1">
        <f t="array" ref="AL86">_xlfn.XLOOKUP(1,('2016 E Maize Soil VWC'!$C$2:$C$4000=$AA86)*('2016 E Maize Soil VWC'!$E$2:$E$4000=$AB86)*('2016 E Maize Soil VWC'!$F$2:$F$4000=AL$5),'2016 E Maize Soil VWC'!$G$2:$G$4000)</f>
        <v>0.32878234066007561</v>
      </c>
      <c r="AM86" s="1" cm="1">
        <f t="array" ref="AM86">_xlfn.XLOOKUP(1,('2016 E Maize Soil VWC'!$C$2:$C$4000=$AA86)*('2016 E Maize Soil VWC'!$E$2:$E$4000=$AB86)*('2016 E Maize Soil VWC'!$F$2:$F$4000=AM$5),'2016 E Maize Soil VWC'!$G$2:$G$4000)</f>
        <v>0.30125858112732257</v>
      </c>
      <c r="AN86" s="1" cm="1">
        <f t="array" ref="AN86">_xlfn.XLOOKUP(1,('2016 E Maize Soil VWC'!$C$2:$C$4000=$AA86)*('2016 E Maize Soil VWC'!$E$2:$E$4000=$AB86)*('2016 E Maize Soil VWC'!$F$2:$F$4000=AN$5),'2016 E Maize Soil VWC'!$G$2:$G$4000)</f>
        <v>0.30050293714680609</v>
      </c>
      <c r="AO86" s="1" cm="1">
        <f t="array" ref="AO86">_xlfn.XLOOKUP(1,('2016 E Maize Soil VWC'!$C$2:$C$4000=$AA86)*('2016 E Maize Soil VWC'!$E$2:$E$4000=$AB86)*('2016 E Maize Soil VWC'!$F$2:$F$4000=AO$5),'2016 E Maize Soil VWC'!$G$2:$G$4000)</f>
        <v>0.25674428118416798</v>
      </c>
      <c r="AP86" s="1" cm="1">
        <f t="array" ref="AP86">_xlfn.XLOOKUP(1,('2016 E Maize Soil VWC'!$C$2:$C$4000=$AA86)*('2016 E Maize Soil VWC'!$E$2:$E$4000=$AB86)*('2016 E Maize Soil VWC'!$F$2:$F$4000=AP$5),'2016 E Maize Soil VWC'!$G$2:$G$4000)</f>
        <v>0.25491241698897643</v>
      </c>
      <c r="AQ86" s="1" cm="1">
        <f t="array" ref="AQ86">_xlfn.XLOOKUP(1,('2016 E Maize Soil VWC'!$C$2:$C$4000=$AA86)*('2016 E Maize Soil VWC'!$E$2:$E$4000=$AB86)*('2016 E Maize Soil VWC'!$F$2:$F$4000=AQ$5),'2016 E Maize Soil VWC'!$G$2:$G$4000)</f>
        <v>0.28023793948749964</v>
      </c>
      <c r="AR86" s="1" cm="1">
        <f t="array" ref="AR86">_xlfn.XLOOKUP(1,('2016 E Maize Soil VWC'!$C$2:$C$4000=$AA86)*('2016 E Maize Soil VWC'!$E$2:$E$4000=$AB86)*('2016 E Maize Soil VWC'!$F$2:$F$4000=AR$5),'2016 E Maize Soil VWC'!$G$2:$G$4000)</f>
        <v>0.28408485429740188</v>
      </c>
      <c r="AS86" s="1" cm="1">
        <f t="array" ref="AS86">_xlfn.XLOOKUP(1,('2016 E Maize Soil VWC'!$C$2:$C$4000=$AA86)*('2016 E Maize Soil VWC'!$E$2:$E$4000=$AB86)*('2016 E Maize Soil VWC'!$F$2:$F$4000=AS$5),'2016 E Maize Soil VWC'!$G$2:$G$4000)</f>
        <v>0.31751637585964754</v>
      </c>
      <c r="AT86" s="1" cm="1">
        <f t="array" ref="AT86">_xlfn.XLOOKUP(1,('2016 E Maize Soil VWC'!$C$2:$C$4000=$AA86)*('2016 E Maize Soil VWC'!$E$2:$E$4000=$AB86)*('2016 E Maize Soil VWC'!$F$2:$F$4000=AT$5),'2016 E Maize Soil VWC'!$G$2:$G$4000)</f>
        <v>0.30169364887368061</v>
      </c>
      <c r="AU86" s="1" cm="1">
        <f t="array" ref="AU86">_xlfn.XLOOKUP(1,('2016 E Maize Soil VWC'!$C$2:$C$4000=$AA86)*('2016 E Maize Soil VWC'!$E$2:$E$4000=$AB86)*('2016 E Maize Soil VWC'!$F$2:$F$4000=AU$5),'2016 E Maize Soil VWC'!$G$2:$G$4000)</f>
        <v>0.29800702218085762</v>
      </c>
      <c r="AV86" s="1" cm="1">
        <f t="array" ref="AV86">_xlfn.XLOOKUP(1,('2016 E Maize Soil VWC'!$C$2:$C$4000=$AA86)*('2016 E Maize Soil VWC'!$E$2:$E$4000=$AB86)*('2016 E Maize Soil VWC'!$F$2:$F$4000=AV$5),'2016 E Maize Soil VWC'!$G$2:$G$4000)</f>
        <v>0.30116698791756302</v>
      </c>
    </row>
    <row r="87" spans="25:64" x14ac:dyDescent="0.25">
      <c r="AA87" s="18">
        <f t="shared" si="15"/>
        <v>42562</v>
      </c>
      <c r="AB87" s="1">
        <f t="shared" si="16"/>
        <v>70</v>
      </c>
      <c r="AC87" s="1" cm="1">
        <f t="array" ref="AC87">_xlfn.XLOOKUP(1,('2016 E Maize Soil VWC'!$C$2:$C$4000=$AA87)*('2016 E Maize Soil VWC'!$E$2:$E$4000=$AB87)*('2016 E Maize Soil VWC'!$F$2:$F$4000=AC$5),'2016 E Maize Soil VWC'!$G$2:$G$4000)</f>
        <v>0.32724815439660271</v>
      </c>
      <c r="AD87" s="1" cm="1">
        <f t="array" ref="AD87">_xlfn.XLOOKUP(1,('2016 E Maize Soil VWC'!$C$2:$C$4000=$AA87)*('2016 E Maize Soil VWC'!$E$2:$E$4000=$AB87)*('2016 E Maize Soil VWC'!$F$2:$F$4000=AD$5),'2016 E Maize Soil VWC'!$G$2:$G$4000)</f>
        <v>0.3445363727387229</v>
      </c>
      <c r="AE87" s="1" cm="1">
        <f t="array" ref="AE87">_xlfn.XLOOKUP(1,('2016 E Maize Soil VWC'!$C$2:$C$4000=$AA87)*('2016 E Maize Soil VWC'!$E$2:$E$4000=$AB87)*('2016 E Maize Soil VWC'!$F$2:$F$4000=AE$5),'2016 E Maize Soil VWC'!$G$2:$G$4000)</f>
        <v>0.32447745980137543</v>
      </c>
      <c r="AF87" s="1" cm="1">
        <f t="array" ref="AF87">_xlfn.XLOOKUP(1,('2016 E Maize Soil VWC'!$C$2:$C$4000=$AA87)*('2016 E Maize Soil VWC'!$E$2:$E$4000=$AB87)*('2016 E Maize Soil VWC'!$F$2:$F$4000=AF$5),'2016 E Maize Soil VWC'!$G$2:$G$4000)</f>
        <v>0.31174600364479421</v>
      </c>
      <c r="AG87" s="1" cm="1">
        <f t="array" ref="AG87">_xlfn.XLOOKUP(1,('2016 E Maize Soil VWC'!$C$2:$C$4000=$AA87)*('2016 E Maize Soil VWC'!$E$2:$E$4000=$AB87)*('2016 E Maize Soil VWC'!$F$2:$F$4000=AG$5),'2016 E Maize Soil VWC'!$G$2:$G$4000)</f>
        <v>0.29148100598548771</v>
      </c>
      <c r="AH87" s="1" cm="1">
        <f t="array" ref="AH87">_xlfn.XLOOKUP(1,('2016 E Maize Soil VWC'!$C$2:$C$4000=$AA87)*('2016 E Maize Soil VWC'!$E$2:$E$4000=$AB87)*('2016 E Maize Soil VWC'!$F$2:$F$4000=AH$5),'2016 E Maize Soil VWC'!$G$2:$G$4000)</f>
        <v>0.30121278452244282</v>
      </c>
      <c r="AI87" s="1" cm="1">
        <f t="array" ref="AI87">_xlfn.XLOOKUP(1,('2016 E Maize Soil VWC'!$C$2:$C$4000=$AA87)*('2016 E Maize Soil VWC'!$E$2:$E$4000=$AB87)*('2016 E Maize Soil VWC'!$F$2:$F$4000=AI$5),'2016 E Maize Soil VWC'!$G$2:$G$4000)</f>
        <v>0.32951508633815219</v>
      </c>
      <c r="AJ87" s="1" cm="1">
        <f t="array" ref="AJ87">_xlfn.XLOOKUP(1,('2016 E Maize Soil VWC'!$C$2:$C$4000=$AA87)*('2016 E Maize Soil VWC'!$E$2:$E$4000=$AB87)*('2016 E Maize Soil VWC'!$F$2:$F$4000=AJ$5),'2016 E Maize Soil VWC'!$G$2:$G$4000)</f>
        <v>0.31946273156703858</v>
      </c>
      <c r="AK87" s="1" cm="1">
        <f t="array" ref="AK87">_xlfn.XLOOKUP(1,('2016 E Maize Soil VWC'!$C$2:$C$4000=$AA87)*('2016 E Maize Soil VWC'!$E$2:$E$4000=$AB87)*('2016 E Maize Soil VWC'!$F$2:$F$4000=AK$5),'2016 E Maize Soil VWC'!$G$2:$G$4000)</f>
        <v>0.30796778374221162</v>
      </c>
      <c r="AL87" s="1" cm="1">
        <f t="array" ref="AL87">_xlfn.XLOOKUP(1,('2016 E Maize Soil VWC'!$C$2:$C$4000=$AA87)*('2016 E Maize Soil VWC'!$E$2:$E$4000=$AB87)*('2016 E Maize Soil VWC'!$F$2:$F$4000=AL$5),'2016 E Maize Soil VWC'!$G$2:$G$4000)</f>
        <v>0.33801035654335299</v>
      </c>
      <c r="AM87" s="1" cm="1">
        <f t="array" ref="AM87">_xlfn.XLOOKUP(1,('2016 E Maize Soil VWC'!$C$2:$C$4000=$AA87)*('2016 E Maize Soil VWC'!$E$2:$E$4000=$AB87)*('2016 E Maize Soil VWC'!$F$2:$F$4000=AM$5),'2016 E Maize Soil VWC'!$G$2:$G$4000)</f>
        <v>0.3190047655182407</v>
      </c>
      <c r="AN87" s="1" cm="1">
        <f t="array" ref="AN87">_xlfn.XLOOKUP(1,('2016 E Maize Soil VWC'!$C$2:$C$4000=$AA87)*('2016 E Maize Soil VWC'!$E$2:$E$4000=$AB87)*('2016 E Maize Soil VWC'!$F$2:$F$4000=AN$5),'2016 E Maize Soil VWC'!$G$2:$G$4000)</f>
        <v>0.32168386690370832</v>
      </c>
      <c r="AO87" s="1" cm="1">
        <f t="array" ref="AO87">_xlfn.XLOOKUP(1,('2016 E Maize Soil VWC'!$C$2:$C$4000=$AA87)*('2016 E Maize Soil VWC'!$E$2:$E$4000=$AB87)*('2016 E Maize Soil VWC'!$F$2:$F$4000=AO$5),'2016 E Maize Soil VWC'!$G$2:$G$4000)</f>
        <v>0.31440220672782193</v>
      </c>
      <c r="AP87" s="1" cm="1">
        <f t="array" ref="AP87">_xlfn.XLOOKUP(1,('2016 E Maize Soil VWC'!$C$2:$C$4000=$AA87)*('2016 E Maize Soil VWC'!$E$2:$E$4000=$AB87)*('2016 E Maize Soil VWC'!$F$2:$F$4000=AP$5),'2016 E Maize Soil VWC'!$G$2:$G$4000)</f>
        <v>0.30989124114716277</v>
      </c>
      <c r="AQ87" s="1" cm="1">
        <f t="array" ref="AQ87">_xlfn.XLOOKUP(1,('2016 E Maize Soil VWC'!$C$2:$C$4000=$AA87)*('2016 E Maize Soil VWC'!$E$2:$E$4000=$AB87)*('2016 E Maize Soil VWC'!$F$2:$F$4000=AQ$5),'2016 E Maize Soil VWC'!$G$2:$G$4000)</f>
        <v>0.29193897203428565</v>
      </c>
      <c r="AR87" s="1" cm="1">
        <f t="array" ref="AR87">_xlfn.XLOOKUP(1,('2016 E Maize Soil VWC'!$C$2:$C$4000=$AA87)*('2016 E Maize Soil VWC'!$E$2:$E$4000=$AB87)*('2016 E Maize Soil VWC'!$F$2:$F$4000=AR$5),'2016 E Maize Soil VWC'!$G$2:$G$4000)</f>
        <v>0.29388532774167664</v>
      </c>
      <c r="AS87" s="1" cm="1">
        <f t="array" ref="AS87">_xlfn.XLOOKUP(1,('2016 E Maize Soil VWC'!$C$2:$C$4000=$AA87)*('2016 E Maize Soil VWC'!$E$2:$E$4000=$AB87)*('2016 E Maize Soil VWC'!$F$2:$F$4000=AS$5),'2016 E Maize Soil VWC'!$G$2:$G$4000)</f>
        <v>0.32814118819175853</v>
      </c>
      <c r="AT87" s="1" cm="1">
        <f t="array" ref="AT87">_xlfn.XLOOKUP(1,('2016 E Maize Soil VWC'!$C$2:$C$4000=$AA87)*('2016 E Maize Soil VWC'!$E$2:$E$4000=$AB87)*('2016 E Maize Soil VWC'!$F$2:$F$4000=AT$5),'2016 E Maize Soil VWC'!$G$2:$G$4000)</f>
        <v>0.31325729160582721</v>
      </c>
      <c r="AU87" s="1" cm="1">
        <f t="array" ref="AU87">_xlfn.XLOOKUP(1,('2016 E Maize Soil VWC'!$C$2:$C$4000=$AA87)*('2016 E Maize Soil VWC'!$E$2:$E$4000=$AB87)*('2016 E Maize Soil VWC'!$F$2:$F$4000=AU$5),'2016 E Maize Soil VWC'!$G$2:$G$4000)</f>
        <v>0.30574664840554189</v>
      </c>
      <c r="AV87" s="1" cm="1">
        <f t="array" ref="AV87">_xlfn.XLOOKUP(1,('2016 E Maize Soil VWC'!$C$2:$C$4000=$AA87)*('2016 E Maize Soil VWC'!$E$2:$E$4000=$AB87)*('2016 E Maize Soil VWC'!$F$2:$F$4000=AV$5),'2016 E Maize Soil VWC'!$G$2:$G$4000)</f>
        <v>0.30732663127389459</v>
      </c>
    </row>
    <row r="88" spans="25:64" x14ac:dyDescent="0.25">
      <c r="AA88" s="18">
        <f t="shared" si="15"/>
        <v>42562</v>
      </c>
      <c r="AB88" s="1">
        <f t="shared" si="16"/>
        <v>90</v>
      </c>
      <c r="AC88" s="1" cm="1">
        <f t="array" ref="AC88">_xlfn.XLOOKUP(1,('2016 E Maize Soil VWC'!$C$2:$C$4000=$AA88)*('2016 E Maize Soil VWC'!$E$2:$E$4000=$AB88)*('2016 E Maize Soil VWC'!$F$2:$F$4000=AC$5),'2016 E Maize Soil VWC'!$G$2:$G$4000)</f>
        <v>0.34155959342153663</v>
      </c>
      <c r="AD88" s="1" cm="1">
        <f t="array" ref="AD88">_xlfn.XLOOKUP(1,('2016 E Maize Soil VWC'!$C$2:$C$4000=$AA88)*('2016 E Maize Soil VWC'!$E$2:$E$4000=$AB88)*('2016 E Maize Soil VWC'!$F$2:$F$4000=AD$5),'2016 E Maize Soil VWC'!$G$2:$G$4000)</f>
        <v>0.34410130499236491</v>
      </c>
      <c r="AE88" s="1" cm="1">
        <f t="array" ref="AE88">_xlfn.XLOOKUP(1,('2016 E Maize Soil VWC'!$C$2:$C$4000=$AA88)*('2016 E Maize Soil VWC'!$E$2:$E$4000=$AB88)*('2016 E Maize Soil VWC'!$F$2:$F$4000=AE$5),'2016 E Maize Soil VWC'!$G$2:$G$4000)</f>
        <v>0.33084318787966605</v>
      </c>
      <c r="AF88" s="1" cm="1">
        <f t="array" ref="AF88">_xlfn.XLOOKUP(1,('2016 E Maize Soil VWC'!$C$2:$C$4000=$AA88)*('2016 E Maize Soil VWC'!$E$2:$E$4000=$AB88)*('2016 E Maize Soil VWC'!$F$2:$F$4000=AF$5),'2016 E Maize Soil VWC'!$G$2:$G$4000)</f>
        <v>0.33448401796760929</v>
      </c>
      <c r="AG88" s="1" cm="1">
        <f t="array" ref="AG88">_xlfn.XLOOKUP(1,('2016 E Maize Soil VWC'!$C$2:$C$4000=$AA88)*('2016 E Maize Soil VWC'!$E$2:$E$4000=$AB88)*('2016 E Maize Soil VWC'!$F$2:$F$4000=AG$5),'2016 E Maize Soil VWC'!$G$2:$G$4000)</f>
        <v>0.31492886768393952</v>
      </c>
      <c r="AH88" s="1" cm="1">
        <f t="array" ref="AH88">_xlfn.XLOOKUP(1,('2016 E Maize Soil VWC'!$C$2:$C$4000=$AA88)*('2016 E Maize Soil VWC'!$E$2:$E$4000=$AB88)*('2016 E Maize Soil VWC'!$F$2:$F$4000=AH$5),'2016 E Maize Soil VWC'!$G$2:$G$4000)</f>
        <v>0.31408163049366344</v>
      </c>
      <c r="AI88" s="1" cm="1">
        <f t="array" ref="AI88">_xlfn.XLOOKUP(1,('2016 E Maize Soil VWC'!$C$2:$C$4000=$AA88)*('2016 E Maize Soil VWC'!$E$2:$E$4000=$AB88)*('2016 E Maize Soil VWC'!$F$2:$F$4000=AI$5),'2016 E Maize Soil VWC'!$G$2:$G$4000)</f>
        <v>0.33590371271888275</v>
      </c>
      <c r="AJ88" s="1" cm="1">
        <f t="array" ref="AJ88">_xlfn.XLOOKUP(1,('2016 E Maize Soil VWC'!$C$2:$C$4000=$AA88)*('2016 E Maize Soil VWC'!$E$2:$E$4000=$AB88)*('2016 E Maize Soil VWC'!$F$2:$F$4000=AJ$5),'2016 E Maize Soil VWC'!$G$2:$G$4000)</f>
        <v>0.3324231707480188</v>
      </c>
      <c r="AK88" s="1" cm="1">
        <f t="array" ref="AK88">_xlfn.XLOOKUP(1,('2016 E Maize Soil VWC'!$C$2:$C$4000=$AA88)*('2016 E Maize Soil VWC'!$E$2:$E$4000=$AB88)*('2016 E Maize Soil VWC'!$F$2:$F$4000=AK$5),'2016 E Maize Soil VWC'!$G$2:$G$4000)</f>
        <v>0.32516440887457226</v>
      </c>
      <c r="AL88" s="1" cm="1">
        <f t="array" ref="AL88">_xlfn.XLOOKUP(1,('2016 E Maize Soil VWC'!$C$2:$C$4000=$AA88)*('2016 E Maize Soil VWC'!$E$2:$E$4000=$AB88)*('2016 E Maize Soil VWC'!$F$2:$F$4000=AL$5),'2016 E Maize Soil VWC'!$G$2:$G$4000)</f>
        <v>0.33947584789950624</v>
      </c>
      <c r="AM88" s="1" cm="1">
        <f t="array" ref="AM88">_xlfn.XLOOKUP(1,('2016 E Maize Soil VWC'!$C$2:$C$4000=$AA88)*('2016 E Maize Soil VWC'!$E$2:$E$4000=$AB88)*('2016 E Maize Soil VWC'!$F$2:$F$4000=AM$5),'2016 E Maize Soil VWC'!$G$2:$G$4000)</f>
        <v>0.33446111966516939</v>
      </c>
      <c r="AN88" s="1" cm="1">
        <f t="array" ref="AN88">_xlfn.XLOOKUP(1,('2016 E Maize Soil VWC'!$C$2:$C$4000=$AA88)*('2016 E Maize Soil VWC'!$E$2:$E$4000=$AB88)*('2016 E Maize Soil VWC'!$F$2:$F$4000=AN$5),'2016 E Maize Soil VWC'!$G$2:$G$4000)</f>
        <v>0.34050627150930146</v>
      </c>
      <c r="AO88" s="1" cm="1">
        <f t="array" ref="AO88">_xlfn.XLOOKUP(1,('2016 E Maize Soil VWC'!$C$2:$C$4000=$AA88)*('2016 E Maize Soil VWC'!$E$2:$E$4000=$AB88)*('2016 E Maize Soil VWC'!$F$2:$F$4000=AO$5),'2016 E Maize Soil VWC'!$G$2:$G$4000)</f>
        <v>0.32555368001605045</v>
      </c>
      <c r="AP88" s="1" cm="1">
        <f t="array" ref="AP88">_xlfn.XLOOKUP(1,('2016 E Maize Soil VWC'!$C$2:$C$4000=$AA88)*('2016 E Maize Soil VWC'!$E$2:$E$4000=$AB88)*('2016 E Maize Soil VWC'!$F$2:$F$4000=AP$5),'2016 E Maize Soil VWC'!$G$2:$G$4000)</f>
        <v>0.32266849390862379</v>
      </c>
      <c r="AQ88" s="1" cm="1">
        <f t="array" ref="AQ88">_xlfn.XLOOKUP(1,('2016 E Maize Soil VWC'!$C$2:$C$4000=$AA88)*('2016 E Maize Soil VWC'!$E$2:$E$4000=$AB88)*('2016 E Maize Soil VWC'!$F$2:$F$4000=AQ$5),'2016 E Maize Soil VWC'!$G$2:$G$4000)</f>
        <v>0.30613591954702007</v>
      </c>
      <c r="AR88" s="1" cm="1">
        <f t="array" ref="AR88">_xlfn.XLOOKUP(1,('2016 E Maize Soil VWC'!$C$2:$C$4000=$AA88)*('2016 E Maize Soil VWC'!$E$2:$E$4000=$AB88)*('2016 E Maize Soil VWC'!$F$2:$F$4000=AR$5),'2016 E Maize Soil VWC'!$G$2:$G$4000)</f>
        <v>0.31041790210328035</v>
      </c>
      <c r="AS88" s="1" cm="1">
        <f t="array" ref="AS88">_xlfn.XLOOKUP(1,('2016 E Maize Soil VWC'!$C$2:$C$4000=$AA88)*('2016 E Maize Soil VWC'!$E$2:$E$4000=$AB88)*('2016 E Maize Soil VWC'!$F$2:$F$4000=AS$5),'2016 E Maize Soil VWC'!$G$2:$G$4000)</f>
        <v>0.34064366132394086</v>
      </c>
      <c r="AT88" s="1" cm="1">
        <f t="array" ref="AT88">_xlfn.XLOOKUP(1,('2016 E Maize Soil VWC'!$C$2:$C$4000=$AA88)*('2016 E Maize Soil VWC'!$E$2:$E$4000=$AB88)*('2016 E Maize Soil VWC'!$F$2:$F$4000=AT$5),'2016 E Maize Soil VWC'!$G$2:$G$4000)</f>
        <v>0.32988145917719053</v>
      </c>
      <c r="AU88" s="1" cm="1">
        <f t="array" ref="AU88">_xlfn.XLOOKUP(1,('2016 E Maize Soil VWC'!$C$2:$C$4000=$AA88)*('2016 E Maize Soil VWC'!$E$2:$E$4000=$AB88)*('2016 E Maize Soil VWC'!$F$2:$F$4000=AU$5),'2016 E Maize Soil VWC'!$G$2:$G$4000)</f>
        <v>0.32486673094285368</v>
      </c>
      <c r="AV88" s="1" cm="1">
        <f t="array" ref="AV88">_xlfn.XLOOKUP(1,('2016 E Maize Soil VWC'!$C$2:$C$4000=$AA88)*('2016 E Maize Soil VWC'!$E$2:$E$4000=$AB88)*('2016 E Maize Soil VWC'!$F$2:$F$4000=AV$5),'2016 E Maize Soil VWC'!$G$2:$G$4000)</f>
        <v>0.33368257738221296</v>
      </c>
    </row>
    <row r="89" spans="25:64" x14ac:dyDescent="0.25">
      <c r="AA89" s="18">
        <f t="shared" si="15"/>
        <v>42562</v>
      </c>
      <c r="AB89" s="1">
        <f t="shared" si="16"/>
        <v>110</v>
      </c>
      <c r="AC89" s="1" cm="1">
        <f t="array" ref="AC89">_xlfn.XLOOKUP(1,('2016 E Maize Soil VWC'!$C$2:$C$4000=$AA89)*('2016 E Maize Soil VWC'!$E$2:$E$4000=$AB89)*('2016 E Maize Soil VWC'!$F$2:$F$4000=AC$5),'2016 E Maize Soil VWC'!$G$2:$G$4000)</f>
        <v>0.34146800021177703</v>
      </c>
      <c r="AD89" s="1" cm="1">
        <f t="array" ref="AD89">_xlfn.XLOOKUP(1,('2016 E Maize Soil VWC'!$C$2:$C$4000=$AA89)*('2016 E Maize Soil VWC'!$E$2:$E$4000=$AB89)*('2016 E Maize Soil VWC'!$F$2:$F$4000=AD$5),'2016 E Maize Soil VWC'!$G$2:$G$4000)</f>
        <v>0.33702572953843757</v>
      </c>
      <c r="AE89" s="1" cm="1">
        <f t="array" ref="AE89">_xlfn.XLOOKUP(1,('2016 E Maize Soil VWC'!$C$2:$C$4000=$AA89)*('2016 E Maize Soil VWC'!$E$2:$E$4000=$AB89)*('2016 E Maize Soil VWC'!$F$2:$F$4000=AE$5),'2016 E Maize Soil VWC'!$G$2:$G$4000)</f>
        <v>0.33157593355774267</v>
      </c>
      <c r="AF89" s="1" cm="1">
        <f t="array" ref="AF89">_xlfn.XLOOKUP(1,('2016 E Maize Soil VWC'!$C$2:$C$4000=$AA89)*('2016 E Maize Soil VWC'!$E$2:$E$4000=$AB89)*('2016 E Maize Soil VWC'!$F$2:$F$4000=AF$5),'2016 E Maize Soil VWC'!$G$2:$G$4000)</f>
        <v>0.34504013539240058</v>
      </c>
      <c r="AG89" s="1" cm="1">
        <f t="array" ref="AG89">_xlfn.XLOOKUP(1,('2016 E Maize Soil VWC'!$C$2:$C$4000=$AA89)*('2016 E Maize Soil VWC'!$E$2:$E$4000=$AB89)*('2016 E Maize Soil VWC'!$F$2:$F$4000=AG$5),'2016 E Maize Soil VWC'!$G$2:$G$4000)</f>
        <v>0.3307744929723464</v>
      </c>
      <c r="AH89" s="1" cm="1">
        <f t="array" ref="AH89">_xlfn.XLOOKUP(1,('2016 E Maize Soil VWC'!$C$2:$C$4000=$AA89)*('2016 E Maize Soil VWC'!$E$2:$E$4000=$AB89)*('2016 E Maize Soil VWC'!$F$2:$F$4000=AH$5),'2016 E Maize Soil VWC'!$G$2:$G$4000)</f>
        <v>0.32759162893320104</v>
      </c>
      <c r="AI89" s="1" cm="1">
        <f t="array" ref="AI89">_xlfn.XLOOKUP(1,('2016 E Maize Soil VWC'!$C$2:$C$4000=$AA89)*('2016 E Maize Soil VWC'!$E$2:$E$4000=$AB89)*('2016 E Maize Soil VWC'!$F$2:$F$4000=AI$5),'2016 E Maize Soil VWC'!$G$2:$G$4000)</f>
        <v>0.33961323771414559</v>
      </c>
      <c r="AJ89" s="1" cm="1">
        <f t="array" ref="AJ89">_xlfn.XLOOKUP(1,('2016 E Maize Soil VWC'!$C$2:$C$4000=$AA89)*('2016 E Maize Soil VWC'!$E$2:$E$4000=$AB89)*('2016 E Maize Soil VWC'!$F$2:$F$4000=AJ$5),'2016 E Maize Soil VWC'!$G$2:$G$4000)</f>
        <v>0.34194886456301482</v>
      </c>
      <c r="AK89" s="1" cm="1">
        <f t="array" ref="AK89">_xlfn.XLOOKUP(1,('2016 E Maize Soil VWC'!$C$2:$C$4000=$AA89)*('2016 E Maize Soil VWC'!$E$2:$E$4000=$AB89)*('2016 E Maize Soil VWC'!$F$2:$F$4000=AK$5),'2016 E Maize Soil VWC'!$G$2:$G$4000)</f>
        <v>0.33283534019193689</v>
      </c>
      <c r="AL89" s="1" cm="1">
        <f t="array" ref="AL89">_xlfn.XLOOKUP(1,('2016 E Maize Soil VWC'!$C$2:$C$4000=$AA89)*('2016 E Maize Soil VWC'!$E$2:$E$4000=$AB89)*('2016 E Maize Soil VWC'!$F$2:$F$4000=AL$5),'2016 E Maize Soil VWC'!$G$2:$G$4000)</f>
        <v>0.33418634003589065</v>
      </c>
      <c r="AM89" s="1" cm="1">
        <f t="array" ref="AM89">_xlfn.XLOOKUP(1,('2016 E Maize Soil VWC'!$C$2:$C$4000=$AA89)*('2016 E Maize Soil VWC'!$E$2:$E$4000=$AB89)*('2016 E Maize Soil VWC'!$F$2:$F$4000=AM$5),'2016 E Maize Soil VWC'!$G$2:$G$4000)</f>
        <v>0.32830147630883777</v>
      </c>
      <c r="AN89" s="1" cm="1">
        <f t="array" ref="AN89">_xlfn.XLOOKUP(1,('2016 E Maize Soil VWC'!$C$2:$C$4000=$AA89)*('2016 E Maize Soil VWC'!$E$2:$E$4000=$AB89)*('2016 E Maize Soil VWC'!$F$2:$F$4000=AN$5),'2016 E Maize Soil VWC'!$G$2:$G$4000)</f>
        <v>0.33888049203606896</v>
      </c>
      <c r="AO89" s="1" cm="1">
        <f t="array" ref="AO89">_xlfn.XLOOKUP(1,('2016 E Maize Soil VWC'!$C$2:$C$4000=$AA89)*('2016 E Maize Soil VWC'!$E$2:$E$4000=$AB89)*('2016 E Maize Soil VWC'!$F$2:$F$4000=AO$5),'2016 E Maize Soil VWC'!$G$2:$G$4000)</f>
        <v>0.33572052629936355</v>
      </c>
      <c r="AP89" s="1" cm="1">
        <f t="array" ref="AP89">_xlfn.XLOOKUP(1,('2016 E Maize Soil VWC'!$C$2:$C$4000=$AA89)*('2016 E Maize Soil VWC'!$E$2:$E$4000=$AB89)*('2016 E Maize Soil VWC'!$F$2:$F$4000=AP$5),'2016 E Maize Soil VWC'!$G$2:$G$4000)</f>
        <v>0.32667569683560527</v>
      </c>
      <c r="AQ89" s="1" cm="1">
        <f t="array" ref="AQ89">_xlfn.XLOOKUP(1,('2016 E Maize Soil VWC'!$C$2:$C$4000=$AA89)*('2016 E Maize Soil VWC'!$E$2:$E$4000=$AB89)*('2016 E Maize Soil VWC'!$F$2:$F$4000=AQ$5),'2016 E Maize Soil VWC'!$G$2:$G$4000)</f>
        <v>0.31861549437676251</v>
      </c>
      <c r="AR89" s="1" cm="1">
        <f t="array" ref="AR89">_xlfn.XLOOKUP(1,('2016 E Maize Soil VWC'!$C$2:$C$4000=$AA89)*('2016 E Maize Soil VWC'!$E$2:$E$4000=$AB89)*('2016 E Maize Soil VWC'!$F$2:$F$4000=AR$5),'2016 E Maize Soil VWC'!$G$2:$G$4000)</f>
        <v>0.31719579962548905</v>
      </c>
      <c r="AS89" s="1" cm="1">
        <f t="array" ref="AS89">_xlfn.XLOOKUP(1,('2016 E Maize Soil VWC'!$C$2:$C$4000=$AA89)*('2016 E Maize Soil VWC'!$E$2:$E$4000=$AB89)*('2016 E Maize Soil VWC'!$F$2:$F$4000=AS$5),'2016 E Maize Soil VWC'!$G$2:$G$4000)</f>
        <v>0.34327696610452868</v>
      </c>
      <c r="AT89" s="1" cm="1">
        <f t="array" ref="AT89">_xlfn.XLOOKUP(1,('2016 E Maize Soil VWC'!$C$2:$C$4000=$AA89)*('2016 E Maize Soil VWC'!$E$2:$E$4000=$AB89)*('2016 E Maize Soil VWC'!$F$2:$F$4000=AT$5),'2016 E Maize Soil VWC'!$G$2:$G$4000)</f>
        <v>0.33576632290424335</v>
      </c>
      <c r="AU89" s="1" cm="1">
        <f t="array" ref="AU89">_xlfn.XLOOKUP(1,('2016 E Maize Soil VWC'!$C$2:$C$4000=$AA89)*('2016 E Maize Soil VWC'!$E$2:$E$4000=$AB89)*('2016 E Maize Soil VWC'!$F$2:$F$4000=AU$5),'2016 E Maize Soil VWC'!$G$2:$G$4000)</f>
        <v>0.33782717012383384</v>
      </c>
      <c r="AV89" s="1" cm="1">
        <f t="array" ref="AV89">_xlfn.XLOOKUP(1,('2016 E Maize Soil VWC'!$C$2:$C$4000=$AA89)*('2016 E Maize Soil VWC'!$E$2:$E$4000=$AB89)*('2016 E Maize Soil VWC'!$F$2:$F$4000=AV$5),'2016 E Maize Soil VWC'!$G$2:$G$4000)</f>
        <v>0.32788930686491968</v>
      </c>
    </row>
    <row r="90" spans="25:64" x14ac:dyDescent="0.25">
      <c r="AA90" s="18">
        <f t="shared" si="15"/>
        <v>42562</v>
      </c>
      <c r="AB90" s="1">
        <f t="shared" si="16"/>
        <v>130</v>
      </c>
      <c r="AC90" s="1" cm="1">
        <f t="array" ref="AC90">_xlfn.XLOOKUP(1,('2016 E Maize Soil VWC'!$C$2:$C$4000=$AA90)*('2016 E Maize Soil VWC'!$E$2:$E$4000=$AB90)*('2016 E Maize Soil VWC'!$F$2:$F$4000=AC$5),'2016 E Maize Soil VWC'!$G$2:$G$4000)</f>
        <v>0.31679572131257183</v>
      </c>
      <c r="AD90" s="1" cm="1">
        <f t="array" ref="AD90">_xlfn.XLOOKUP(1,('2016 E Maize Soil VWC'!$C$2:$C$4000=$AA90)*('2016 E Maize Soil VWC'!$E$2:$E$4000=$AB90)*('2016 E Maize Soil VWC'!$F$2:$F$4000=AD$5),'2016 E Maize Soil VWC'!$G$2:$G$4000)</f>
        <v>0.31619232165587352</v>
      </c>
      <c r="AE90" s="1" cm="1">
        <f t="array" ref="AE90">_xlfn.XLOOKUP(1,('2016 E Maize Soil VWC'!$C$2:$C$4000=$AA90)*('2016 E Maize Soil VWC'!$E$2:$E$4000=$AB90)*('2016 E Maize Soil VWC'!$F$2:$F$4000=AE$5),'2016 E Maize Soil VWC'!$G$2:$G$4000)</f>
        <v>0.30791990700759059</v>
      </c>
      <c r="AF90" s="1" cm="1">
        <f t="array" ref="AF90">_xlfn.XLOOKUP(1,('2016 E Maize Soil VWC'!$C$2:$C$4000=$AA90)*('2016 E Maize Soil VWC'!$E$2:$E$4000=$AB90)*('2016 E Maize Soil VWC'!$F$2:$F$4000=AF$5),'2016 E Maize Soil VWC'!$G$2:$G$4000)</f>
        <v>0.31066440222031499</v>
      </c>
      <c r="AG90" s="1" cm="1">
        <f t="array" ref="AG90">_xlfn.XLOOKUP(1,('2016 E Maize Soil VWC'!$C$2:$C$4000=$AA90)*('2016 E Maize Soil VWC'!$E$2:$E$4000=$AB90)*('2016 E Maize Soil VWC'!$F$2:$F$4000=AG$5),'2016 E Maize Soil VWC'!$G$2:$G$4000)</f>
        <v>0.3150633803626961</v>
      </c>
      <c r="AH90" s="1" cm="1">
        <f t="array" ref="AH90">_xlfn.XLOOKUP(1,('2016 E Maize Soil VWC'!$C$2:$C$4000=$AA90)*('2016 E Maize Soil VWC'!$E$2:$E$4000=$AB90)*('2016 E Maize Soil VWC'!$F$2:$F$4000=AH$5),'2016 E Maize Soil VWC'!$G$2:$G$4000)</f>
        <v>0.30914617082604195</v>
      </c>
      <c r="AI90" s="1" cm="1">
        <f t="array" ref="AI90">_xlfn.XLOOKUP(1,('2016 E Maize Soil VWC'!$C$2:$C$4000=$AA90)*('2016 E Maize Soil VWC'!$E$2:$E$4000=$AB90)*('2016 E Maize Soil VWC'!$F$2:$F$4000=AI$5),'2016 E Maize Soil VWC'!$G$2:$G$4000)</f>
        <v>0.3114235179174516</v>
      </c>
      <c r="AJ90" s="1" cm="1">
        <f t="array" ref="AJ90">_xlfn.XLOOKUP(1,('2016 E Maize Soil VWC'!$C$2:$C$4000=$AA90)*('2016 E Maize Soil VWC'!$E$2:$E$4000=$AB90)*('2016 E Maize Soil VWC'!$F$2:$F$4000=AJ$5),'2016 E Maize Soil VWC'!$G$2:$G$4000)</f>
        <v>0.34589515636947293</v>
      </c>
      <c r="AK90" s="1" cm="1">
        <f t="array" ref="AK90">_xlfn.XLOOKUP(1,('2016 E Maize Soil VWC'!$C$2:$C$4000=$AA90)*('2016 E Maize Soil VWC'!$E$2:$E$4000=$AB90)*('2016 E Maize Soil VWC'!$F$2:$F$4000=AK$5),'2016 E Maize Soil VWC'!$G$2:$G$4000)</f>
        <v>0.30897099028054886</v>
      </c>
      <c r="AL90" s="1" cm="1">
        <f t="array" ref="AL90">_xlfn.XLOOKUP(1,('2016 E Maize Soil VWC'!$C$2:$C$4000=$AA90)*('2016 E Maize Soil VWC'!$E$2:$E$4000=$AB90)*('2016 E Maize Soil VWC'!$F$2:$F$4000=AL$5),'2016 E Maize Soil VWC'!$G$2:$G$4000)</f>
        <v>0.32082487385891195</v>
      </c>
      <c r="AM90" s="1" cm="1">
        <f t="array" ref="AM90">_xlfn.XLOOKUP(1,('2016 E Maize Soil VWC'!$C$2:$C$4000=$AA90)*('2016 E Maize Soil VWC'!$E$2:$E$4000=$AB90)*('2016 E Maize Soil VWC'!$F$2:$F$4000=AM$5),'2016 E Maize Soil VWC'!$G$2:$G$4000)</f>
        <v>0.30974957048274021</v>
      </c>
      <c r="AN90" s="1" cm="1">
        <f t="array" ref="AN90">_xlfn.XLOOKUP(1,('2016 E Maize Soil VWC'!$C$2:$C$4000=$AA90)*('2016 E Maize Soil VWC'!$E$2:$E$4000=$AB90)*('2016 E Maize Soil VWC'!$F$2:$F$4000=AN$5),'2016 E Maize Soil VWC'!$G$2:$G$4000)</f>
        <v>0.30067911112721113</v>
      </c>
      <c r="AO90" s="1" cm="1">
        <f t="array" ref="AO90">_xlfn.XLOOKUP(1,('2016 E Maize Soil VWC'!$C$2:$C$4000=$AA90)*('2016 E Maize Soil VWC'!$E$2:$E$4000=$AB90)*('2016 E Maize Soil VWC'!$F$2:$F$4000=AO$5),'2016 E Maize Soil VWC'!$G$2:$G$4000)</f>
        <v>0.31551106397895606</v>
      </c>
      <c r="AP90" s="1" cm="1">
        <f t="array" ref="AP90">_xlfn.XLOOKUP(1,('2016 E Maize Soil VWC'!$C$2:$C$4000=$AA90)*('2016 E Maize Soil VWC'!$E$2:$E$4000=$AB90)*('2016 E Maize Soil VWC'!$F$2:$F$4000=AP$5),'2016 E Maize Soil VWC'!$G$2:$G$4000)</f>
        <v>0.31562785100928481</v>
      </c>
      <c r="AQ90" s="1" cm="1">
        <f t="array" ref="AQ90">_xlfn.XLOOKUP(1,('2016 E Maize Soil VWC'!$C$2:$C$4000=$AA90)*('2016 E Maize Soil VWC'!$E$2:$E$4000=$AB90)*('2016 E Maize Soil VWC'!$F$2:$F$4000=AQ$5),'2016 E Maize Soil VWC'!$G$2:$G$4000)</f>
        <v>0.30165233637995031</v>
      </c>
      <c r="AR90" s="1" cm="1">
        <f t="array" ref="AR90">_xlfn.XLOOKUP(1,('2016 E Maize Soil VWC'!$C$2:$C$4000=$AA90)*('2016 E Maize Soil VWC'!$E$2:$E$4000=$AB90)*('2016 E Maize Soil VWC'!$F$2:$F$4000=AR$5),'2016 E Maize Soil VWC'!$G$2:$G$4000)</f>
        <v>0.29955016983403371</v>
      </c>
      <c r="AS90" s="1" cm="1">
        <f t="array" ref="AS90">_xlfn.XLOOKUP(1,('2016 E Maize Soil VWC'!$C$2:$C$4000=$AA90)*('2016 E Maize Soil VWC'!$E$2:$E$4000=$AB90)*('2016 E Maize Soil VWC'!$F$2:$F$4000=AS$5),'2016 E Maize Soil VWC'!$G$2:$G$4000)</f>
        <v>0.31463516125149082</v>
      </c>
      <c r="AT90" s="1" cm="1">
        <f t="array" ref="AT90">_xlfn.XLOOKUP(1,('2016 E Maize Soil VWC'!$C$2:$C$4000=$AA90)*('2016 E Maize Soil VWC'!$E$2:$E$4000=$AB90)*('2016 E Maize Soil VWC'!$F$2:$F$4000=AT$5),'2016 E Maize Soil VWC'!$G$2:$G$4000)</f>
        <v>0.30996368003834285</v>
      </c>
      <c r="AU90" s="1" cm="1">
        <f t="array" ref="AU90">_xlfn.XLOOKUP(1,('2016 E Maize Soil VWC'!$C$2:$C$4000=$AA90)*('2016 E Maize Soil VWC'!$E$2:$E$4000=$AB90)*('2016 E Maize Soil VWC'!$F$2:$F$4000=AU$5),'2016 E Maize Soil VWC'!$G$2:$G$4000)</f>
        <v>0.30350146436015474</v>
      </c>
      <c r="AV90" s="1" cm="1">
        <f t="array" ref="AV90">_xlfn.XLOOKUP(1,('2016 E Maize Soil VWC'!$C$2:$C$4000=$AA90)*('2016 E Maize Soil VWC'!$E$2:$E$4000=$AB90)*('2016 E Maize Soil VWC'!$F$2:$F$4000=AV$5),'2016 E Maize Soil VWC'!$G$2:$G$4000)</f>
        <v>0.3077447264620975</v>
      </c>
    </row>
    <row r="91" spans="25:64" x14ac:dyDescent="0.25">
      <c r="AA91" s="18">
        <f t="shared" si="15"/>
        <v>42562</v>
      </c>
      <c r="AB91" s="1">
        <f t="shared" si="16"/>
        <v>150</v>
      </c>
      <c r="AC91" s="1" cm="1">
        <f t="array" ref="AC91">_xlfn.XLOOKUP(1,('2016 E Maize Soil VWC'!$C$2:$C$4000=$AA91)*('2016 E Maize Soil VWC'!$E$2:$E$4000=$AB91)*('2016 E Maize Soil VWC'!$F$2:$F$4000=AC$5),'2016 E Maize Soil VWC'!$G$2:$G$4000)</f>
        <v>0.34211904238884494</v>
      </c>
      <c r="AD91" s="1" cm="1">
        <f t="array" ref="AD91">_xlfn.XLOOKUP(1,('2016 E Maize Soil VWC'!$C$2:$C$4000=$AA91)*('2016 E Maize Soil VWC'!$E$2:$E$4000=$AB91)*('2016 E Maize Soil VWC'!$F$2:$F$4000=AD$5),'2016 E Maize Soil VWC'!$G$2:$G$4000)</f>
        <v>0.33166660317442626</v>
      </c>
      <c r="AE91" s="1" cm="1">
        <f t="array" ref="AE91">_xlfn.XLOOKUP(1,('2016 E Maize Soil VWC'!$C$2:$C$4000=$AA91)*('2016 E Maize Soil VWC'!$E$2:$E$4000=$AB91)*('2016 E Maize Soil VWC'!$F$2:$F$4000=AE$5),'2016 E Maize Soil VWC'!$G$2:$G$4000)</f>
        <v>0.32569100012260782</v>
      </c>
      <c r="AF91" s="1" cm="1">
        <f t="array" ref="AF91">_xlfn.XLOOKUP(1,('2016 E Maize Soil VWC'!$C$2:$C$4000=$AA91)*('2016 E Maize Soil VWC'!$E$2:$E$4000=$AB91)*('2016 E Maize Soil VWC'!$F$2:$F$4000=AF$5),'2016 E Maize Soil VWC'!$G$2:$G$4000)</f>
        <v>0.30601238551222176</v>
      </c>
      <c r="AG91" s="1" cm="1">
        <f t="array" ref="AG91">_xlfn.XLOOKUP(1,('2016 E Maize Soil VWC'!$C$2:$C$4000=$AA91)*('2016 E Maize Soil VWC'!$E$2:$E$4000=$AB91)*('2016 E Maize Soil VWC'!$F$2:$F$4000=AG$5),'2016 E Maize Soil VWC'!$G$2:$G$4000)</f>
        <v>0.36870755629367907</v>
      </c>
      <c r="AH91" s="1" cm="1">
        <f t="array" ref="AH91">_xlfn.XLOOKUP(1,('2016 E Maize Soil VWC'!$C$2:$C$4000=$AA91)*('2016 E Maize Soil VWC'!$E$2:$E$4000=$AB91)*('2016 E Maize Soil VWC'!$F$2:$F$4000=AH$5),'2016 E Maize Soil VWC'!$G$2:$G$4000)</f>
        <v>0.34568104681387035</v>
      </c>
      <c r="AI91" s="1" cm="1">
        <f t="array" ref="AI91">_xlfn.XLOOKUP(1,('2016 E Maize Soil VWC'!$C$2:$C$4000=$AA91)*('2016 E Maize Soil VWC'!$E$2:$E$4000=$AB91)*('2016 E Maize Soil VWC'!$F$2:$F$4000=AI$5),'2016 E Maize Soil VWC'!$G$2:$G$4000)</f>
        <v>0.33071284242674193</v>
      </c>
      <c r="AJ91" s="1" cm="1">
        <f t="array" ref="AJ91">_xlfn.XLOOKUP(1,('2016 E Maize Soil VWC'!$C$2:$C$4000=$AA91)*('2016 E Maize Soil VWC'!$E$2:$E$4000=$AB91)*('2016 E Maize Soil VWC'!$F$2:$F$4000=AJ$5),'2016 E Maize Soil VWC'!$G$2:$G$4000)</f>
        <v>0.33789524479195698</v>
      </c>
      <c r="AK91" s="1" cm="1">
        <f t="array" ref="AK91">_xlfn.XLOOKUP(1,('2016 E Maize Soil VWC'!$C$2:$C$4000=$AA91)*('2016 E Maize Soil VWC'!$E$2:$E$4000=$AB91)*('2016 E Maize Soil VWC'!$F$2:$F$4000=AK$5),'2016 E Maize Soil VWC'!$G$2:$G$4000)</f>
        <v>0.3347030659629725</v>
      </c>
      <c r="AL91" s="1" cm="1">
        <f t="array" ref="AL91">_xlfn.XLOOKUP(1,('2016 E Maize Soil VWC'!$C$2:$C$4000=$AA91)*('2016 E Maize Soil VWC'!$E$2:$E$4000=$AB91)*('2016 E Maize Soil VWC'!$F$2:$F$4000=AL$5),'2016 E Maize Soil VWC'!$G$2:$G$4000)</f>
        <v>0.34852286455186871</v>
      </c>
      <c r="AM91" s="1" cm="1">
        <f t="array" ref="AM91">_xlfn.XLOOKUP(1,('2016 E Maize Soil VWC'!$C$2:$C$4000=$AA91)*('2016 E Maize Soil VWC'!$E$2:$E$4000=$AB91)*('2016 E Maize Soil VWC'!$F$2:$F$4000=AM$5),'2016 E Maize Soil VWC'!$G$2:$G$4000)</f>
        <v>0.33779792226668309</v>
      </c>
      <c r="AN91" s="1" cm="1">
        <f t="array" ref="AN91">_xlfn.XLOOKUP(1,('2016 E Maize Soil VWC'!$C$2:$C$4000=$AA91)*('2016 E Maize Soil VWC'!$E$2:$E$4000=$AB91)*('2016 E Maize Soil VWC'!$F$2:$F$4000=AN$5),'2016 E Maize Soil VWC'!$G$2:$G$4000)</f>
        <v>0.33900472158007966</v>
      </c>
      <c r="AO91" s="1" cm="1">
        <f t="array" ref="AO91">_xlfn.XLOOKUP(1,('2016 E Maize Soil VWC'!$C$2:$C$4000=$AA91)*('2016 E Maize Soil VWC'!$E$2:$E$4000=$AB91)*('2016 E Maize Soil VWC'!$F$2:$F$4000=AO$5),'2016 E Maize Soil VWC'!$G$2:$G$4000)</f>
        <v>0.30618756605771486</v>
      </c>
      <c r="AP91" s="1" cm="1">
        <f t="array" ref="AP91">_xlfn.XLOOKUP(1,('2016 E Maize Soil VWC'!$C$2:$C$4000=$AA91)*('2016 E Maize Soil VWC'!$E$2:$E$4000=$AB91)*('2016 E Maize Soil VWC'!$F$2:$F$4000=AP$5),'2016 E Maize Soil VWC'!$G$2:$G$4000)</f>
        <v>0.30937974488669934</v>
      </c>
      <c r="AQ91" s="1" cm="1">
        <f t="array" ref="AQ91">_xlfn.XLOOKUP(1,('2016 E Maize Soil VWC'!$C$2:$C$4000=$AA91)*('2016 E Maize Soil VWC'!$E$2:$E$4000=$AB91)*('2016 E Maize Soil VWC'!$F$2:$F$4000=AQ$5),'2016 E Maize Soil VWC'!$G$2:$G$4000)</f>
        <v>0.34595354988463733</v>
      </c>
      <c r="AR91" s="1" cm="1">
        <f t="array" ref="AR91">_xlfn.XLOOKUP(1,('2016 E Maize Soil VWC'!$C$2:$C$4000=$AA91)*('2016 E Maize Soil VWC'!$E$2:$E$4000=$AB91)*('2016 E Maize Soil VWC'!$F$2:$F$4000=AR$5),'2016 E Maize Soil VWC'!$G$2:$G$4000)</f>
        <v>0.33168606767948106</v>
      </c>
      <c r="AS91" s="1" cm="1">
        <f t="array" ref="AS91">_xlfn.XLOOKUP(1,('2016 E Maize Soil VWC'!$C$2:$C$4000=$AA91)*('2016 E Maize Soil VWC'!$E$2:$E$4000=$AB91)*('2016 E Maize Soil VWC'!$F$2:$F$4000=AS$5),'2016 E Maize Soil VWC'!$G$2:$G$4000)</f>
        <v>0.32372508511207465</v>
      </c>
      <c r="AT91" s="1" cm="1">
        <f t="array" ref="AT91">_xlfn.XLOOKUP(1,('2016 E Maize Soil VWC'!$C$2:$C$4000=$AA91)*('2016 E Maize Soil VWC'!$E$2:$E$4000=$AB91)*('2016 E Maize Soil VWC'!$F$2:$F$4000=AT$5),'2016 E Maize Soil VWC'!$G$2:$G$4000)</f>
        <v>0.33182231921486455</v>
      </c>
      <c r="AU91" s="1" cm="1">
        <f t="array" ref="AU91">_xlfn.XLOOKUP(1,('2016 E Maize Soil VWC'!$C$2:$C$4000=$AA91)*('2016 E Maize Soil VWC'!$E$2:$E$4000=$AB91)*('2016 E Maize Soil VWC'!$F$2:$F$4000=AU$5),'2016 E Maize Soil VWC'!$G$2:$G$4000)</f>
        <v>0.33380769873045246</v>
      </c>
      <c r="AV91" s="1" cm="1">
        <f t="array" ref="AV91">_xlfn.XLOOKUP(1,('2016 E Maize Soil VWC'!$C$2:$C$4000=$AA91)*('2016 E Maize Soil VWC'!$E$2:$E$4000=$AB91)*('2016 E Maize Soil VWC'!$F$2:$F$4000=AV$5),'2016 E Maize Soil VWC'!$G$2:$G$4000)</f>
        <v>0.34114581713610581</v>
      </c>
    </row>
    <row r="92" spans="25:64" x14ac:dyDescent="0.25">
      <c r="AA92" s="18">
        <f t="shared" si="15"/>
        <v>42562</v>
      </c>
      <c r="AB92" s="1">
        <f t="shared" si="16"/>
        <v>170</v>
      </c>
      <c r="AC92" s="1" cm="1">
        <f t="array" ref="AC92">_xlfn.XLOOKUP(1,('2016 E Maize Soil VWC'!$C$2:$C$4000=$AA92)*('2016 E Maize Soil VWC'!$E$2:$E$4000=$AB92)*('2016 E Maize Soil VWC'!$F$2:$F$4000=AC$5),'2016 E Maize Soil VWC'!$G$2:$G$4000)</f>
        <v>0.28290801801219395</v>
      </c>
      <c r="AD92" s="1" cm="1">
        <f t="array" ref="AD92">_xlfn.XLOOKUP(1,('2016 E Maize Soil VWC'!$C$2:$C$4000=$AA92)*('2016 E Maize Soil VWC'!$E$2:$E$4000=$AB92)*('2016 E Maize Soil VWC'!$F$2:$F$4000=AD$5),'2016 E Maize Soil VWC'!$G$2:$G$4000)</f>
        <v>0.27656258936433453</v>
      </c>
      <c r="AE92" s="1" cm="1">
        <f t="array" ref="AE92">_xlfn.XLOOKUP(1,('2016 E Maize Soil VWC'!$C$2:$C$4000=$AA92)*('2016 E Maize Soil VWC'!$E$2:$E$4000=$AB92)*('2016 E Maize Soil VWC'!$F$2:$F$4000=AE$5),'2016 E Maize Soil VWC'!$G$2:$G$4000)</f>
        <v>0.29365242480243436</v>
      </c>
      <c r="AF92" s="1" cm="1">
        <f t="array" ref="AF92">_xlfn.XLOOKUP(1,('2016 E Maize Soil VWC'!$C$2:$C$4000=$AA92)*('2016 E Maize Soil VWC'!$E$2:$E$4000=$AB92)*('2016 E Maize Soil VWC'!$F$2:$F$4000=AF$5),'2016 E Maize Soil VWC'!$G$2:$G$4000)</f>
        <v>0.30149662033951202</v>
      </c>
      <c r="AG92" s="1" cm="1">
        <f t="array" ref="AG92">_xlfn.XLOOKUP(1,('2016 E Maize Soil VWC'!$C$2:$C$4000=$AA92)*('2016 E Maize Soil VWC'!$E$2:$E$4000=$AB92)*('2016 E Maize Soil VWC'!$F$2:$F$4000=AG$5),'2016 E Maize Soil VWC'!$G$2:$G$4000)</f>
        <v>0.33629915537746474</v>
      </c>
      <c r="AH92" s="1" cm="1">
        <f t="array" ref="AH92">_xlfn.XLOOKUP(1,('2016 E Maize Soil VWC'!$C$2:$C$4000=$AA92)*('2016 E Maize Soil VWC'!$E$2:$E$4000=$AB92)*('2016 E Maize Soil VWC'!$F$2:$F$4000=AH$5),'2016 E Maize Soil VWC'!$G$2:$G$4000)</f>
        <v>0.35255201709820888</v>
      </c>
      <c r="AI92" s="1" cm="1">
        <f t="array" ref="AI92">_xlfn.XLOOKUP(1,('2016 E Maize Soil VWC'!$C$2:$C$4000=$AA92)*('2016 E Maize Soil VWC'!$E$2:$E$4000=$AB92)*('2016 E Maize Soil VWC'!$F$2:$F$4000=AI$5),'2016 E Maize Soil VWC'!$G$2:$G$4000)</f>
        <v>0.30126304627885464</v>
      </c>
      <c r="AJ92" s="1" cm="1">
        <f t="array" ref="AJ92">_xlfn.XLOOKUP(1,('2016 E Maize Soil VWC'!$C$2:$C$4000=$AA92)*('2016 E Maize Soil VWC'!$E$2:$E$4000=$AB92)*('2016 E Maize Soil VWC'!$F$2:$F$4000=AJ$5),'2016 E Maize Soil VWC'!$G$2:$G$4000)</f>
        <v>0.31292228480666989</v>
      </c>
      <c r="AK92" s="1" cm="1">
        <f t="array" ref="AK92">_xlfn.XLOOKUP(1,('2016 E Maize Soil VWC'!$C$2:$C$4000=$AA92)*('2016 E Maize Soil VWC'!$E$2:$E$4000=$AB92)*('2016 E Maize Soil VWC'!$F$2:$F$4000=AK$5),'2016 E Maize Soil VWC'!$G$2:$G$4000)</f>
        <v>0.3033262838146617</v>
      </c>
      <c r="AL92" s="1" cm="1">
        <f t="array" ref="AL92">_xlfn.XLOOKUP(1,('2016 E Maize Soil VWC'!$C$2:$C$4000=$AA92)*('2016 E Maize Soil VWC'!$E$2:$E$4000=$AB92)*('2016 E Maize Soil VWC'!$F$2:$F$4000=AL$5),'2016 E Maize Soil VWC'!$G$2:$G$4000)</f>
        <v>0.31405122609984731</v>
      </c>
      <c r="AM92" s="1" cm="1">
        <f t="array" ref="AM92">_xlfn.XLOOKUP(1,('2016 E Maize Soil VWC'!$C$2:$C$4000=$AA92)*('2016 E Maize Soil VWC'!$E$2:$E$4000=$AB92)*('2016 E Maize Soil VWC'!$F$2:$F$4000=AM$5),'2016 E Maize Soil VWC'!$G$2:$G$4000)</f>
        <v>0.32475670387997818</v>
      </c>
      <c r="AN92" s="1" cm="1">
        <f t="array" ref="AN92">_xlfn.XLOOKUP(1,('2016 E Maize Soil VWC'!$C$2:$C$4000=$AA92)*('2016 E Maize Soil VWC'!$E$2:$E$4000=$AB92)*('2016 E Maize Soil VWC'!$F$2:$F$4000=AN$5),'2016 E Maize Soil VWC'!$G$2:$G$4000)</f>
        <v>0.33826507038799786</v>
      </c>
      <c r="AO92" s="1" cm="1">
        <f t="array" ref="AO92">_xlfn.XLOOKUP(1,('2016 E Maize Soil VWC'!$C$2:$C$4000=$AA92)*('2016 E Maize Soil VWC'!$E$2:$E$4000=$AB92)*('2016 E Maize Soil VWC'!$F$2:$F$4000=AO$5),'2016 E Maize Soil VWC'!$G$2:$G$4000)</f>
        <v>0.30208055549115553</v>
      </c>
      <c r="AP92" s="1" cm="1">
        <f t="array" ref="AP92">_xlfn.XLOOKUP(1,('2016 E Maize Soil VWC'!$C$2:$C$4000=$AA92)*('2016 E Maize Soil VWC'!$E$2:$E$4000=$AB92)*('2016 E Maize Soil VWC'!$F$2:$F$4000=AP$5),'2016 E Maize Soil VWC'!$G$2:$G$4000)</f>
        <v>0.3216229185661581</v>
      </c>
      <c r="AQ92" s="1" cm="1">
        <f t="array" ref="AQ92">_xlfn.XLOOKUP(1,('2016 E Maize Soil VWC'!$C$2:$C$4000=$AA92)*('2016 E Maize Soil VWC'!$E$2:$E$4000=$AB92)*('2016 E Maize Soil VWC'!$F$2:$F$4000=AQ$5),'2016 E Maize Soil VWC'!$G$2:$G$4000)</f>
        <v>0.33822614137788826</v>
      </c>
      <c r="AR92" s="1" cm="1">
        <f t="array" ref="AR92">_xlfn.XLOOKUP(1,('2016 E Maize Soil VWC'!$C$2:$C$4000=$AA92)*('2016 E Maize Soil VWC'!$E$2:$E$4000=$AB92)*('2016 E Maize Soil VWC'!$F$2:$F$4000=AR$5),'2016 E Maize Soil VWC'!$G$2:$G$4000)</f>
        <v>0.33341840862935684</v>
      </c>
      <c r="AS92" s="1" cm="1">
        <f t="array" ref="AS92">_xlfn.XLOOKUP(1,('2016 E Maize Soil VWC'!$C$2:$C$4000=$AA92)*('2016 E Maize Soil VWC'!$E$2:$E$4000=$AB92)*('2016 E Maize Soil VWC'!$F$2:$F$4000=AS$5),'2016 E Maize Soil VWC'!$G$2:$G$4000)</f>
        <v>0.32074701583869281</v>
      </c>
      <c r="AT92" s="1" cm="1">
        <f t="array" ref="AT92">_xlfn.XLOOKUP(1,('2016 E Maize Soil VWC'!$C$2:$C$4000=$AA92)*('2016 E Maize Soil VWC'!$E$2:$E$4000=$AB92)*('2016 E Maize Soil VWC'!$F$2:$F$4000=AT$5),'2016 E Maize Soil VWC'!$G$2:$G$4000)</f>
        <v>0.32989533321444103</v>
      </c>
      <c r="AU92" s="1" cm="1">
        <f t="array" ref="AU92">_xlfn.XLOOKUP(1,('2016 E Maize Soil VWC'!$C$2:$C$4000=$AA92)*('2016 E Maize Soil VWC'!$E$2:$E$4000=$AB92)*('2016 E Maize Soil VWC'!$F$2:$F$4000=AU$5),'2016 E Maize Soil VWC'!$G$2:$G$4000)</f>
        <v>0.3099247510282333</v>
      </c>
      <c r="AV92" s="1" cm="1">
        <f t="array" ref="AV92">_xlfn.XLOOKUP(1,('2016 E Maize Soil VWC'!$C$2:$C$4000=$AA92)*('2016 E Maize Soil VWC'!$E$2:$E$4000=$AB92)*('2016 E Maize Soil VWC'!$F$2:$F$4000=AV$5),'2016 E Maize Soil VWC'!$G$2:$G$4000)</f>
        <v>0.32154506054593895</v>
      </c>
    </row>
    <row r="93" spans="25:64" x14ac:dyDescent="0.25">
      <c r="AA93" s="18">
        <f t="shared" si="15"/>
        <v>42562</v>
      </c>
      <c r="AB93" s="1">
        <f t="shared" si="16"/>
        <v>190</v>
      </c>
      <c r="AC93" s="1" cm="1">
        <f t="array" ref="AC93">_xlfn.XLOOKUP(1,('2016 E Maize Soil VWC'!$C$2:$C$4000=$AA93)*('2016 E Maize Soil VWC'!$E$2:$E$4000=$AB93)*('2016 E Maize Soil VWC'!$F$2:$F$4000=AC$5),'2016 E Maize Soil VWC'!$G$2:$G$4000)</f>
        <v>0.29028506542795685</v>
      </c>
      <c r="AD93" s="1" cm="1">
        <f t="array" ref="AD93">_xlfn.XLOOKUP(1,('2016 E Maize Soil VWC'!$C$2:$C$4000=$AA93)*('2016 E Maize Soil VWC'!$E$2:$E$4000=$AB93)*('2016 E Maize Soil VWC'!$F$2:$F$4000=AD$5),'2016 E Maize Soil VWC'!$G$2:$G$4000)</f>
        <v>0.29986160191491029</v>
      </c>
      <c r="AE93" s="1" cm="1">
        <f t="array" ref="AE93">_xlfn.XLOOKUP(1,('2016 E Maize Soil VWC'!$C$2:$C$4000=$AA93)*('2016 E Maize Soil VWC'!$E$2:$E$4000=$AB93)*('2016 E Maize Soil VWC'!$F$2:$F$4000=AE$5),'2016 E Maize Soil VWC'!$G$2:$G$4000)</f>
        <v>0.30095161419797811</v>
      </c>
      <c r="AF93" s="1" cm="1">
        <f t="array" ref="AF93">_xlfn.XLOOKUP(1,('2016 E Maize Soil VWC'!$C$2:$C$4000=$AA93)*('2016 E Maize Soil VWC'!$E$2:$E$4000=$AB93)*('2016 E Maize Soil VWC'!$F$2:$F$4000=AF$5),'2016 E Maize Soil VWC'!$G$2:$G$4000)</f>
        <v>0.30067911112721113</v>
      </c>
      <c r="AG93" s="1" cm="1">
        <f t="array" ref="AG93">_xlfn.XLOOKUP(1,('2016 E Maize Soil VWC'!$C$2:$C$4000=$AA93)*('2016 E Maize Soil VWC'!$E$2:$E$4000=$AB93)*('2016 E Maize Soil VWC'!$F$2:$F$4000=AG$5),'2016 E Maize Soil VWC'!$G$2:$G$4000)</f>
        <v>0.35965656144320485</v>
      </c>
      <c r="AH93" s="1" cm="1">
        <f t="array" ref="AH93">_xlfn.XLOOKUP(1,('2016 E Maize Soil VWC'!$C$2:$C$4000=$AA93)*('2016 E Maize Soil VWC'!$E$2:$E$4000=$AB93)*('2016 E Maize Soil VWC'!$F$2:$F$4000=AH$5),'2016 E Maize Soil VWC'!$G$2:$G$4000)</f>
        <v>0.37090704536486963</v>
      </c>
      <c r="AI93" s="1" cm="1">
        <f t="array" ref="AI93">_xlfn.XLOOKUP(1,('2016 E Maize Soil VWC'!$C$2:$C$4000=$AA93)*('2016 E Maize Soil VWC'!$E$2:$E$4000=$AB93)*('2016 E Maize Soil VWC'!$F$2:$F$4000=AI$5),'2016 E Maize Soil VWC'!$G$2:$G$4000)</f>
        <v>0.29010988488246375</v>
      </c>
      <c r="AJ93" s="1" cm="1">
        <f t="array" ref="AJ93">_xlfn.XLOOKUP(1,('2016 E Maize Soil VWC'!$C$2:$C$4000=$AA93)*('2016 E Maize Soil VWC'!$E$2:$E$4000=$AB93)*('2016 E Maize Soil VWC'!$F$2:$F$4000=AJ$5),'2016 E Maize Soil VWC'!$G$2:$G$4000)</f>
        <v>0.30025089201600591</v>
      </c>
      <c r="AK93" s="1" cm="1">
        <f t="array" ref="AK93">_xlfn.XLOOKUP(1,('2016 E Maize Soil VWC'!$C$2:$C$4000=$AA93)*('2016 E Maize Soil VWC'!$E$2:$E$4000=$AB93)*('2016 E Maize Soil VWC'!$F$2:$F$4000=AK$5),'2016 E Maize Soil VWC'!$G$2:$G$4000)</f>
        <v>0.29267919954969518</v>
      </c>
      <c r="AL93" s="1" cm="1">
        <f t="array" ref="AL93">_xlfn.XLOOKUP(1,('2016 E Maize Soil VWC'!$C$2:$C$4000=$AA93)*('2016 E Maize Soil VWC'!$E$2:$E$4000=$AB93)*('2016 E Maize Soil VWC'!$F$2:$F$4000=AL$5),'2016 E Maize Soil VWC'!$G$2:$G$4000)</f>
        <v>0.2960465589241727</v>
      </c>
      <c r="AM93" s="1" cm="1">
        <f t="array" ref="AM93">_xlfn.XLOOKUP(1,('2016 E Maize Soil VWC'!$C$2:$C$4000=$AA93)*('2016 E Maize Soil VWC'!$E$2:$E$4000=$AB93)*('2016 E Maize Soil VWC'!$F$2:$F$4000=AM$5),'2016 E Maize Soil VWC'!$G$2:$G$4000)</f>
        <v>0.31231888514997164</v>
      </c>
      <c r="AN93" s="1" cm="1">
        <f t="array" ref="AN93">_xlfn.XLOOKUP(1,('2016 E Maize Soil VWC'!$C$2:$C$4000=$AA93)*('2016 E Maize Soil VWC'!$E$2:$E$4000=$AB93)*('2016 E Maize Soil VWC'!$F$2:$F$4000=AN$5),'2016 E Maize Soil VWC'!$G$2:$G$4000)</f>
        <v>0.31638696670642136</v>
      </c>
      <c r="AO93" s="1" cm="1">
        <f t="array" ref="AO93">_xlfn.XLOOKUP(1,('2016 E Maize Soil VWC'!$C$2:$C$4000=$AA93)*('2016 E Maize Soil VWC'!$E$2:$E$4000=$AB93)*('2016 E Maize Soil VWC'!$F$2:$F$4000=AO$5),'2016 E Maize Soil VWC'!$G$2:$G$4000)</f>
        <v>0.29797354492459627</v>
      </c>
      <c r="AP93" s="1" cm="1">
        <f t="array" ref="AP93">_xlfn.XLOOKUP(1,('2016 E Maize Soil VWC'!$C$2:$C$4000=$AA93)*('2016 E Maize Soil VWC'!$E$2:$E$4000=$AB93)*('2016 E Maize Soil VWC'!$F$2:$F$4000=AP$5),'2016 E Maize Soil VWC'!$G$2:$G$4000)</f>
        <v>0.30472772817860611</v>
      </c>
      <c r="AQ93" s="1" cm="1">
        <f t="array" ref="AQ93">_xlfn.XLOOKUP(1,('2016 E Maize Soil VWC'!$C$2:$C$4000=$AA93)*('2016 E Maize Soil VWC'!$E$2:$E$4000=$AB93)*('2016 E Maize Soil VWC'!$F$2:$F$4000=AQ$5),'2016 E Maize Soil VWC'!$G$2:$G$4000)</f>
        <v>0.35560794439180987</v>
      </c>
      <c r="AR93" s="1" cm="1">
        <f t="array" ref="AR93">_xlfn.XLOOKUP(1,('2016 E Maize Soil VWC'!$C$2:$C$4000=$AA93)*('2016 E Maize Soil VWC'!$E$2:$E$4000=$AB93)*('2016 E Maize Soil VWC'!$F$2:$F$4000=AR$5),'2016 E Maize Soil VWC'!$G$2:$G$4000)</f>
        <v>0.34063974000468145</v>
      </c>
      <c r="AS93" s="1" cm="1">
        <f t="array" ref="AS93">_xlfn.XLOOKUP(1,('2016 E Maize Soil VWC'!$C$2:$C$4000=$AA93)*('2016 E Maize Soil VWC'!$E$2:$E$4000=$AB93)*('2016 E Maize Soil VWC'!$F$2:$F$4000=AS$5),'2016 E Maize Soil VWC'!$G$2:$G$4000)</f>
        <v>0.32269346634417118</v>
      </c>
      <c r="AT93" s="1" cm="1">
        <f t="array" ref="AT93">_xlfn.XLOOKUP(1,('2016 E Maize Soil VWC'!$C$2:$C$4000=$AA93)*('2016 E Maize Soil VWC'!$E$2:$E$4000=$AB93)*('2016 E Maize Soil VWC'!$F$2:$F$4000=AT$5),'2016 E Maize Soil VWC'!$G$2:$G$4000)</f>
        <v>0.31115101484668461</v>
      </c>
      <c r="AU93" s="1" cm="1">
        <f t="array" ref="AU93">_xlfn.XLOOKUP(1,('2016 E Maize Soil VWC'!$C$2:$C$4000=$AA93)*('2016 E Maize Soil VWC'!$E$2:$E$4000=$AB93)*('2016 E Maize Soil VWC'!$F$2:$F$4000=AU$5),'2016 E Maize Soil VWC'!$G$2:$G$4000)</f>
        <v>0.30719972032056359</v>
      </c>
      <c r="AV93" s="1" cm="1">
        <f t="array" ref="AV93">_xlfn.XLOOKUP(1,('2016 E Maize Soil VWC'!$C$2:$C$4000=$AA93)*('2016 E Maize Soil VWC'!$E$2:$E$4000=$AB93)*('2016 E Maize Soil VWC'!$F$2:$F$4000=AV$5),'2016 E Maize Soil VWC'!$G$2:$G$4000)</f>
        <v>0.30786151349242619</v>
      </c>
    </row>
    <row r="94" spans="25:64" x14ac:dyDescent="0.25">
      <c r="AA94" s="18">
        <f t="shared" si="15"/>
        <v>42562</v>
      </c>
      <c r="AB94" s="1">
        <f t="shared" si="16"/>
        <v>210</v>
      </c>
      <c r="AC94" s="1" cm="1">
        <f t="array" ref="AC94">_xlfn.XLOOKUP(1,('2016 E Maize Soil VWC'!$C$2:$C$4000=$AA94)*('2016 E Maize Soil VWC'!$E$2:$E$4000=$AB94)*('2016 E Maize Soil VWC'!$F$2:$F$4000=AC$5),'2016 E Maize Soil VWC'!$G$2:$G$4000)</f>
        <v>0.30653792714870098</v>
      </c>
      <c r="AD94" s="1" cm="1">
        <f t="array" ref="AD94">_xlfn.XLOOKUP(1,('2016 E Maize Soil VWC'!$C$2:$C$4000=$AA94)*('2016 E Maize Soil VWC'!$E$2:$E$4000=$AB94)*('2016 E Maize Soil VWC'!$F$2:$F$4000=AD$5),'2016 E Maize Soil VWC'!$G$2:$G$4000)</f>
        <v>0.30248931009730601</v>
      </c>
      <c r="AE94" s="1" cm="1">
        <f t="array" ref="AE94">_xlfn.XLOOKUP(1,('2016 E Maize Soil VWC'!$C$2:$C$4000=$AA94)*('2016 E Maize Soil VWC'!$E$2:$E$4000=$AB94)*('2016 E Maize Soil VWC'!$F$2:$F$4000=AE$5),'2016 E Maize Soil VWC'!$G$2:$G$4000)</f>
        <v>0.28251872791109828</v>
      </c>
      <c r="AF94" s="1" cm="1">
        <f t="array" ref="AF94">_xlfn.XLOOKUP(1,('2016 E Maize Soil VWC'!$C$2:$C$4000=$AA94)*('2016 E Maize Soil VWC'!$E$2:$E$4000=$AB94)*('2016 E Maize Soil VWC'!$F$2:$F$4000=AF$5),'2016 E Maize Soil VWC'!$G$2:$G$4000)</f>
        <v>0.29404171490352998</v>
      </c>
      <c r="AG94" s="1" t="e" cm="1">
        <f t="array" ref="AG94">_xlfn.XLOOKUP(1,('2016 E Maize Soil VWC'!$C$2:$C$4000=$AA94)*('2016 E Maize Soil VWC'!$E$2:$E$4000=$AB94)*('2016 E Maize Soil VWC'!$F$2:$F$4000=AG$5),'2016 E Maize Soil VWC'!$G$2:$G$4000)</f>
        <v>#N/A</v>
      </c>
      <c r="AH94" s="1" t="e" cm="1">
        <f t="array" ref="AH94">_xlfn.XLOOKUP(1,('2016 E Maize Soil VWC'!$C$2:$C$4000=$AA94)*('2016 E Maize Soil VWC'!$E$2:$E$4000=$AB94)*('2016 E Maize Soil VWC'!$F$2:$F$4000=AH$5),'2016 E Maize Soil VWC'!$G$2:$G$4000)</f>
        <v>#N/A</v>
      </c>
      <c r="AI94" s="1" cm="1">
        <f t="array" ref="AI94">_xlfn.XLOOKUP(1,('2016 E Maize Soil VWC'!$C$2:$C$4000=$AA94)*('2016 E Maize Soil VWC'!$E$2:$E$4000=$AB94)*('2016 E Maize Soil VWC'!$F$2:$F$4000=AI$5),'2016 E Maize Soil VWC'!$G$2:$G$4000)</f>
        <v>0.28199318627461911</v>
      </c>
      <c r="AJ94" s="1" cm="1">
        <f t="array" ref="AJ94">_xlfn.XLOOKUP(1,('2016 E Maize Soil VWC'!$C$2:$C$4000=$AA94)*('2016 E Maize Soil VWC'!$E$2:$E$4000=$AB94)*('2016 E Maize Soil VWC'!$F$2:$F$4000=AJ$5),'2016 E Maize Soil VWC'!$G$2:$G$4000)</f>
        <v>0.30671310769419402</v>
      </c>
      <c r="AK94" s="1" cm="1">
        <f t="array" ref="AK94">_xlfn.XLOOKUP(1,('2016 E Maize Soil VWC'!$C$2:$C$4000=$AA94)*('2016 E Maize Soil VWC'!$E$2:$E$4000=$AB94)*('2016 E Maize Soil VWC'!$F$2:$F$4000=AK$5),'2016 E Maize Soil VWC'!$G$2:$G$4000)</f>
        <v>0.3004455370665538</v>
      </c>
      <c r="AL94" s="1" cm="1">
        <f t="array" ref="AL94">_xlfn.XLOOKUP(1,('2016 E Maize Soil VWC'!$C$2:$C$4000=$AA94)*('2016 E Maize Soil VWC'!$E$2:$E$4000=$AB94)*('2016 E Maize Soil VWC'!$F$2:$F$4000=AL$5),'2016 E Maize Soil VWC'!$G$2:$G$4000)</f>
        <v>0.27255290132304916</v>
      </c>
      <c r="AM94" s="1" cm="1">
        <f t="array" ref="AM94">_xlfn.XLOOKUP(1,('2016 E Maize Soil VWC'!$C$2:$C$4000=$AA94)*('2016 E Maize Soil VWC'!$E$2:$E$4000=$AB94)*('2016 E Maize Soil VWC'!$F$2:$F$4000=AM$5),'2016 E Maize Soil VWC'!$G$2:$G$4000)</f>
        <v>0.30906831280582281</v>
      </c>
      <c r="AN94" s="1" cm="1">
        <f t="array" ref="AN94">_xlfn.XLOOKUP(1,('2016 E Maize Soil VWC'!$C$2:$C$4000=$AA94)*('2016 E Maize Soil VWC'!$E$2:$E$4000=$AB94)*('2016 E Maize Soil VWC'!$F$2:$F$4000=AN$5),'2016 E Maize Soil VWC'!$G$2:$G$4000)</f>
        <v>0.31050868617987676</v>
      </c>
      <c r="AO94" s="1" cm="1">
        <f t="array" ref="AO94">_xlfn.XLOOKUP(1,('2016 E Maize Soil VWC'!$C$2:$C$4000=$AA94)*('2016 E Maize Soil VWC'!$E$2:$E$4000=$AB94)*('2016 E Maize Soil VWC'!$F$2:$F$4000=AO$5),'2016 E Maize Soil VWC'!$G$2:$G$4000)</f>
        <v>0.30194430395577204</v>
      </c>
      <c r="AP94" s="1" cm="1">
        <f t="array" ref="AP94">_xlfn.XLOOKUP(1,('2016 E Maize Soil VWC'!$C$2:$C$4000=$AA94)*('2016 E Maize Soil VWC'!$E$2:$E$4000=$AB94)*('2016 E Maize Soil VWC'!$F$2:$F$4000=AP$5),'2016 E Maize Soil VWC'!$G$2:$G$4000)</f>
        <v>0.27673776990982762</v>
      </c>
      <c r="AQ94" s="1" t="e" cm="1">
        <f t="array" ref="AQ94">_xlfn.XLOOKUP(1,('2016 E Maize Soil VWC'!$C$2:$C$4000=$AA94)*('2016 E Maize Soil VWC'!$E$2:$E$4000=$AB94)*('2016 E Maize Soil VWC'!$F$2:$F$4000=AQ$5),'2016 E Maize Soil VWC'!$G$2:$G$4000)</f>
        <v>#N/A</v>
      </c>
      <c r="AR94" s="1" t="e" cm="1">
        <f t="array" ref="AR94">_xlfn.XLOOKUP(1,('2016 E Maize Soil VWC'!$C$2:$C$4000=$AA94)*('2016 E Maize Soil VWC'!$E$2:$E$4000=$AB94)*('2016 E Maize Soil VWC'!$F$2:$F$4000=AR$5),'2016 E Maize Soil VWC'!$G$2:$G$4000)</f>
        <v>#N/A</v>
      </c>
      <c r="AS94" s="1" cm="1">
        <f t="array" ref="AS94">_xlfn.XLOOKUP(1,('2016 E Maize Soil VWC'!$C$2:$C$4000=$AA94)*('2016 E Maize Soil VWC'!$E$2:$E$4000=$AB94)*('2016 E Maize Soil VWC'!$F$2:$F$4000=AS$5),'2016 E Maize Soil VWC'!$G$2:$G$4000)</f>
        <v>0.30723864933067313</v>
      </c>
      <c r="AT94" s="1" cm="1">
        <f t="array" ref="AT94">_xlfn.XLOOKUP(1,('2016 E Maize Soil VWC'!$C$2:$C$4000=$AA94)*('2016 E Maize Soil VWC'!$E$2:$E$4000=$AB94)*('2016 E Maize Soil VWC'!$F$2:$F$4000=AT$5),'2016 E Maize Soil VWC'!$G$2:$G$4000)</f>
        <v>0.30653792714870098</v>
      </c>
      <c r="AU94" s="1" cm="1">
        <f t="array" ref="AU94">_xlfn.XLOOKUP(1,('2016 E Maize Soil VWC'!$C$2:$C$4000=$AA94)*('2016 E Maize Soil VWC'!$E$2:$E$4000=$AB94)*('2016 E Maize Soil VWC'!$F$2:$F$4000=AU$5),'2016 E Maize Soil VWC'!$G$2:$G$4000)</f>
        <v>0.29988106641996504</v>
      </c>
      <c r="AV94" s="1" cm="1">
        <f t="array" ref="AV94">_xlfn.XLOOKUP(1,('2016 E Maize Soil VWC'!$C$2:$C$4000=$AA94)*('2016 E Maize Soil VWC'!$E$2:$E$4000=$AB94)*('2016 E Maize Soil VWC'!$F$2:$F$4000=AV$5),'2016 E Maize Soil VWC'!$G$2:$G$4000)</f>
        <v>0.30101000771314246</v>
      </c>
    </row>
    <row r="95" spans="25:64" x14ac:dyDescent="0.25">
      <c r="AA95" s="18">
        <f t="shared" si="15"/>
        <v>42562</v>
      </c>
      <c r="AB95" s="1">
        <f t="shared" si="16"/>
        <v>230</v>
      </c>
      <c r="AC95" s="1" cm="1">
        <f t="array" ref="AC95">_xlfn.XLOOKUP(1,('2016 E Maize Soil VWC'!$C$2:$C$4000=$AA95)*('2016 E Maize Soil VWC'!$E$2:$E$4000=$AB95)*('2016 E Maize Soil VWC'!$F$2:$F$4000=AC$5),'2016 E Maize Soil VWC'!$G$2:$G$4000)</f>
        <v>0.30248931009730601</v>
      </c>
      <c r="AD95" s="1" cm="1">
        <f t="array" ref="AD95">_xlfn.XLOOKUP(1,('2016 E Maize Soil VWC'!$C$2:$C$4000=$AA95)*('2016 E Maize Soil VWC'!$E$2:$E$4000=$AB95)*('2016 E Maize Soil VWC'!$F$2:$F$4000=AD$5),'2016 E Maize Soil VWC'!$G$2:$G$4000)</f>
        <v>0.30182751692544335</v>
      </c>
      <c r="AE95" s="1" cm="1">
        <f t="array" ref="AE95">_xlfn.XLOOKUP(1,('2016 E Maize Soil VWC'!$C$2:$C$4000=$AA95)*('2016 E Maize Soil VWC'!$E$2:$E$4000=$AB95)*('2016 E Maize Soil VWC'!$F$2:$F$4000=AE$5),'2016 E Maize Soil VWC'!$G$2:$G$4000)</f>
        <v>0.28915612413477942</v>
      </c>
      <c r="AF95" s="1" cm="1">
        <f t="array" ref="AF95">_xlfn.XLOOKUP(1,('2016 E Maize Soil VWC'!$C$2:$C$4000=$AA95)*('2016 E Maize Soil VWC'!$E$2:$E$4000=$AB95)*('2016 E Maize Soil VWC'!$F$2:$F$4000=AF$5),'2016 E Maize Soil VWC'!$G$2:$G$4000)</f>
        <v>0.28421213985086441</v>
      </c>
      <c r="AG95" s="1" t="e" cm="1">
        <f t="array" ref="AG95">_xlfn.XLOOKUP(1,('2016 E Maize Soil VWC'!$C$2:$C$4000=$AA95)*('2016 E Maize Soil VWC'!$E$2:$E$4000=$AB95)*('2016 E Maize Soil VWC'!$F$2:$F$4000=AG$5),'2016 E Maize Soil VWC'!$G$2:$G$4000)</f>
        <v>#N/A</v>
      </c>
      <c r="AH95" s="1" t="e" cm="1">
        <f t="array" ref="AH95">_xlfn.XLOOKUP(1,('2016 E Maize Soil VWC'!$C$2:$C$4000=$AA95)*('2016 E Maize Soil VWC'!$E$2:$E$4000=$AB95)*('2016 E Maize Soil VWC'!$F$2:$F$4000=AH$5),'2016 E Maize Soil VWC'!$G$2:$G$4000)</f>
        <v>#N/A</v>
      </c>
      <c r="AI95" s="1" cm="1">
        <f t="array" ref="AI95">_xlfn.XLOOKUP(1,('2016 E Maize Soil VWC'!$C$2:$C$4000=$AA95)*('2016 E Maize Soil VWC'!$E$2:$E$4000=$AB95)*('2016 E Maize Soil VWC'!$F$2:$F$4000=AI$5),'2016 E Maize Soil VWC'!$G$2:$G$4000)</f>
        <v>0.28253819241615302</v>
      </c>
      <c r="AJ95" s="1" cm="1">
        <f t="array" ref="AJ95">_xlfn.XLOOKUP(1,('2016 E Maize Soil VWC'!$C$2:$C$4000=$AA95)*('2016 E Maize Soil VWC'!$E$2:$E$4000=$AB95)*('2016 E Maize Soil VWC'!$F$2:$F$4000=AJ$5),'2016 E Maize Soil VWC'!$G$2:$G$4000)</f>
        <v>0.30978849949284981</v>
      </c>
      <c r="AK95" s="1" cm="1">
        <f t="array" ref="AK95">_xlfn.XLOOKUP(1,('2016 E Maize Soil VWC'!$C$2:$C$4000=$AA95)*('2016 E Maize Soil VWC'!$E$2:$E$4000=$AB95)*('2016 E Maize Soil VWC'!$F$2:$F$4000=AK$5),'2016 E Maize Soil VWC'!$G$2:$G$4000)</f>
        <v>0.3077447264620975</v>
      </c>
      <c r="AL95" s="1" cm="1">
        <f t="array" ref="AL95">_xlfn.XLOOKUP(1,('2016 E Maize Soil VWC'!$C$2:$C$4000=$AA95)*('2016 E Maize Soil VWC'!$E$2:$E$4000=$AB95)*('2016 E Maize Soil VWC'!$F$2:$F$4000=AL$5),'2016 E Maize Soil VWC'!$G$2:$G$4000)</f>
        <v>0.27181325013096741</v>
      </c>
      <c r="AM95" s="1" cm="1">
        <f t="array" ref="AM95">_xlfn.XLOOKUP(1,('2016 E Maize Soil VWC'!$C$2:$C$4000=$AA95)*('2016 E Maize Soil VWC'!$E$2:$E$4000=$AB95)*('2016 E Maize Soil VWC'!$F$2:$F$4000=AM$5),'2016 E Maize Soil VWC'!$G$2:$G$4000)</f>
        <v>0.29725335823756927</v>
      </c>
      <c r="AN95" s="1" cm="1">
        <f t="array" ref="AN95">_xlfn.XLOOKUP(1,('2016 E Maize Soil VWC'!$C$2:$C$4000=$AA95)*('2016 E Maize Soil VWC'!$E$2:$E$4000=$AB95)*('2016 E Maize Soil VWC'!$F$2:$F$4000=AN$5),'2016 E Maize Soil VWC'!$G$2:$G$4000)</f>
        <v>0.30435790258256523</v>
      </c>
      <c r="AO95" s="1" cm="1">
        <f t="array" ref="AO95">_xlfn.XLOOKUP(1,('2016 E Maize Soil VWC'!$C$2:$C$4000=$AA95)*('2016 E Maize Soil VWC'!$E$2:$E$4000=$AB95)*('2016 E Maize Soil VWC'!$F$2:$F$4000=AO$5),'2016 E Maize Soil VWC'!$G$2:$G$4000)</f>
        <v>0.28975952379147768</v>
      </c>
      <c r="AP95" s="1" cm="1">
        <f t="array" ref="AP95">_xlfn.XLOOKUP(1,('2016 E Maize Soil VWC'!$C$2:$C$4000=$AA95)*('2016 E Maize Soil VWC'!$E$2:$E$4000=$AB95)*('2016 E Maize Soil VWC'!$F$2:$F$4000=AP$5),'2016 E Maize Soil VWC'!$G$2:$G$4000)</f>
        <v>0.29349670876199607</v>
      </c>
      <c r="AQ95" s="1" t="e" cm="1">
        <f t="array" ref="AQ95">_xlfn.XLOOKUP(1,('2016 E Maize Soil VWC'!$C$2:$C$4000=$AA95)*('2016 E Maize Soil VWC'!$E$2:$E$4000=$AB95)*('2016 E Maize Soil VWC'!$F$2:$F$4000=AQ$5),'2016 E Maize Soil VWC'!$G$2:$G$4000)</f>
        <v>#N/A</v>
      </c>
      <c r="AR95" s="1" t="e" cm="1">
        <f t="array" ref="AR95">_xlfn.XLOOKUP(1,('2016 E Maize Soil VWC'!$C$2:$C$4000=$AA95)*('2016 E Maize Soil VWC'!$E$2:$E$4000=$AB95)*('2016 E Maize Soil VWC'!$F$2:$F$4000=AR$5),'2016 E Maize Soil VWC'!$G$2:$G$4000)</f>
        <v>#N/A</v>
      </c>
      <c r="AS95" s="1" cm="1">
        <f t="array" ref="AS95">_xlfn.XLOOKUP(1,('2016 E Maize Soil VWC'!$C$2:$C$4000=$AA95)*('2016 E Maize Soil VWC'!$E$2:$E$4000=$AB95)*('2016 E Maize Soil VWC'!$F$2:$F$4000=AS$5),'2016 E Maize Soil VWC'!$G$2:$G$4000)</f>
        <v>0.30065964662215638</v>
      </c>
      <c r="AT95" s="1" cm="1">
        <f t="array" ref="AT95">_xlfn.XLOOKUP(1,('2016 E Maize Soil VWC'!$C$2:$C$4000=$AA95)*('2016 E Maize Soil VWC'!$E$2:$E$4000=$AB95)*('2016 E Maize Soil VWC'!$F$2:$F$4000=AT$5),'2016 E Maize Soil VWC'!$G$2:$G$4000)</f>
        <v>0.30297592272367563</v>
      </c>
      <c r="AU95" s="1" cm="1">
        <f t="array" ref="AU95">_xlfn.XLOOKUP(1,('2016 E Maize Soil VWC'!$C$2:$C$4000=$AA95)*('2016 E Maize Soil VWC'!$E$2:$E$4000=$AB95)*('2016 E Maize Soil VWC'!$F$2:$F$4000=AU$5),'2016 E Maize Soil VWC'!$G$2:$G$4000)</f>
        <v>0.29069382003410732</v>
      </c>
      <c r="AV95" s="1" cm="1">
        <f t="array" ref="AV95">_xlfn.XLOOKUP(1,('2016 E Maize Soil VWC'!$C$2:$C$4000=$AA95)*('2016 E Maize Soil VWC'!$E$2:$E$4000=$AB95)*('2016 E Maize Soil VWC'!$F$2:$F$4000=AV$5),'2016 E Maize Soil VWC'!$G$2:$G$4000)</f>
        <v>0.30577881145156444</v>
      </c>
    </row>
    <row r="96" spans="25:64" x14ac:dyDescent="0.25">
      <c r="AA96" s="18"/>
    </row>
    <row r="97" spans="25:64" x14ac:dyDescent="0.25">
      <c r="Y97" s="1">
        <v>2016</v>
      </c>
      <c r="Z97" s="1">
        <v>200</v>
      </c>
      <c r="AA97" s="18">
        <f>DATE(Y97,1,Z97)</f>
        <v>42569</v>
      </c>
      <c r="AB97" s="1">
        <v>10</v>
      </c>
      <c r="AC97" s="1" cm="1">
        <f t="array" ref="AC97">_xlfn.XLOOKUP(1,('2016 E Maize Soil VWC'!$C$2:$C$4000=$AA97)*('2016 E Maize Soil VWC'!$E$2:$E$4000=$AB97)*('2016 E Maize Soil VWC'!$F$2:$F$4000=AC$5),'2016 E Maize Soil VWC'!$G$2:$G$4000)</f>
        <v>0.17761947885016216</v>
      </c>
      <c r="AD97" s="1" cm="1">
        <f t="array" ref="AD97">_xlfn.XLOOKUP(1,('2016 E Maize Soil VWC'!$C$2:$C$4000=$AA97)*('2016 E Maize Soil VWC'!$E$2:$E$4000=$AB97)*('2016 E Maize Soil VWC'!$F$2:$F$4000=AD$5),'2016 E Maize Soil VWC'!$G$2:$G$4000)</f>
        <v>0.14556733456312626</v>
      </c>
      <c r="AE97" s="1" cm="1">
        <f t="array" ref="AE97">_xlfn.XLOOKUP(1,('2016 E Maize Soil VWC'!$C$2:$C$4000=$AA97)*('2016 E Maize Soil VWC'!$E$2:$E$4000=$AB97)*('2016 E Maize Soil VWC'!$F$2:$F$4000=AE$5),'2016 E Maize Soil VWC'!$G$2:$G$4000)</f>
        <v>0.16917965629702286</v>
      </c>
      <c r="AF97" s="1" cm="1">
        <f t="array" ref="AF97">_xlfn.XLOOKUP(1,('2016 E Maize Soil VWC'!$C$2:$C$4000=$AA97)*('2016 E Maize Soil VWC'!$E$2:$E$4000=$AB97)*('2016 E Maize Soil VWC'!$F$2:$F$4000=AF$5),'2016 E Maize Soil VWC'!$G$2:$G$4000)</f>
        <v>0.15370025447796962</v>
      </c>
      <c r="AG97" s="1" cm="1">
        <f t="array" ref="AG97">_xlfn.XLOOKUP(1,('2016 E Maize Soil VWC'!$C$2:$C$4000=$AA97)*('2016 E Maize Soil VWC'!$E$2:$E$4000=$AB97)*('2016 E Maize Soil VWC'!$F$2:$F$4000=AG$5),'2016 E Maize Soil VWC'!$G$2:$G$4000)</f>
        <v>0.15517722342476903</v>
      </c>
      <c r="AH97" s="1" cm="1">
        <f t="array" ref="AH97">_xlfn.XLOOKUP(1,('2016 E Maize Soil VWC'!$C$2:$C$4000=$AA97)*('2016 E Maize Soil VWC'!$E$2:$E$4000=$AB97)*('2016 E Maize Soil VWC'!$F$2:$F$4000=AH$5),'2016 E Maize Soil VWC'!$G$2:$G$4000)</f>
        <v>0.1887255180734978</v>
      </c>
      <c r="AI97" s="1" cm="1">
        <f t="array" ref="AI97">_xlfn.XLOOKUP(1,('2016 E Maize Soil VWC'!$C$2:$C$4000=$AA97)*('2016 E Maize Soil VWC'!$E$2:$E$4000=$AB97)*('2016 E Maize Soil VWC'!$F$2:$F$4000=AI$5),'2016 E Maize Soil VWC'!$G$2:$G$4000)</f>
        <v>0.19557328319047673</v>
      </c>
      <c r="AJ97" s="1" cm="1">
        <f t="array" ref="AJ97">_xlfn.XLOOKUP(1,('2016 E Maize Soil VWC'!$C$2:$C$4000=$AA97)*('2016 E Maize Soil VWC'!$E$2:$E$4000=$AB97)*('2016 E Maize Soil VWC'!$F$2:$F$4000=AJ$5),'2016 E Maize Soil VWC'!$G$2:$G$4000)</f>
        <v>0.16616817415874363</v>
      </c>
      <c r="AK97" s="1" cm="1">
        <f t="array" ref="AK97">_xlfn.XLOOKUP(1,('2016 E Maize Soil VWC'!$C$2:$C$4000=$AA97)*('2016 E Maize Soil VWC'!$E$2:$E$4000=$AB97)*('2016 E Maize Soil VWC'!$F$2:$F$4000=AK$5),'2016 E Maize Soil VWC'!$G$2:$G$4000)</f>
        <v>0.15542658181838448</v>
      </c>
      <c r="AL97" s="1" cm="1">
        <f t="array" ref="AL97">_xlfn.XLOOKUP(1,('2016 E Maize Soil VWC'!$C$2:$C$4000=$AA97)*('2016 E Maize Soil VWC'!$E$2:$E$4000=$AB97)*('2016 E Maize Soil VWC'!$F$2:$F$4000=AL$5),'2016 E Maize Soil VWC'!$G$2:$G$4000)</f>
        <v>0.19453748678622779</v>
      </c>
      <c r="AM97" s="1" cm="1">
        <f t="array" ref="AM97">_xlfn.XLOOKUP(1,('2016 E Maize Soil VWC'!$C$2:$C$4000=$AA97)*('2016 E Maize Soil VWC'!$E$2:$E$4000=$AB97)*('2016 E Maize Soil VWC'!$F$2:$F$4000=AM$5),'2016 E Maize Soil VWC'!$G$2:$G$4000)</f>
        <v>0.13281169365894982</v>
      </c>
      <c r="AN97" s="1" cm="1">
        <f t="array" ref="AN97">_xlfn.XLOOKUP(1,('2016 E Maize Soil VWC'!$C$2:$C$4000=$AA97)*('2016 E Maize Soil VWC'!$E$2:$E$4000=$AB97)*('2016 E Maize Soil VWC'!$F$2:$F$4000=AN$5),'2016 E Maize Soil VWC'!$G$2:$G$4000)</f>
        <v>0.13597662711637704</v>
      </c>
      <c r="AO97" s="1" cm="1">
        <f t="array" ref="AO97">_xlfn.XLOOKUP(1,('2016 E Maize Soil VWC'!$C$2:$C$4000=$AA97)*('2016 E Maize Soil VWC'!$E$2:$E$4000=$AB97)*('2016 E Maize Soil VWC'!$F$2:$F$4000=AO$5),'2016 E Maize Soil VWC'!$G$2:$G$4000)</f>
        <v>0.1550429535205145</v>
      </c>
      <c r="AP97" s="1" cm="1">
        <f t="array" ref="AP97">_xlfn.XLOOKUP(1,('2016 E Maize Soil VWC'!$C$2:$C$4000=$AA97)*('2016 E Maize Soil VWC'!$E$2:$E$4000=$AB97)*('2016 E Maize Soil VWC'!$F$2:$F$4000=AP$5),'2016 E Maize Soil VWC'!$G$2:$G$4000)</f>
        <v>0.1417118701695331</v>
      </c>
      <c r="AQ97" s="1" cm="1">
        <f t="array" ref="AQ97">_xlfn.XLOOKUP(1,('2016 E Maize Soil VWC'!$C$2:$C$4000=$AA97)*('2016 E Maize Soil VWC'!$E$2:$E$4000=$AB97)*('2016 E Maize Soil VWC'!$F$2:$F$4000=AQ$5),'2016 E Maize Soil VWC'!$G$2:$G$4000)</f>
        <v>0.16553518746725815</v>
      </c>
      <c r="AR97" s="1" cm="1">
        <f t="array" ref="AR97">_xlfn.XLOOKUP(1,('2016 E Maize Soil VWC'!$C$2:$C$4000=$AA97)*('2016 E Maize Soil VWC'!$E$2:$E$4000=$AB97)*('2016 E Maize Soil VWC'!$F$2:$F$4000=AR$5),'2016 E Maize Soil VWC'!$G$2:$G$4000)</f>
        <v>0.20875091522231015</v>
      </c>
      <c r="AS97" s="1" cm="1">
        <f t="array" ref="AS97">_xlfn.XLOOKUP(1,('2016 E Maize Soil VWC'!$C$2:$C$4000=$AA97)*('2016 E Maize Soil VWC'!$E$2:$E$4000=$AB97)*('2016 E Maize Soil VWC'!$F$2:$F$4000=AS$5),'2016 E Maize Soil VWC'!$G$2:$G$4000)</f>
        <v>0.17683304083952872</v>
      </c>
      <c r="AT97" s="1" cm="1">
        <f t="array" ref="AT97">_xlfn.XLOOKUP(1,('2016 E Maize Soil VWC'!$C$2:$C$4000=$AA97)*('2016 E Maize Soil VWC'!$E$2:$E$4000=$AB97)*('2016 E Maize Soil VWC'!$F$2:$F$4000=AT$5),'2016 E Maize Soil VWC'!$G$2:$G$4000)</f>
        <v>0.15770917019071079</v>
      </c>
      <c r="AU97" s="1" cm="1">
        <f t="array" ref="AU97">_xlfn.XLOOKUP(1,('2016 E Maize Soil VWC'!$C$2:$C$4000=$AA97)*('2016 E Maize Soil VWC'!$E$2:$E$4000=$AB97)*('2016 E Maize Soil VWC'!$F$2:$F$4000=AU$5),'2016 E Maize Soil VWC'!$G$2:$G$4000)</f>
        <v>0.15592529860561544</v>
      </c>
      <c r="AV97" s="1" cm="1">
        <f t="array" ref="AV97">_xlfn.XLOOKUP(1,('2016 E Maize Soil VWC'!$C$2:$C$4000=$AA97)*('2016 E Maize Soil VWC'!$E$2:$E$4000=$AB97)*('2016 E Maize Soil VWC'!$F$2:$F$4000=AV$5),'2016 E Maize Soil VWC'!$G$2:$G$4000)</f>
        <v>0.15920532055240366</v>
      </c>
      <c r="AW97" s="1">
        <f>Z97</f>
        <v>200</v>
      </c>
      <c r="AX97" s="15">
        <f>AA97</f>
        <v>42569</v>
      </c>
      <c r="AY97" s="1">
        <f>1400*AVERAGE(AG97:AH103)+100*AVERAGE(AG104:AH104)</f>
        <v>425.51180774881021</v>
      </c>
      <c r="AZ97" s="1">
        <f>1400*AVERAGE(AC97:AF103,AI97:AL103)+100*AVERAGE(AC104:AF104,AI104:AL104)</f>
        <v>442.23594561496151</v>
      </c>
      <c r="BA97" s="1">
        <f>1400*AVERAGE(AQ97:AR103)+100*AVERAGE(AQ104:AR104)</f>
        <v>424.69098325178061</v>
      </c>
      <c r="BB97" s="1">
        <f>1400*AVERAGE(AM97:AP103,AS97:AV103)+100*AVERAGE(AM104:AP104,AS104:AV104)</f>
        <v>423.94435528411572</v>
      </c>
      <c r="BC97" s="1">
        <f>AVERAGE(AC97:AD108)*2400</f>
        <v>715.62978878250487</v>
      </c>
      <c r="BD97" s="1">
        <f>AVERAGE(AE97:AF108)*2400</f>
        <v>692.93744377431267</v>
      </c>
      <c r="BE97" s="1">
        <f>AVERAGE(AG97:AH106)*2000</f>
        <v>601.00339674420695</v>
      </c>
      <c r="BF97" s="1">
        <f>AVERAGE(AI97:AJ108)*2400</f>
        <v>718.67497375748189</v>
      </c>
      <c r="BG97" s="1">
        <f>AVERAGE(AK97:AL108)*2400</f>
        <v>712.79954298182065</v>
      </c>
      <c r="BH97" s="1">
        <f>AVERAGE(AM97:AN108)*2400</f>
        <v>707.74108990715263</v>
      </c>
      <c r="BI97" s="1">
        <f>AVERAGE(AO97:AP108)*2400</f>
        <v>671.39478681632249</v>
      </c>
      <c r="BJ97" s="1">
        <f>AVERAGE(AQ97:AR106)*2000</f>
        <v>594.36073878529169</v>
      </c>
      <c r="BK97" s="1">
        <f>AVERAGE(AS97:AT108)*2400</f>
        <v>725.48626334919811</v>
      </c>
      <c r="BL97" s="1">
        <f>AVERAGE(AU97:AV108)*2400</f>
        <v>705.4323326883424</v>
      </c>
    </row>
    <row r="98" spans="25:64" x14ac:dyDescent="0.25">
      <c r="AA98" s="18">
        <f t="shared" ref="AA98:AA108" si="17">AA97</f>
        <v>42569</v>
      </c>
      <c r="AB98" s="1">
        <f t="shared" ref="AB98:AB108" si="18">AB97+20</f>
        <v>30</v>
      </c>
      <c r="AC98" s="1" cm="1">
        <f t="array" ref="AC98">_xlfn.XLOOKUP(1,('2016 E Maize Soil VWC'!$C$2:$C$4000=$AA98)*('2016 E Maize Soil VWC'!$E$2:$E$4000=$AB98)*('2016 E Maize Soil VWC'!$F$2:$F$4000=AC$5),'2016 E Maize Soil VWC'!$G$2:$G$4000)</f>
        <v>0.25869063689155902</v>
      </c>
      <c r="AD98" s="1" cm="1">
        <f t="array" ref="AD98">_xlfn.XLOOKUP(1,('2016 E Maize Soil VWC'!$C$2:$C$4000=$AA98)*('2016 E Maize Soil VWC'!$E$2:$E$4000=$AB98)*('2016 E Maize Soil VWC'!$F$2:$F$4000=AD$5),'2016 E Maize Soil VWC'!$G$2:$G$4000)</f>
        <v>0.27657421109711655</v>
      </c>
      <c r="AE98" s="1" cm="1">
        <f t="array" ref="AE98">_xlfn.XLOOKUP(1,('2016 E Maize Soil VWC'!$C$2:$C$4000=$AA98)*('2016 E Maize Soil VWC'!$E$2:$E$4000=$AB98)*('2016 E Maize Soil VWC'!$F$2:$F$4000=AE$5),'2016 E Maize Soil VWC'!$G$2:$G$4000)</f>
        <v>0.24840929909604648</v>
      </c>
      <c r="AF98" s="1" cm="1">
        <f t="array" ref="AF98">_xlfn.XLOOKUP(1,('2016 E Maize Soil VWC'!$C$2:$C$4000=$AA98)*('2016 E Maize Soil VWC'!$E$2:$E$4000=$AB98)*('2016 E Maize Soil VWC'!$F$2:$F$4000=AF$5),'2016 E Maize Soil VWC'!$G$2:$G$4000)</f>
        <v>0.25369880695966207</v>
      </c>
      <c r="AG98" s="1" cm="1">
        <f t="array" ref="AG98">_xlfn.XLOOKUP(1,('2016 E Maize Soil VWC'!$C$2:$C$4000=$AA98)*('2016 E Maize Soil VWC'!$E$2:$E$4000=$AB98)*('2016 E Maize Soil VWC'!$F$2:$F$4000=AG$5),'2016 E Maize Soil VWC'!$G$2:$G$4000)</f>
        <v>0.26741489012115877</v>
      </c>
      <c r="AH98" s="1" cm="1">
        <f t="array" ref="AH98">_xlfn.XLOOKUP(1,('2016 E Maize Soil VWC'!$C$2:$C$4000=$AA98)*('2016 E Maize Soil VWC'!$E$2:$E$4000=$AB98)*('2016 E Maize Soil VWC'!$F$2:$F$4000=AH$5),'2016 E Maize Soil VWC'!$G$2:$G$4000)</f>
        <v>0.26757517823823801</v>
      </c>
      <c r="AI98" s="1" cm="1">
        <f t="array" ref="AI98">_xlfn.XLOOKUP(1,('2016 E Maize Soil VWC'!$C$2:$C$4000=$AA98)*('2016 E Maize Soil VWC'!$E$2:$E$4000=$AB98)*('2016 E Maize Soil VWC'!$F$2:$F$4000=AI$5),'2016 E Maize Soil VWC'!$G$2:$G$4000)</f>
        <v>0.26924675431635031</v>
      </c>
      <c r="AJ98" s="1" cm="1">
        <f t="array" ref="AJ98">_xlfn.XLOOKUP(1,('2016 E Maize Soil VWC'!$C$2:$C$4000=$AA98)*('2016 E Maize Soil VWC'!$E$2:$E$4000=$AB98)*('2016 E Maize Soil VWC'!$F$2:$F$4000=AJ$5),'2016 E Maize Soil VWC'!$G$2:$G$4000)</f>
        <v>0.26979631357490774</v>
      </c>
      <c r="AK98" s="1" cm="1">
        <f t="array" ref="AK98">_xlfn.XLOOKUP(1,('2016 E Maize Soil VWC'!$C$2:$C$4000=$AA98)*('2016 E Maize Soil VWC'!$E$2:$E$4000=$AB98)*('2016 E Maize Soil VWC'!$F$2:$F$4000=AK$5),'2016 E Maize Soil VWC'!$G$2:$G$4000)</f>
        <v>0.24087575759332119</v>
      </c>
      <c r="AL98" s="1" cm="1">
        <f t="array" ref="AL98">_xlfn.XLOOKUP(1,('2016 E Maize Soil VWC'!$C$2:$C$4000=$AA98)*('2016 E Maize Soil VWC'!$E$2:$E$4000=$AB98)*('2016 E Maize Soil VWC'!$F$2:$F$4000=AL$5),'2016 E Maize Soil VWC'!$G$2:$G$4000)</f>
        <v>0.30325073343959341</v>
      </c>
      <c r="AM98" s="1" cm="1">
        <f t="array" ref="AM98">_xlfn.XLOOKUP(1,('2016 E Maize Soil VWC'!$C$2:$C$4000=$AA98)*('2016 E Maize Soil VWC'!$E$2:$E$4000=$AB98)*('2016 E Maize Soil VWC'!$F$2:$F$4000=AM$5),'2016 E Maize Soil VWC'!$G$2:$G$4000)</f>
        <v>0.23913548660788925</v>
      </c>
      <c r="AN98" s="1" cm="1">
        <f t="array" ref="AN98">_xlfn.XLOOKUP(1,('2016 E Maize Soil VWC'!$C$2:$C$4000=$AA98)*('2016 E Maize Soil VWC'!$E$2:$E$4000=$AB98)*('2016 E Maize Soil VWC'!$F$2:$F$4000=AN$5),'2016 E Maize Soil VWC'!$G$2:$G$4000)</f>
        <v>0.201925745143061</v>
      </c>
      <c r="AO98" s="1" cm="1">
        <f t="array" ref="AO98">_xlfn.XLOOKUP(1,('2016 E Maize Soil VWC'!$C$2:$C$4000=$AA98)*('2016 E Maize Soil VWC'!$E$2:$E$4000=$AB98)*('2016 E Maize Soil VWC'!$F$2:$F$4000=AO$5),'2016 E Maize Soil VWC'!$G$2:$G$4000)</f>
        <v>0.17394401956151012</v>
      </c>
      <c r="AP98" s="1" cm="1">
        <f t="array" ref="AP98">_xlfn.XLOOKUP(1,('2016 E Maize Soil VWC'!$C$2:$C$4000=$AA98)*('2016 E Maize Soil VWC'!$E$2:$E$4000=$AB98)*('2016 E Maize Soil VWC'!$F$2:$F$4000=AP$5),'2016 E Maize Soil VWC'!$G$2:$G$4000)</f>
        <v>0.16347949534647838</v>
      </c>
      <c r="AQ98" s="1" cm="1">
        <f t="array" ref="AQ98">_xlfn.XLOOKUP(1,('2016 E Maize Soil VWC'!$C$2:$C$4000=$AA98)*('2016 E Maize Soil VWC'!$E$2:$E$4000=$AB98)*('2016 E Maize Soil VWC'!$F$2:$F$4000=AQ$5),'2016 E Maize Soil VWC'!$G$2:$G$4000)</f>
        <v>0.27206324551645733</v>
      </c>
      <c r="AR98" s="1" cm="1">
        <f t="array" ref="AR98">_xlfn.XLOOKUP(1,('2016 E Maize Soil VWC'!$C$2:$C$4000=$AA98)*('2016 E Maize Soil VWC'!$E$2:$E$4000=$AB98)*('2016 E Maize Soil VWC'!$F$2:$F$4000=AR$5),'2016 E Maize Soil VWC'!$G$2:$G$4000)</f>
        <v>0.27368902498968983</v>
      </c>
      <c r="AS98" s="1" cm="1">
        <f t="array" ref="AS98">_xlfn.XLOOKUP(1,('2016 E Maize Soil VWC'!$C$2:$C$4000=$AA98)*('2016 E Maize Soil VWC'!$E$2:$E$4000=$AB98)*('2016 E Maize Soil VWC'!$F$2:$F$4000=AS$5),'2016 E Maize Soil VWC'!$G$2:$G$4000)</f>
        <v>0.2950302428636713</v>
      </c>
      <c r="AT98" s="1" cm="1">
        <f t="array" ref="AT98">_xlfn.XLOOKUP(1,('2016 E Maize Soil VWC'!$C$2:$C$4000=$AA98)*('2016 E Maize Soil VWC'!$E$2:$E$4000=$AB98)*('2016 E Maize Soil VWC'!$F$2:$F$4000=AT$5),'2016 E Maize Soil VWC'!$G$2:$G$4000)</f>
        <v>0.26038511127211122</v>
      </c>
      <c r="AU98" s="1" cm="1">
        <f t="array" ref="AU98">_xlfn.XLOOKUP(1,('2016 E Maize Soil VWC'!$C$2:$C$4000=$AA98)*('2016 E Maize Soil VWC'!$E$2:$E$4000=$AB98)*('2016 E Maize Soil VWC'!$F$2:$F$4000=AU$5),'2016 E Maize Soil VWC'!$G$2:$G$4000)</f>
        <v>0.2441273165397862</v>
      </c>
      <c r="AV98" s="1" cm="1">
        <f t="array" ref="AV98">_xlfn.XLOOKUP(1,('2016 E Maize Soil VWC'!$C$2:$C$4000=$AA98)*('2016 E Maize Soil VWC'!$E$2:$E$4000=$AB98)*('2016 E Maize Soil VWC'!$F$2:$F$4000=AV$5),'2016 E Maize Soil VWC'!$G$2:$G$4000)</f>
        <v>0.26798734768215615</v>
      </c>
    </row>
    <row r="99" spans="25:64" x14ac:dyDescent="0.25">
      <c r="AA99" s="18">
        <f t="shared" si="17"/>
        <v>42569</v>
      </c>
      <c r="AB99" s="1">
        <f t="shared" si="18"/>
        <v>50</v>
      </c>
      <c r="AC99" s="1" cm="1">
        <f t="array" ref="AC99">_xlfn.XLOOKUP(1,('2016 E Maize Soil VWC'!$C$2:$C$4000=$AA99)*('2016 E Maize Soil VWC'!$E$2:$E$4000=$AB99)*('2016 E Maize Soil VWC'!$F$2:$F$4000=AC$5),'2016 E Maize Soil VWC'!$G$2:$G$4000)</f>
        <v>0.30801358034709142</v>
      </c>
      <c r="AD99" s="1" cm="1">
        <f t="array" ref="AD99">_xlfn.XLOOKUP(1,('2016 E Maize Soil VWC'!$C$2:$C$4000=$AA99)*('2016 E Maize Soil VWC'!$E$2:$E$4000=$AB99)*('2016 E Maize Soil VWC'!$F$2:$F$4000=AD$5),'2016 E Maize Soil VWC'!$G$2:$G$4000)</f>
        <v>0.32509571396725262</v>
      </c>
      <c r="AE99" s="1" cm="1">
        <f t="array" ref="AE99">_xlfn.XLOOKUP(1,('2016 E Maize Soil VWC'!$C$2:$C$4000=$AA99)*('2016 E Maize Soil VWC'!$E$2:$E$4000=$AB99)*('2016 E Maize Soil VWC'!$F$2:$F$4000=AE$5),'2016 E Maize Soil VWC'!$G$2:$G$4000)</f>
        <v>0.31131093589843617</v>
      </c>
      <c r="AF99" s="1" cm="1">
        <f t="array" ref="AF99">_xlfn.XLOOKUP(1,('2016 E Maize Soil VWC'!$C$2:$C$4000=$AA99)*('2016 E Maize Soil VWC'!$E$2:$E$4000=$AB99)*('2016 E Maize Soil VWC'!$F$2:$F$4000=AF$5),'2016 E Maize Soil VWC'!$G$2:$G$4000)</f>
        <v>0.29608356477590647</v>
      </c>
      <c r="AG99" s="1" cm="1">
        <f t="array" ref="AG99">_xlfn.XLOOKUP(1,('2016 E Maize Soil VWC'!$C$2:$C$4000=$AA99)*('2016 E Maize Soil VWC'!$E$2:$E$4000=$AB99)*('2016 E Maize Soil VWC'!$F$2:$F$4000=AG$5),'2016 E Maize Soil VWC'!$G$2:$G$4000)</f>
        <v>0.28348949843396459</v>
      </c>
      <c r="AH99" s="1" cm="1">
        <f t="array" ref="AH99">_xlfn.XLOOKUP(1,('2016 E Maize Soil VWC'!$C$2:$C$4000=$AA99)*('2016 E Maize Soil VWC'!$E$2:$E$4000=$AB99)*('2016 E Maize Soil VWC'!$F$2:$F$4000=AH$5),'2016 E Maize Soil VWC'!$G$2:$G$4000)</f>
        <v>0.28644337944871096</v>
      </c>
      <c r="AI99" s="1" cm="1">
        <f t="array" ref="AI99">_xlfn.XLOOKUP(1,('2016 E Maize Soil VWC'!$C$2:$C$4000=$AA99)*('2016 E Maize Soil VWC'!$E$2:$E$4000=$AB99)*('2016 E Maize Soil VWC'!$F$2:$F$4000=AI$5),'2016 E Maize Soil VWC'!$G$2:$G$4000)</f>
        <v>0.31474568126442037</v>
      </c>
      <c r="AJ99" s="1" cm="1">
        <f t="array" ref="AJ99">_xlfn.XLOOKUP(1,('2016 E Maize Soil VWC'!$C$2:$C$4000=$AA99)*('2016 E Maize Soil VWC'!$E$2:$E$4000=$AB99)*('2016 E Maize Soil VWC'!$F$2:$F$4000=AJ$5),'2016 E Maize Soil VWC'!$G$2:$G$4000)</f>
        <v>0.29583168344906763</v>
      </c>
      <c r="AK99" s="1" cm="1">
        <f t="array" ref="AK99">_xlfn.XLOOKUP(1,('2016 E Maize Soil VWC'!$C$2:$C$4000=$AA99)*('2016 E Maize Soil VWC'!$E$2:$E$4000=$AB99)*('2016 E Maize Soil VWC'!$F$2:$F$4000=AK$5),'2016 E Maize Soil VWC'!$G$2:$G$4000)</f>
        <v>0.29248853129284308</v>
      </c>
      <c r="AL99" s="1" cm="1">
        <f t="array" ref="AL99">_xlfn.XLOOKUP(1,('2016 E Maize Soil VWC'!$C$2:$C$4000=$AA99)*('2016 E Maize Soil VWC'!$E$2:$E$4000=$AB99)*('2016 E Maize Soil VWC'!$F$2:$F$4000=AL$5),'2016 E Maize Soil VWC'!$G$2:$G$4000)</f>
        <v>0.33899498354826846</v>
      </c>
      <c r="AM99" s="1" cm="1">
        <f t="array" ref="AM99">_xlfn.XLOOKUP(1,('2016 E Maize Soil VWC'!$C$2:$C$4000=$AA99)*('2016 E Maize Soil VWC'!$E$2:$E$4000=$AB99)*('2016 E Maize Soil VWC'!$F$2:$F$4000=AM$5),'2016 E Maize Soil VWC'!$G$2:$G$4000)</f>
        <v>0.31408163049366344</v>
      </c>
      <c r="AN99" s="1" cm="1">
        <f t="array" ref="AN99">_xlfn.XLOOKUP(1,('2016 E Maize Soil VWC'!$C$2:$C$4000=$AA99)*('2016 E Maize Soil VWC'!$E$2:$E$4000=$AB99)*('2016 E Maize Soil VWC'!$F$2:$F$4000=AN$5),'2016 E Maize Soil VWC'!$G$2:$G$4000)</f>
        <v>0.31117354608379688</v>
      </c>
      <c r="AO99" s="1" cm="1">
        <f t="array" ref="AO99">_xlfn.XLOOKUP(1,('2016 E Maize Soil VWC'!$C$2:$C$4000=$AA99)*('2016 E Maize Soil VWC'!$E$2:$E$4000=$AB99)*('2016 E Maize Soil VWC'!$F$2:$F$4000=AO$5),'2016 E Maize Soil VWC'!$G$2:$G$4000)</f>
        <v>0.27400960122384838</v>
      </c>
      <c r="AP99" s="1" cm="1">
        <f t="array" ref="AP99">_xlfn.XLOOKUP(1,('2016 E Maize Soil VWC'!$C$2:$C$4000=$AA99)*('2016 E Maize Soil VWC'!$E$2:$E$4000=$AB99)*('2016 E Maize Soil VWC'!$F$2:$F$4000=AP$5),'2016 E Maize Soil VWC'!$G$2:$G$4000)</f>
        <v>0.27547509258000158</v>
      </c>
      <c r="AQ99" s="1" cm="1">
        <f t="array" ref="AQ99">_xlfn.XLOOKUP(1,('2016 E Maize Soil VWC'!$C$2:$C$4000=$AA99)*('2016 E Maize Soil VWC'!$E$2:$E$4000=$AB99)*('2016 E Maize Soil VWC'!$F$2:$F$4000=AQ$5),'2016 E Maize Soil VWC'!$G$2:$G$4000)</f>
        <v>0.2884584300634217</v>
      </c>
      <c r="AR99" s="1" cm="1">
        <f t="array" ref="AR99">_xlfn.XLOOKUP(1,('2016 E Maize Soil VWC'!$C$2:$C$4000=$AA99)*('2016 E Maize Soil VWC'!$E$2:$E$4000=$AB99)*('2016 E Maize Soil VWC'!$F$2:$F$4000=AR$5),'2016 E Maize Soil VWC'!$G$2:$G$4000)</f>
        <v>0.28225299010221033</v>
      </c>
      <c r="AS99" s="1" cm="1">
        <f t="array" ref="AS99">_xlfn.XLOOKUP(1,('2016 E Maize Soil VWC'!$C$2:$C$4000=$AA99)*('2016 E Maize Soil VWC'!$E$2:$E$4000=$AB99)*('2016 E Maize Soil VWC'!$F$2:$F$4000=AS$5),'2016 E Maize Soil VWC'!$G$2:$G$4000)</f>
        <v>0.32624062908924734</v>
      </c>
      <c r="AT99" s="1" cm="1">
        <f t="array" ref="AT99">_xlfn.XLOOKUP(1,('2016 E Maize Soil VWC'!$C$2:$C$4000=$AA99)*('2016 E Maize Soil VWC'!$E$2:$E$4000=$AB99)*('2016 E Maize Soil VWC'!$F$2:$F$4000=AT$5),'2016 E Maize Soil VWC'!$G$2:$G$4000)</f>
        <v>0.30274697078591573</v>
      </c>
      <c r="AU99" s="1" cm="1">
        <f t="array" ref="AU99">_xlfn.XLOOKUP(1,('2016 E Maize Soil VWC'!$C$2:$C$4000=$AA99)*('2016 E Maize Soil VWC'!$E$2:$E$4000=$AB99)*('2016 E Maize Soil VWC'!$F$2:$F$4000=AU$5),'2016 E Maize Soil VWC'!$G$2:$G$4000)</f>
        <v>0.2983962933223358</v>
      </c>
      <c r="AV99" s="1" cm="1">
        <f t="array" ref="AV99">_xlfn.XLOOKUP(1,('2016 E Maize Soil VWC'!$C$2:$C$4000=$AA99)*('2016 E Maize Soil VWC'!$E$2:$E$4000=$AB99)*('2016 E Maize Soil VWC'!$F$2:$F$4000=AV$5),'2016 E Maize Soil VWC'!$G$2:$G$4000)</f>
        <v>0.31964591798655773</v>
      </c>
    </row>
    <row r="100" spans="25:64" x14ac:dyDescent="0.25">
      <c r="AA100" s="18">
        <f t="shared" si="17"/>
        <v>42569</v>
      </c>
      <c r="AB100" s="1">
        <f t="shared" si="18"/>
        <v>70</v>
      </c>
      <c r="AC100" s="1" cm="1">
        <f t="array" ref="AC100">_xlfn.XLOOKUP(1,('2016 E Maize Soil VWC'!$C$2:$C$4000=$AA100)*('2016 E Maize Soil VWC'!$E$2:$E$4000=$AB100)*('2016 E Maize Soil VWC'!$F$2:$F$4000=AC$5),'2016 E Maize Soil VWC'!$G$2:$G$4000)</f>
        <v>0.32216473125494616</v>
      </c>
      <c r="AD100" s="1" cm="1">
        <f t="array" ref="AD100">_xlfn.XLOOKUP(1,('2016 E Maize Soil VWC'!$C$2:$C$4000=$AA100)*('2016 E Maize Soil VWC'!$E$2:$E$4000=$AB100)*('2016 E Maize Soil VWC'!$F$2:$F$4000=AD$5),'2016 E Maize Soil VWC'!$G$2:$G$4000)</f>
        <v>0.329125815196674</v>
      </c>
      <c r="AE100" s="1" cm="1">
        <f t="array" ref="AE100">_xlfn.XLOOKUP(1,('2016 E Maize Soil VWC'!$C$2:$C$4000=$AA100)*('2016 E Maize Soil VWC'!$E$2:$E$4000=$AB100)*('2016 E Maize Soil VWC'!$F$2:$F$4000=AE$5),'2016 E Maize Soil VWC'!$G$2:$G$4000)</f>
        <v>0.31586769808397519</v>
      </c>
      <c r="AF100" s="1" cm="1">
        <f t="array" ref="AF100">_xlfn.XLOOKUP(1,('2016 E Maize Soil VWC'!$C$2:$C$4000=$AA100)*('2016 E Maize Soil VWC'!$E$2:$E$4000=$AB100)*('2016 E Maize Soil VWC'!$F$2:$F$4000=AF$5),'2016 E Maize Soil VWC'!$G$2:$G$4000)</f>
        <v>0.30416666553718918</v>
      </c>
      <c r="AG100" s="1" cm="1">
        <f t="array" ref="AG100">_xlfn.XLOOKUP(1,('2016 E Maize Soil VWC'!$C$2:$C$4000=$AA100)*('2016 E Maize Soil VWC'!$E$2:$E$4000=$AB100)*('2016 E Maize Soil VWC'!$F$2:$F$4000=AG$5),'2016 E Maize Soil VWC'!$G$2:$G$4000)</f>
        <v>0.28048982081433843</v>
      </c>
      <c r="AH100" s="1" cm="1">
        <f t="array" ref="AH100">_xlfn.XLOOKUP(1,('2016 E Maize Soil VWC'!$C$2:$C$4000=$AA100)*('2016 E Maize Soil VWC'!$E$2:$E$4000=$AB100)*('2016 E Maize Soil VWC'!$F$2:$F$4000=AH$5),'2016 E Maize Soil VWC'!$G$2:$G$4000)</f>
        <v>0.2898323282098153</v>
      </c>
      <c r="AI100" s="1" cm="1">
        <f t="array" ref="AI100">_xlfn.XLOOKUP(1,('2016 E Maize Soil VWC'!$C$2:$C$4000=$AA100)*('2016 E Maize Soil VWC'!$E$2:$E$4000=$AB100)*('2016 E Maize Soil VWC'!$F$2:$F$4000=AI$5),'2016 E Maize Soil VWC'!$G$2:$G$4000)</f>
        <v>0.32626352739168718</v>
      </c>
      <c r="AJ100" s="1" cm="1">
        <f t="array" ref="AJ100">_xlfn.XLOOKUP(1,('2016 E Maize Soil VWC'!$C$2:$C$4000=$AA100)*('2016 E Maize Soil VWC'!$E$2:$E$4000=$AB100)*('2016 E Maize Soil VWC'!$F$2:$F$4000=AJ$5),'2016 E Maize Soil VWC'!$G$2:$G$4000)</f>
        <v>0.31362366444486556</v>
      </c>
      <c r="AK100" s="1" cm="1">
        <f t="array" ref="AK100">_xlfn.XLOOKUP(1,('2016 E Maize Soil VWC'!$C$2:$C$4000=$AA100)*('2016 E Maize Soil VWC'!$E$2:$E$4000=$AB100)*('2016 E Maize Soil VWC'!$F$2:$F$4000=AK$5),'2016 E Maize Soil VWC'!$G$2:$G$4000)</f>
        <v>0.29404561585875588</v>
      </c>
      <c r="AL100" s="1" cm="1">
        <f t="array" ref="AL100">_xlfn.XLOOKUP(1,('2016 E Maize Soil VWC'!$C$2:$C$4000=$AA100)*('2016 E Maize Soil VWC'!$E$2:$E$4000=$AB100)*('2016 E Maize Soil VWC'!$F$2:$F$4000=AL$5),'2016 E Maize Soil VWC'!$G$2:$G$4000)</f>
        <v>0.34082684774346</v>
      </c>
      <c r="AM100" s="1" cm="1">
        <f t="array" ref="AM100">_xlfn.XLOOKUP(1,('2016 E Maize Soil VWC'!$C$2:$C$4000=$AA100)*('2016 E Maize Soil VWC'!$E$2:$E$4000=$AB100)*('2016 E Maize Soil VWC'!$F$2:$F$4000=AM$5),'2016 E Maize Soil VWC'!$G$2:$G$4000)</f>
        <v>0.31426481691318259</v>
      </c>
      <c r="AN100" s="1" cm="1">
        <f t="array" ref="AN100">_xlfn.XLOOKUP(1,('2016 E Maize Soil VWC'!$C$2:$C$4000=$AA100)*('2016 E Maize Soil VWC'!$E$2:$E$4000=$AB100)*('2016 E Maize Soil VWC'!$F$2:$F$4000=AN$5),'2016 E Maize Soil VWC'!$G$2:$G$4000)</f>
        <v>0.31263903743995008</v>
      </c>
      <c r="AO100" s="1" cm="1">
        <f t="array" ref="AO100">_xlfn.XLOOKUP(1,('2016 E Maize Soil VWC'!$C$2:$C$4000=$AA100)*('2016 E Maize Soil VWC'!$E$2:$E$4000=$AB100)*('2016 E Maize Soil VWC'!$F$2:$F$4000=AO$5),'2016 E Maize Soil VWC'!$G$2:$G$4000)</f>
        <v>0.29951831014189062</v>
      </c>
      <c r="AP100" s="1" cm="1">
        <f t="array" ref="AP100">_xlfn.XLOOKUP(1,('2016 E Maize Soil VWC'!$C$2:$C$4000=$AA100)*('2016 E Maize Soil VWC'!$E$2:$E$4000=$AB100)*('2016 E Maize Soil VWC'!$F$2:$F$4000=AP$5),'2016 E Maize Soil VWC'!$G$2:$G$4000)</f>
        <v>0.30318203853227371</v>
      </c>
      <c r="AQ100" s="1" cm="1">
        <f t="array" ref="AQ100">_xlfn.XLOOKUP(1,('2016 E Maize Soil VWC'!$C$2:$C$4000=$AA100)*('2016 E Maize Soil VWC'!$E$2:$E$4000=$AB100)*('2016 E Maize Soil VWC'!$F$2:$F$4000=AQ$5),'2016 E Maize Soil VWC'!$G$2:$G$4000)</f>
        <v>0.28548165074623538</v>
      </c>
      <c r="AR100" s="1" cm="1">
        <f t="array" ref="AR100">_xlfn.XLOOKUP(1,('2016 E Maize Soil VWC'!$C$2:$C$4000=$AA100)*('2016 E Maize Soil VWC'!$E$2:$E$4000=$AB100)*('2016 E Maize Soil VWC'!$F$2:$F$4000=AR$5),'2016 E Maize Soil VWC'!$G$2:$G$4000)</f>
        <v>0.29267171771236222</v>
      </c>
      <c r="AS100" s="1" cm="1">
        <f t="array" ref="AS100">_xlfn.XLOOKUP(1,('2016 E Maize Soil VWC'!$C$2:$C$4000=$AA100)*('2016 E Maize Soil VWC'!$E$2:$E$4000=$AB100)*('2016 E Maize Soil VWC'!$F$2:$F$4000=AS$5),'2016 E Maize Soil VWC'!$G$2:$G$4000)</f>
        <v>0.32427137507941639</v>
      </c>
      <c r="AT100" s="1" cm="1">
        <f t="array" ref="AT100">_xlfn.XLOOKUP(1,('2016 E Maize Soil VWC'!$C$2:$C$4000=$AA100)*('2016 E Maize Soil VWC'!$E$2:$E$4000=$AB100)*('2016 E Maize Soil VWC'!$F$2:$F$4000=AT$5),'2016 E Maize Soil VWC'!$G$2:$G$4000)</f>
        <v>0.30892951244468719</v>
      </c>
      <c r="AU100" s="1" cm="1">
        <f t="array" ref="AU100">_xlfn.XLOOKUP(1,('2016 E Maize Soil VWC'!$C$2:$C$4000=$AA100)*('2016 E Maize Soil VWC'!$E$2:$E$4000=$AB100)*('2016 E Maize Soil VWC'!$F$2:$F$4000=AU$5),'2016 E Maize Soil VWC'!$G$2:$G$4000)</f>
        <v>0.28754249796582587</v>
      </c>
      <c r="AV100" s="1" cm="1">
        <f t="array" ref="AV100">_xlfn.XLOOKUP(1,('2016 E Maize Soil VWC'!$C$2:$C$4000=$AA100)*('2016 E Maize Soil VWC'!$E$2:$E$4000=$AB100)*('2016 E Maize Soil VWC'!$F$2:$F$4000=AV$5),'2016 E Maize Soil VWC'!$G$2:$G$4000)</f>
        <v>0.29791542897109802</v>
      </c>
    </row>
    <row r="101" spans="25:64" x14ac:dyDescent="0.25">
      <c r="AA101" s="18">
        <f t="shared" si="17"/>
        <v>42569</v>
      </c>
      <c r="AB101" s="1">
        <f t="shared" si="18"/>
        <v>90</v>
      </c>
      <c r="AC101" s="1" cm="1">
        <f t="array" ref="AC101">_xlfn.XLOOKUP(1,('2016 E Maize Soil VWC'!$C$2:$C$4000=$AA101)*('2016 E Maize Soil VWC'!$E$2:$E$4000=$AB101)*('2016 E Maize Soil VWC'!$F$2:$F$4000=AC$5),'2016 E Maize Soil VWC'!$G$2:$G$4000)</f>
        <v>0.33819354296287213</v>
      </c>
      <c r="AD101" s="1" cm="1">
        <f t="array" ref="AD101">_xlfn.XLOOKUP(1,('2016 E Maize Soil VWC'!$C$2:$C$4000=$AA101)*('2016 E Maize Soil VWC'!$E$2:$E$4000=$AB101)*('2016 E Maize Soil VWC'!$F$2:$F$4000=AD$5),'2016 E Maize Soil VWC'!$G$2:$G$4000)</f>
        <v>0.3407352545337004</v>
      </c>
      <c r="AE101" s="1" cm="1">
        <f t="array" ref="AE101">_xlfn.XLOOKUP(1,('2016 E Maize Soil VWC'!$C$2:$C$4000=$AA101)*('2016 E Maize Soil VWC'!$E$2:$E$4000=$AB101)*('2016 E Maize Soil VWC'!$F$2:$F$4000=AE$5),'2016 E Maize Soil VWC'!$G$2:$G$4000)</f>
        <v>0.32772901874784044</v>
      </c>
      <c r="AF101" s="1" cm="1">
        <f t="array" ref="AF101">_xlfn.XLOOKUP(1,('2016 E Maize Soil VWC'!$C$2:$C$4000=$AA101)*('2016 E Maize Soil VWC'!$E$2:$E$4000=$AB101)*('2016 E Maize Soil VWC'!$F$2:$F$4000=AF$5),'2016 E Maize Soil VWC'!$G$2:$G$4000)</f>
        <v>0.32862205254299631</v>
      </c>
      <c r="AG101" s="1" cm="1">
        <f t="array" ref="AG101">_xlfn.XLOOKUP(1,('2016 E Maize Soil VWC'!$C$2:$C$4000=$AA101)*('2016 E Maize Soil VWC'!$E$2:$E$4000=$AB101)*('2016 E Maize Soil VWC'!$F$2:$F$4000=AG$5),'2016 E Maize Soil VWC'!$G$2:$G$4000)</f>
        <v>0.30265537757615613</v>
      </c>
      <c r="AH101" s="1" cm="1">
        <f t="array" ref="AH101">_xlfn.XLOOKUP(1,('2016 E Maize Soil VWC'!$C$2:$C$4000=$AA101)*('2016 E Maize Soil VWC'!$E$2:$E$4000=$AB101)*('2016 E Maize Soil VWC'!$F$2:$F$4000=AH$5),'2016 E Maize Soil VWC'!$G$2:$G$4000)</f>
        <v>0.2983047001125762</v>
      </c>
      <c r="AI101" s="1" cm="1">
        <f t="array" ref="AI101">_xlfn.XLOOKUP(1,('2016 E Maize Soil VWC'!$C$2:$C$4000=$AA101)*('2016 E Maize Soil VWC'!$E$2:$E$4000=$AB101)*('2016 E Maize Soil VWC'!$F$2:$F$4000=AI$5),'2016 E Maize Soil VWC'!$G$2:$G$4000)</f>
        <v>0.33972772922634509</v>
      </c>
      <c r="AJ101" s="1" cm="1">
        <f t="array" ref="AJ101">_xlfn.XLOOKUP(1,('2016 E Maize Soil VWC'!$C$2:$C$4000=$AA101)*('2016 E Maize Soil VWC'!$E$2:$E$4000=$AB101)*('2016 E Maize Soil VWC'!$F$2:$F$4000=AJ$5),'2016 E Maize Soil VWC'!$G$2:$G$4000)</f>
        <v>0.3237218158208589</v>
      </c>
      <c r="AK101" s="1" cm="1">
        <f t="array" ref="AK101">_xlfn.XLOOKUP(1,('2016 E Maize Soil VWC'!$C$2:$C$4000=$AA101)*('2016 E Maize Soil VWC'!$E$2:$E$4000=$AB101)*('2016 E Maize Soil VWC'!$F$2:$F$4000=AK$5),'2016 E Maize Soil VWC'!$G$2:$G$4000)</f>
        <v>0.31163151213259471</v>
      </c>
      <c r="AL101" s="1" cm="1">
        <f t="array" ref="AL101">_xlfn.XLOOKUP(1,('2016 E Maize Soil VWC'!$C$2:$C$4000=$AA101)*('2016 E Maize Soil VWC'!$E$2:$E$4000=$AB101)*('2016 E Maize Soil VWC'!$F$2:$F$4000=AL$5),'2016 E Maize Soil VWC'!$G$2:$G$4000)</f>
        <v>0.3375523904945551</v>
      </c>
      <c r="AM101" s="1" cm="1">
        <f t="array" ref="AM101">_xlfn.XLOOKUP(1,('2016 E Maize Soil VWC'!$C$2:$C$4000=$AA101)*('2016 E Maize Soil VWC'!$E$2:$E$4000=$AB101)*('2016 E Maize Soil VWC'!$F$2:$F$4000=AM$5),'2016 E Maize Soil VWC'!$G$2:$G$4000)</f>
        <v>0.32154647708906897</v>
      </c>
      <c r="AN101" s="1" cm="1">
        <f t="array" ref="AN101">_xlfn.XLOOKUP(1,('2016 E Maize Soil VWC'!$C$2:$C$4000=$AA101)*('2016 E Maize Soil VWC'!$E$2:$E$4000=$AB101)*('2016 E Maize Soil VWC'!$F$2:$F$4000=AN$5),'2016 E Maize Soil VWC'!$G$2:$G$4000)</f>
        <v>0.33272084867973739</v>
      </c>
      <c r="AO101" s="1" cm="1">
        <f t="array" ref="AO101">_xlfn.XLOOKUP(1,('2016 E Maize Soil VWC'!$C$2:$C$4000=$AA101)*('2016 E Maize Soil VWC'!$E$2:$E$4000=$AB101)*('2016 E Maize Soil VWC'!$F$2:$F$4000=AO$5),'2016 E Maize Soil VWC'!$G$2:$G$4000)</f>
        <v>0.3205618500841535</v>
      </c>
      <c r="AP101" s="1" cm="1">
        <f t="array" ref="AP101">_xlfn.XLOOKUP(1,('2016 E Maize Soil VWC'!$C$2:$C$4000=$AA101)*('2016 E Maize Soil VWC'!$E$2:$E$4000=$AB101)*('2016 E Maize Soil VWC'!$F$2:$F$4000=AP$5),'2016 E Maize Soil VWC'!$G$2:$G$4000)</f>
        <v>0.32051605347927375</v>
      </c>
      <c r="AQ101" s="1" cm="1">
        <f t="array" ref="AQ101">_xlfn.XLOOKUP(1,('2016 E Maize Soil VWC'!$C$2:$C$4000=$AA101)*('2016 E Maize Soil VWC'!$E$2:$E$4000=$AB101)*('2016 E Maize Soil VWC'!$F$2:$F$4000=AQ$5),'2016 E Maize Soil VWC'!$G$2:$G$4000)</f>
        <v>0.29111463314644942</v>
      </c>
      <c r="AR101" s="1" cm="1">
        <f t="array" ref="AR101">_xlfn.XLOOKUP(1,('2016 E Maize Soil VWC'!$C$2:$C$4000=$AA101)*('2016 E Maize Soil VWC'!$E$2:$E$4000=$AB101)*('2016 E Maize Soil VWC'!$F$2:$F$4000=AR$5),'2016 E Maize Soil VWC'!$G$2:$G$4000)</f>
        <v>0.31124224099111653</v>
      </c>
      <c r="AS101" s="1" cm="1">
        <f t="array" ref="AS101">_xlfn.XLOOKUP(1,('2016 E Maize Soil VWC'!$C$2:$C$4000=$AA101)*('2016 E Maize Soil VWC'!$E$2:$E$4000=$AB101)*('2016 E Maize Soil VWC'!$F$2:$F$4000=AS$5),'2016 E Maize Soil VWC'!$G$2:$G$4000)</f>
        <v>0.33393445870905181</v>
      </c>
      <c r="AT101" s="1" cm="1">
        <f t="array" ref="AT101">_xlfn.XLOOKUP(1,('2016 E Maize Soil VWC'!$C$2:$C$4000=$AA101)*('2016 E Maize Soil VWC'!$E$2:$E$4000=$AB101)*('2016 E Maize Soil VWC'!$F$2:$F$4000=AT$5),'2016 E Maize Soil VWC'!$G$2:$G$4000)</f>
        <v>0.32401949375257755</v>
      </c>
      <c r="AU101" s="1" cm="1">
        <f t="array" ref="AU101">_xlfn.XLOOKUP(1,('2016 E Maize Soil VWC'!$C$2:$C$4000=$AA101)*('2016 E Maize Soil VWC'!$E$2:$E$4000=$AB101)*('2016 E Maize Soil VWC'!$F$2:$F$4000=AU$5),'2016 E Maize Soil VWC'!$G$2:$G$4000)</f>
        <v>0.31701261320596991</v>
      </c>
      <c r="AV101" s="1" cm="1">
        <f t="array" ref="AV101">_xlfn.XLOOKUP(1,('2016 E Maize Soil VWC'!$C$2:$C$4000=$AA101)*('2016 E Maize Soil VWC'!$E$2:$E$4000=$AB101)*('2016 E Maize Soil VWC'!$F$2:$F$4000=AV$5),'2016 E Maize Soil VWC'!$G$2:$G$4000)</f>
        <v>0.31795144360600558</v>
      </c>
    </row>
    <row r="102" spans="25:64" x14ac:dyDescent="0.25">
      <c r="AA102" s="18">
        <f t="shared" si="17"/>
        <v>42569</v>
      </c>
      <c r="AB102" s="1">
        <f t="shared" si="18"/>
        <v>110</v>
      </c>
      <c r="AC102" s="1" cm="1">
        <f t="array" ref="AC102">_xlfn.XLOOKUP(1,('2016 E Maize Soil VWC'!$C$2:$C$4000=$AA102)*('2016 E Maize Soil VWC'!$E$2:$E$4000=$AB102)*('2016 E Maize Soil VWC'!$F$2:$F$4000=AC$5),'2016 E Maize Soil VWC'!$G$2:$G$4000)</f>
        <v>0.34050627150930146</v>
      </c>
      <c r="AD102" s="1" cm="1">
        <f t="array" ref="AD102">_xlfn.XLOOKUP(1,('2016 E Maize Soil VWC'!$C$2:$C$4000=$AA102)*('2016 E Maize Soil VWC'!$E$2:$E$4000=$AB102)*('2016 E Maize Soil VWC'!$F$2:$F$4000=AD$5),'2016 E Maize Soil VWC'!$G$2:$G$4000)</f>
        <v>0.34091844095321955</v>
      </c>
      <c r="AE102" s="1" cm="1">
        <f t="array" ref="AE102">_xlfn.XLOOKUP(1,('2016 E Maize Soil VWC'!$C$2:$C$4000=$AA102)*('2016 E Maize Soil VWC'!$E$2:$E$4000=$AB102)*('2016 E Maize Soil VWC'!$F$2:$F$4000=AE$5),'2016 E Maize Soil VWC'!$G$2:$G$4000)</f>
        <v>0.32667569683560527</v>
      </c>
      <c r="AF102" s="1" cm="1">
        <f t="array" ref="AF102">_xlfn.XLOOKUP(1,('2016 E Maize Soil VWC'!$C$2:$C$4000=$AA102)*('2016 E Maize Soil VWC'!$E$2:$E$4000=$AB102)*('2016 E Maize Soil VWC'!$F$2:$F$4000=AF$5),'2016 E Maize Soil VWC'!$G$2:$G$4000)</f>
        <v>0.33615559404572154</v>
      </c>
      <c r="AG102" s="1" cm="1">
        <f t="array" ref="AG102">_xlfn.XLOOKUP(1,('2016 E Maize Soil VWC'!$C$2:$C$4000=$AA102)*('2016 E Maize Soil VWC'!$E$2:$E$4000=$AB102)*('2016 E Maize Soil VWC'!$F$2:$F$4000=AG$5),'2016 E Maize Soil VWC'!$G$2:$G$4000)</f>
        <v>0.33001884899182987</v>
      </c>
      <c r="AH102" s="1" cm="1">
        <f t="array" ref="AH102">_xlfn.XLOOKUP(1,('2016 E Maize Soil VWC'!$C$2:$C$4000=$AA102)*('2016 E Maize Soil VWC'!$E$2:$E$4000=$AB102)*('2016 E Maize Soil VWC'!$F$2:$F$4000=AH$5),'2016 E Maize Soil VWC'!$G$2:$G$4000)</f>
        <v>0.32003518912803597</v>
      </c>
      <c r="AI102" s="1" cm="1">
        <f t="array" ref="AI102">_xlfn.XLOOKUP(1,('2016 E Maize Soil VWC'!$C$2:$C$4000=$AA102)*('2016 E Maize Soil VWC'!$E$2:$E$4000=$AB102)*('2016 E Maize Soil VWC'!$F$2:$F$4000=AI$5),'2016 E Maize Soil VWC'!$G$2:$G$4000)</f>
        <v>0.33981932243610463</v>
      </c>
      <c r="AJ102" s="1" cm="1">
        <f t="array" ref="AJ102">_xlfn.XLOOKUP(1,('2016 E Maize Soil VWC'!$C$2:$C$4000=$AA102)*('2016 E Maize Soil VWC'!$E$2:$E$4000=$AB102)*('2016 E Maize Soil VWC'!$F$2:$F$4000=AJ$5),'2016 E Maize Soil VWC'!$G$2:$G$4000)</f>
        <v>0.33684254311891837</v>
      </c>
      <c r="AK102" s="1" cm="1">
        <f t="array" ref="AK102">_xlfn.XLOOKUP(1,('2016 E Maize Soil VWC'!$C$2:$C$4000=$AA102)*('2016 E Maize Soil VWC'!$E$2:$E$4000=$AB102)*('2016 E Maize Soil VWC'!$F$2:$F$4000=AK$5),'2016 E Maize Soil VWC'!$G$2:$G$4000)</f>
        <v>0.32935479822107294</v>
      </c>
      <c r="AL102" s="1" cm="1">
        <f t="array" ref="AL102">_xlfn.XLOOKUP(1,('2016 E Maize Soil VWC'!$C$2:$C$4000=$AA102)*('2016 E Maize Soil VWC'!$E$2:$E$4000=$AB102)*('2016 E Maize Soil VWC'!$F$2:$F$4000=AL$5),'2016 E Maize Soil VWC'!$G$2:$G$4000)</f>
        <v>0.33872020391898972</v>
      </c>
      <c r="AM102" s="1" cm="1">
        <f t="array" ref="AM102">_xlfn.XLOOKUP(1,('2016 E Maize Soil VWC'!$C$2:$C$4000=$AA102)*('2016 E Maize Soil VWC'!$E$2:$E$4000=$AB102)*('2016 E Maize Soil VWC'!$F$2:$F$4000=AM$5),'2016 E Maize Soil VWC'!$G$2:$G$4000)</f>
        <v>0.32539339189897121</v>
      </c>
      <c r="AN102" s="1" cm="1">
        <f t="array" ref="AN102">_xlfn.XLOOKUP(1,('2016 E Maize Soil VWC'!$C$2:$C$4000=$AA102)*('2016 E Maize Soil VWC'!$E$2:$E$4000=$AB102)*('2016 E Maize Soil VWC'!$F$2:$F$4000=AN$5),'2016 E Maize Soil VWC'!$G$2:$G$4000)</f>
        <v>0.33968193262146529</v>
      </c>
      <c r="AO102" s="1" cm="1">
        <f t="array" ref="AO102">_xlfn.XLOOKUP(1,('2016 E Maize Soil VWC'!$C$2:$C$4000=$AA102)*('2016 E Maize Soil VWC'!$E$2:$E$4000=$AB102)*('2016 E Maize Soil VWC'!$F$2:$F$4000=AO$5),'2016 E Maize Soil VWC'!$G$2:$G$4000)</f>
        <v>0.33402605191881141</v>
      </c>
      <c r="AP102" s="1" cm="1">
        <f t="array" ref="AP102">_xlfn.XLOOKUP(1,('2016 E Maize Soil VWC'!$C$2:$C$4000=$AA102)*('2016 E Maize Soil VWC'!$E$2:$E$4000=$AB102)*('2016 E Maize Soil VWC'!$F$2:$F$4000=AP$5),'2016 E Maize Soil VWC'!$G$2:$G$4000)</f>
        <v>0.32564527322581005</v>
      </c>
      <c r="AQ102" s="1" cm="1">
        <f t="array" ref="AQ102">_xlfn.XLOOKUP(1,('2016 E Maize Soil VWC'!$C$2:$C$4000=$AA102)*('2016 E Maize Soil VWC'!$E$2:$E$4000=$AB102)*('2016 E Maize Soil VWC'!$F$2:$F$4000=AQ$5),'2016 E Maize Soil VWC'!$G$2:$G$4000)</f>
        <v>0.31666913866937152</v>
      </c>
      <c r="AR102" s="1" cm="1">
        <f t="array" ref="AR102">_xlfn.XLOOKUP(1,('2016 E Maize Soil VWC'!$C$2:$C$4000=$AA102)*('2016 E Maize Soil VWC'!$E$2:$E$4000=$AB102)*('2016 E Maize Soil VWC'!$F$2:$F$4000=AR$5),'2016 E Maize Soil VWC'!$G$2:$G$4000)</f>
        <v>0.32005808743047581</v>
      </c>
      <c r="AS102" s="1" cm="1">
        <f t="array" ref="AS102">_xlfn.XLOOKUP(1,('2016 E Maize Soil VWC'!$C$2:$C$4000=$AA102)*('2016 E Maize Soil VWC'!$E$2:$E$4000=$AB102)*('2016 E Maize Soil VWC'!$F$2:$F$4000=AS$5),'2016 E Maize Soil VWC'!$G$2:$G$4000)</f>
        <v>0.33803325484579289</v>
      </c>
      <c r="AT102" s="1" cm="1">
        <f t="array" ref="AT102">_xlfn.XLOOKUP(1,('2016 E Maize Soil VWC'!$C$2:$C$4000=$AA102)*('2016 E Maize Soil VWC'!$E$2:$E$4000=$AB102)*('2016 E Maize Soil VWC'!$F$2:$F$4000=AT$5),'2016 E Maize Soil VWC'!$G$2:$G$4000)</f>
        <v>0.33572052629936355</v>
      </c>
      <c r="AU102" s="1" cm="1">
        <f t="array" ref="AU102">_xlfn.XLOOKUP(1,('2016 E Maize Soil VWC'!$C$2:$C$4000=$AA102)*('2016 E Maize Soil VWC'!$E$2:$E$4000=$AB102)*('2016 E Maize Soil VWC'!$F$2:$F$4000=AU$5),'2016 E Maize Soil VWC'!$G$2:$G$4000)</f>
        <v>0.33352228926513372</v>
      </c>
      <c r="AV102" s="1" cm="1">
        <f t="array" ref="AV102">_xlfn.XLOOKUP(1,('2016 E Maize Soil VWC'!$C$2:$C$4000=$AA102)*('2016 E Maize Soil VWC'!$E$2:$E$4000=$AB102)*('2016 E Maize Soil VWC'!$F$2:$F$4000=AV$5),'2016 E Maize Soil VWC'!$G$2:$G$4000)</f>
        <v>0.32807249328443888</v>
      </c>
    </row>
    <row r="103" spans="25:64" x14ac:dyDescent="0.25">
      <c r="AA103" s="18">
        <f t="shared" si="17"/>
        <v>42569</v>
      </c>
      <c r="AB103" s="1">
        <f t="shared" si="18"/>
        <v>130</v>
      </c>
      <c r="AC103" s="1" cm="1">
        <f t="array" ref="AC103">_xlfn.XLOOKUP(1,('2016 E Maize Soil VWC'!$C$2:$C$4000=$AA103)*('2016 E Maize Soil VWC'!$E$2:$E$4000=$AB103)*('2016 E Maize Soil VWC'!$F$2:$F$4000=AC$5),'2016 E Maize Soil VWC'!$G$2:$G$4000)</f>
        <v>0.31829448820179013</v>
      </c>
      <c r="AD103" s="1" cm="1">
        <f t="array" ref="AD103">_xlfn.XLOOKUP(1,('2016 E Maize Soil VWC'!$C$2:$C$4000=$AA103)*('2016 E Maize Soil VWC'!$E$2:$E$4000=$AB103)*('2016 E Maize Soil VWC'!$F$2:$F$4000=AD$5),'2016 E Maize Soil VWC'!$G$2:$G$4000)</f>
        <v>0.30770579745198795</v>
      </c>
      <c r="AE103" s="1" cm="1">
        <f t="array" ref="AE103">_xlfn.XLOOKUP(1,('2016 E Maize Soil VWC'!$C$2:$C$4000=$AA103)*('2016 E Maize Soil VWC'!$E$2:$E$4000=$AB103)*('2016 E Maize Soil VWC'!$F$2:$F$4000=AE$5),'2016 E Maize Soil VWC'!$G$2:$G$4000)</f>
        <v>0.30609024353244096</v>
      </c>
      <c r="AF103" s="1" cm="1">
        <f t="array" ref="AF103">_xlfn.XLOOKUP(1,('2016 E Maize Soil VWC'!$C$2:$C$4000=$AA103)*('2016 E Maize Soil VWC'!$E$2:$E$4000=$AB103)*('2016 E Maize Soil VWC'!$F$2:$F$4000=AF$5),'2016 E Maize Soil VWC'!$G$2:$G$4000)</f>
        <v>0.30990528652317845</v>
      </c>
      <c r="AG103" s="1" cm="1">
        <f t="array" ref="AG103">_xlfn.XLOOKUP(1,('2016 E Maize Soil VWC'!$C$2:$C$4000=$AA103)*('2016 E Maize Soil VWC'!$E$2:$E$4000=$AB103)*('2016 E Maize Soil VWC'!$F$2:$F$4000=AG$5),'2016 E Maize Soil VWC'!$G$2:$G$4000)</f>
        <v>0.31681518581762658</v>
      </c>
      <c r="AH103" s="1" cm="1">
        <f t="array" ref="AH103">_xlfn.XLOOKUP(1,('2016 E Maize Soil VWC'!$C$2:$C$4000=$AA103)*('2016 E Maize Soil VWC'!$E$2:$E$4000=$AB103)*('2016 E Maize Soil VWC'!$F$2:$F$4000=AH$5),'2016 E Maize Soil VWC'!$G$2:$G$4000)</f>
        <v>0.30786151349242619</v>
      </c>
      <c r="AI103" s="1" cm="1">
        <f t="array" ref="AI103">_xlfn.XLOOKUP(1,('2016 E Maize Soil VWC'!$C$2:$C$4000=$AA103)*('2016 E Maize Soil VWC'!$E$2:$E$4000=$AB103)*('2016 E Maize Soil VWC'!$F$2:$F$4000=AI$5),'2016 E Maize Soil VWC'!$G$2:$G$4000)</f>
        <v>0.3091656353310967</v>
      </c>
      <c r="AJ103" s="1" cm="1">
        <f t="array" ref="AJ103">_xlfn.XLOOKUP(1,('2016 E Maize Soil VWC'!$C$2:$C$4000=$AA103)*('2016 E Maize Soil VWC'!$E$2:$E$4000=$AB103)*('2016 E Maize Soil VWC'!$F$2:$F$4000=AJ$5),'2016 E Maize Soil VWC'!$G$2:$G$4000)</f>
        <v>0.34357888026795375</v>
      </c>
      <c r="AK103" s="1" cm="1">
        <f t="array" ref="AK103">_xlfn.XLOOKUP(1,('2016 E Maize Soil VWC'!$C$2:$C$4000=$AA103)*('2016 E Maize Soil VWC'!$E$2:$E$4000=$AB103)*('2016 E Maize Soil VWC'!$F$2:$F$4000=AK$5),'2016 E Maize Soil VWC'!$G$2:$G$4000)</f>
        <v>0.30628488858298875</v>
      </c>
      <c r="AL103" s="1" cm="1">
        <f t="array" ref="AL103">_xlfn.XLOOKUP(1,('2016 E Maize Soil VWC'!$C$2:$C$4000=$AA103)*('2016 E Maize Soil VWC'!$E$2:$E$4000=$AB103)*('2016 E Maize Soil VWC'!$F$2:$F$4000=AL$5),'2016 E Maize Soil VWC'!$G$2:$G$4000)</f>
        <v>0.32084433836396675</v>
      </c>
      <c r="AM103" s="1" cm="1">
        <f t="array" ref="AM103">_xlfn.XLOOKUP(1,('2016 E Maize Soil VWC'!$C$2:$C$4000=$AA103)*('2016 E Maize Soil VWC'!$E$2:$E$4000=$AB103)*('2016 E Maize Soil VWC'!$F$2:$F$4000=AM$5),'2016 E Maize Soil VWC'!$G$2:$G$4000)</f>
        <v>0.31029457662427418</v>
      </c>
      <c r="AN103" s="1" cm="1">
        <f t="array" ref="AN103">_xlfn.XLOOKUP(1,('2016 E Maize Soil VWC'!$C$2:$C$4000=$AA103)*('2016 E Maize Soil VWC'!$E$2:$E$4000=$AB103)*('2016 E Maize Soil VWC'!$F$2:$F$4000=AN$5),'2016 E Maize Soil VWC'!$G$2:$G$4000)</f>
        <v>0.30256716811752515</v>
      </c>
      <c r="AO103" s="1" cm="1">
        <f t="array" ref="AO103">_xlfn.XLOOKUP(1,('2016 E Maize Soil VWC'!$C$2:$C$4000=$AA103)*('2016 E Maize Soil VWC'!$E$2:$E$4000=$AB103)*('2016 E Maize Soil VWC'!$F$2:$F$4000=AO$5),'2016 E Maize Soil VWC'!$G$2:$G$4000)</f>
        <v>0.31677625680751703</v>
      </c>
      <c r="AP103" s="1" cm="1">
        <f t="array" ref="AP103">_xlfn.XLOOKUP(1,('2016 E Maize Soil VWC'!$C$2:$C$4000=$AA103)*('2016 E Maize Soil VWC'!$E$2:$E$4000=$AB103)*('2016 E Maize Soil VWC'!$F$2:$F$4000=AP$5),'2016 E Maize Soil VWC'!$G$2:$G$4000)</f>
        <v>0.31630910868620221</v>
      </c>
      <c r="AQ103" s="1" cm="1">
        <f t="array" ref="AQ103">_xlfn.XLOOKUP(1,('2016 E Maize Soil VWC'!$C$2:$C$4000=$AA103)*('2016 E Maize Soil VWC'!$E$2:$E$4000=$AB103)*('2016 E Maize Soil VWC'!$F$2:$F$4000=AQ$5),'2016 E Maize Soil VWC'!$G$2:$G$4000)</f>
        <v>0.30500023124937309</v>
      </c>
      <c r="AR103" s="1" cm="1">
        <f t="array" ref="AR103">_xlfn.XLOOKUP(1,('2016 E Maize Soil VWC'!$C$2:$C$4000=$AA103)*('2016 E Maize Soil VWC'!$E$2:$E$4000=$AB103)*('2016 E Maize Soil VWC'!$F$2:$F$4000=AR$5),'2016 E Maize Soil VWC'!$G$2:$G$4000)</f>
        <v>0.30067911112721113</v>
      </c>
      <c r="AS103" s="1" cm="1">
        <f t="array" ref="AS103">_xlfn.XLOOKUP(1,('2016 E Maize Soil VWC'!$C$2:$C$4000=$AA103)*('2016 E Maize Soil VWC'!$E$2:$E$4000=$AB103)*('2016 E Maize Soil VWC'!$F$2:$F$4000=AS$5),'2016 E Maize Soil VWC'!$G$2:$G$4000)</f>
        <v>0.31161816296799938</v>
      </c>
      <c r="AT103" s="1" cm="1">
        <f t="array" ref="AT103">_xlfn.XLOOKUP(1,('2016 E Maize Soil VWC'!$C$2:$C$4000=$AA103)*('2016 E Maize Soil VWC'!$E$2:$E$4000=$AB103)*('2016 E Maize Soil VWC'!$F$2:$F$4000=AT$5),'2016 E Maize Soil VWC'!$G$2:$G$4000)</f>
        <v>0.30657685615881053</v>
      </c>
      <c r="AU103" s="1" cm="1">
        <f t="array" ref="AU103">_xlfn.XLOOKUP(1,('2016 E Maize Soil VWC'!$C$2:$C$4000=$AA103)*('2016 E Maize Soil VWC'!$E$2:$E$4000=$AB103)*('2016 E Maize Soil VWC'!$F$2:$F$4000=AU$5),'2016 E Maize Soil VWC'!$G$2:$G$4000)</f>
        <v>0.30653792714870098</v>
      </c>
      <c r="AV103" s="1" cm="1">
        <f t="array" ref="AV103">_xlfn.XLOOKUP(1,('2016 E Maize Soil VWC'!$C$2:$C$4000=$AA103)*('2016 E Maize Soil VWC'!$E$2:$E$4000=$AB103)*('2016 E Maize Soil VWC'!$F$2:$F$4000=AV$5),'2016 E Maize Soil VWC'!$G$2:$G$4000)</f>
        <v>0.30075696914743033</v>
      </c>
    </row>
    <row r="104" spans="25:64" x14ac:dyDescent="0.25">
      <c r="AA104" s="18">
        <f t="shared" si="17"/>
        <v>42569</v>
      </c>
      <c r="AB104" s="1">
        <f t="shared" si="18"/>
        <v>150</v>
      </c>
      <c r="AC104" s="1" cm="1">
        <f t="array" ref="AC104">_xlfn.XLOOKUP(1,('2016 E Maize Soil VWC'!$C$2:$C$4000=$AA104)*('2016 E Maize Soil VWC'!$E$2:$E$4000=$AB104)*('2016 E Maize Soil VWC'!$F$2:$F$4000=AC$5),'2016 E Maize Soil VWC'!$G$2:$G$4000)</f>
        <v>0.34100956560072232</v>
      </c>
      <c r="AD104" s="1" cm="1">
        <f t="array" ref="AD104">_xlfn.XLOOKUP(1,('2016 E Maize Soil VWC'!$C$2:$C$4000=$AA104)*('2016 E Maize Soil VWC'!$E$2:$E$4000=$AB104)*('2016 E Maize Soil VWC'!$F$2:$F$4000=AD$5),'2016 E Maize Soil VWC'!$G$2:$G$4000)</f>
        <v>0.33273715095243939</v>
      </c>
      <c r="AE104" s="1" cm="1">
        <f t="array" ref="AE104">_xlfn.XLOOKUP(1,('2016 E Maize Soil VWC'!$C$2:$C$4000=$AA104)*('2016 E Maize Soil VWC'!$E$2:$E$4000=$AB104)*('2016 E Maize Soil VWC'!$F$2:$F$4000=AE$5),'2016 E Maize Soil VWC'!$G$2:$G$4000)</f>
        <v>0.3179635916158588</v>
      </c>
      <c r="AF104" s="1" cm="1">
        <f t="array" ref="AF104">_xlfn.XLOOKUP(1,('2016 E Maize Soil VWC'!$C$2:$C$4000=$AA104)*('2016 E Maize Soil VWC'!$E$2:$E$4000=$AB104)*('2016 E Maize Soil VWC'!$F$2:$F$4000=AF$5),'2016 E Maize Soil VWC'!$G$2:$G$4000)</f>
        <v>0.30601238551222176</v>
      </c>
      <c r="AG104" s="1" cm="1">
        <f t="array" ref="AG104">_xlfn.XLOOKUP(1,('2016 E Maize Soil VWC'!$C$2:$C$4000=$AA104)*('2016 E Maize Soil VWC'!$E$2:$E$4000=$AB104)*('2016 E Maize Soil VWC'!$F$2:$F$4000=AG$5),'2016 E Maize Soil VWC'!$G$2:$G$4000)</f>
        <v>0.36792897609148772</v>
      </c>
      <c r="AH104" s="1" cm="1">
        <f t="array" ref="AH104">_xlfn.XLOOKUP(1,('2016 E Maize Soil VWC'!$C$2:$C$4000=$AA104)*('2016 E Maize Soil VWC'!$E$2:$E$4000=$AB104)*('2016 E Maize Soil VWC'!$F$2:$F$4000=AH$5),'2016 E Maize Soil VWC'!$G$2:$G$4000)</f>
        <v>0.35262987511842797</v>
      </c>
      <c r="AI104" s="1" cm="1">
        <f t="array" ref="AI104">_xlfn.XLOOKUP(1,('2016 E Maize Soil VWC'!$C$2:$C$4000=$AA104)*('2016 E Maize Soil VWC'!$E$2:$E$4000=$AB104)*('2016 E Maize Soil VWC'!$F$2:$F$4000=AI$5),'2016 E Maize Soil VWC'!$G$2:$G$4000)</f>
        <v>0.3281045987494009</v>
      </c>
      <c r="AJ104" s="1" cm="1">
        <f t="array" ref="AJ104">_xlfn.XLOOKUP(1,('2016 E Maize Soil VWC'!$C$2:$C$4000=$AA104)*('2016 E Maize Soil VWC'!$E$2:$E$4000=$AB104)*('2016 E Maize Soil VWC'!$F$2:$F$4000=AJ$5),'2016 E Maize Soil VWC'!$G$2:$G$4000)</f>
        <v>0.34229422293433803</v>
      </c>
      <c r="AK104" s="1" cm="1">
        <f t="array" ref="AK104">_xlfn.XLOOKUP(1,('2016 E Maize Soil VWC'!$C$2:$C$4000=$AA104)*('2016 E Maize Soil VWC'!$E$2:$E$4000=$AB104)*('2016 E Maize Soil VWC'!$F$2:$F$4000=AK$5),'2016 E Maize Soil VWC'!$G$2:$G$4000)</f>
        <v>0.33191964174013849</v>
      </c>
      <c r="AL104" s="1" cm="1">
        <f t="array" ref="AL104">_xlfn.XLOOKUP(1,('2016 E Maize Soil VWC'!$C$2:$C$4000=$AA104)*('2016 E Maize Soil VWC'!$E$2:$E$4000=$AB104)*('2016 E Maize Soil VWC'!$F$2:$F$4000=AL$5),'2016 E Maize Soil VWC'!$G$2:$G$4000)</f>
        <v>0.34735499424858168</v>
      </c>
      <c r="AM104" s="1" cm="1">
        <f t="array" ref="AM104">_xlfn.XLOOKUP(1,('2016 E Maize Soil VWC'!$C$2:$C$4000=$AA104)*('2016 E Maize Soil VWC'!$E$2:$E$4000=$AB104)*('2016 E Maize Soil VWC'!$F$2:$F$4000=AM$5),'2016 E Maize Soil VWC'!$G$2:$G$4000)</f>
        <v>0.33812881885261437</v>
      </c>
      <c r="AN104" s="1" cm="1">
        <f t="array" ref="AN104">_xlfn.XLOOKUP(1,('2016 E Maize Soil VWC'!$C$2:$C$4000=$AA104)*('2016 E Maize Soil VWC'!$E$2:$E$4000=$AB104)*('2016 E Maize Soil VWC'!$F$2:$F$4000=AN$5),'2016 E Maize Soil VWC'!$G$2:$G$4000)</f>
        <v>0.33285393798276808</v>
      </c>
      <c r="AO104" s="1" cm="1">
        <f t="array" ref="AO104">_xlfn.XLOOKUP(1,('2016 E Maize Soil VWC'!$C$2:$C$4000=$AA104)*('2016 E Maize Soil VWC'!$E$2:$E$4000=$AB104)*('2016 E Maize Soil VWC'!$F$2:$F$4000=AO$5),'2016 E Maize Soil VWC'!$G$2:$G$4000)</f>
        <v>0.30823133908846712</v>
      </c>
      <c r="AP104" s="1" cm="1">
        <f t="array" ref="AP104">_xlfn.XLOOKUP(1,('2016 E Maize Soil VWC'!$C$2:$C$4000=$AA104)*('2016 E Maize Soil VWC'!$E$2:$E$4000=$AB104)*('2016 E Maize Soil VWC'!$F$2:$F$4000=AP$5),'2016 E Maize Soil VWC'!$G$2:$G$4000)</f>
        <v>0.30535059234035916</v>
      </c>
      <c r="AQ104" s="1" cm="1">
        <f t="array" ref="AQ104">_xlfn.XLOOKUP(1,('2016 E Maize Soil VWC'!$C$2:$C$4000=$AA104)*('2016 E Maize Soil VWC'!$E$2:$E$4000=$AB104)*('2016 E Maize Soil VWC'!$F$2:$F$4000=AQ$5),'2016 E Maize Soil VWC'!$G$2:$G$4000)</f>
        <v>0.34910679970351222</v>
      </c>
      <c r="AR104" s="1" cm="1">
        <f t="array" ref="AR104">_xlfn.XLOOKUP(1,('2016 E Maize Soil VWC'!$C$2:$C$4000=$AA104)*('2016 E Maize Soil VWC'!$E$2:$E$4000=$AB104)*('2016 E Maize Soil VWC'!$F$2:$F$4000=AR$5),'2016 E Maize Soil VWC'!$G$2:$G$4000)</f>
        <v>0.31737965646421529</v>
      </c>
      <c r="AS104" s="1" cm="1">
        <f t="array" ref="AS104">_xlfn.XLOOKUP(1,('2016 E Maize Soil VWC'!$C$2:$C$4000=$AA104)*('2016 E Maize Soil VWC'!$E$2:$E$4000=$AB104)*('2016 E Maize Soil VWC'!$F$2:$F$4000=AS$5),'2016 E Maize Soil VWC'!$G$2:$G$4000)</f>
        <v>0.32606082571864869</v>
      </c>
      <c r="AT104" s="1" cm="1">
        <f t="array" ref="AT104">_xlfn.XLOOKUP(1,('2016 E Maize Soil VWC'!$C$2:$C$4000=$AA104)*('2016 E Maize Soil VWC'!$E$2:$E$4000=$AB104)*('2016 E Maize Soil VWC'!$F$2:$F$4000=AT$5),'2016 E Maize Soil VWC'!$G$2:$G$4000)</f>
        <v>0.3297006881638932</v>
      </c>
      <c r="AU104" s="1" cm="1">
        <f t="array" ref="AU104">_xlfn.XLOOKUP(1,('2016 E Maize Soil VWC'!$C$2:$C$4000=$AA104)*('2016 E Maize Soil VWC'!$E$2:$E$4000=$AB104)*('2016 E Maize Soil VWC'!$F$2:$F$4000=AU$5),'2016 E Maize Soil VWC'!$G$2:$G$4000)</f>
        <v>0.32872746291115401</v>
      </c>
      <c r="AV104" s="1" cm="1">
        <f t="array" ref="AV104">_xlfn.XLOOKUP(1,('2016 E Maize Soil VWC'!$C$2:$C$4000=$AA104)*('2016 E Maize Soil VWC'!$E$2:$E$4000=$AB104)*('2016 E Maize Soil VWC'!$F$2:$F$4000=AV$5),'2016 E Maize Soil VWC'!$G$2:$G$4000)</f>
        <v>0.34437692497519989</v>
      </c>
    </row>
    <row r="105" spans="25:64" x14ac:dyDescent="0.25">
      <c r="AA105" s="18">
        <f t="shared" si="17"/>
        <v>42569</v>
      </c>
      <c r="AB105" s="1">
        <f t="shared" si="18"/>
        <v>170</v>
      </c>
      <c r="AC105" s="1" cm="1">
        <f t="array" ref="AC105">_xlfn.XLOOKUP(1,('2016 E Maize Soil VWC'!$C$2:$C$4000=$AA105)*('2016 E Maize Soil VWC'!$E$2:$E$4000=$AB105)*('2016 E Maize Soil VWC'!$F$2:$F$4000=AC$5),'2016 E Maize Soil VWC'!$G$2:$G$4000)</f>
        <v>0.28569144223502796</v>
      </c>
      <c r="AD105" s="1" cm="1">
        <f t="array" ref="AD105">_xlfn.XLOOKUP(1,('2016 E Maize Soil VWC'!$C$2:$C$4000=$AA105)*('2016 E Maize Soil VWC'!$E$2:$E$4000=$AB105)*('2016 E Maize Soil VWC'!$F$2:$F$4000=AD$5),'2016 E Maize Soil VWC'!$G$2:$G$4000)</f>
        <v>0.27911243952651116</v>
      </c>
      <c r="AE105" s="1" cm="1">
        <f t="array" ref="AE105">_xlfn.XLOOKUP(1,('2016 E Maize Soil VWC'!$C$2:$C$4000=$AA105)*('2016 E Maize Soil VWC'!$E$2:$E$4000=$AB105)*('2016 E Maize Soil VWC'!$F$2:$F$4000=AE$5),'2016 E Maize Soil VWC'!$G$2:$G$4000)</f>
        <v>0.28818289888204024</v>
      </c>
      <c r="AF105" s="1" cm="1">
        <f t="array" ref="AF105">_xlfn.XLOOKUP(1,('2016 E Maize Soil VWC'!$C$2:$C$4000=$AA105)*('2016 E Maize Soil VWC'!$E$2:$E$4000=$AB105)*('2016 E Maize Soil VWC'!$F$2:$F$4000=AF$5),'2016 E Maize Soil VWC'!$G$2:$G$4000)</f>
        <v>0.29754532581339105</v>
      </c>
      <c r="AG105" s="1" cm="1">
        <f t="array" ref="AG105">_xlfn.XLOOKUP(1,('2016 E Maize Soil VWC'!$C$2:$C$4000=$AA105)*('2016 E Maize Soil VWC'!$E$2:$E$4000=$AB105)*('2016 E Maize Soil VWC'!$F$2:$F$4000=AG$5),'2016 E Maize Soil VWC'!$G$2:$G$4000)</f>
        <v>0.33388555675067161</v>
      </c>
      <c r="AH105" s="1" cm="1">
        <f t="array" ref="AH105">_xlfn.XLOOKUP(1,('2016 E Maize Soil VWC'!$C$2:$C$4000=$AA105)*('2016 E Maize Soil VWC'!$E$2:$E$4000=$AB105)*('2016 E Maize Soil VWC'!$F$2:$F$4000=AH$5),'2016 E Maize Soil VWC'!$G$2:$G$4000)</f>
        <v>0.35103378570393579</v>
      </c>
      <c r="AI105" s="1" cm="1">
        <f t="array" ref="AI105">_xlfn.XLOOKUP(1,('2016 E Maize Soil VWC'!$C$2:$C$4000=$AA105)*('2016 E Maize Soil VWC'!$E$2:$E$4000=$AB105)*('2016 E Maize Soil VWC'!$F$2:$F$4000=AI$5),'2016 E Maize Soil VWC'!$G$2:$G$4000)</f>
        <v>0.30151608484456682</v>
      </c>
      <c r="AJ105" s="1" cm="1">
        <f t="array" ref="AJ105">_xlfn.XLOOKUP(1,('2016 E Maize Soil VWC'!$C$2:$C$4000=$AA105)*('2016 E Maize Soil VWC'!$E$2:$E$4000=$AB105)*('2016 E Maize Soil VWC'!$F$2:$F$4000=AJ$5),'2016 E Maize Soil VWC'!$G$2:$G$4000)</f>
        <v>0.31157923395788983</v>
      </c>
      <c r="AK105" s="1" cm="1">
        <f t="array" ref="AK105">_xlfn.XLOOKUP(1,('2016 E Maize Soil VWC'!$C$2:$C$4000=$AA105)*('2016 E Maize Soil VWC'!$E$2:$E$4000=$AB105)*('2016 E Maize Soil VWC'!$F$2:$F$4000=AK$5),'2016 E Maize Soil VWC'!$G$2:$G$4000)</f>
        <v>0.30136036880412853</v>
      </c>
      <c r="AL105" s="1" cm="1">
        <f t="array" ref="AL105">_xlfn.XLOOKUP(1,('2016 E Maize Soil VWC'!$C$2:$C$4000=$AA105)*('2016 E Maize Soil VWC'!$E$2:$E$4000=$AB105)*('2016 E Maize Soil VWC'!$F$2:$F$4000=AL$5),'2016 E Maize Soil VWC'!$G$2:$G$4000)</f>
        <v>0.31113155034162981</v>
      </c>
      <c r="AM105" s="1" cm="1">
        <f t="array" ref="AM105">_xlfn.XLOOKUP(1,('2016 E Maize Soil VWC'!$C$2:$C$4000=$AA105)*('2016 E Maize Soil VWC'!$E$2:$E$4000=$AB105)*('2016 E Maize Soil VWC'!$F$2:$F$4000=AM$5),'2016 E Maize Soil VWC'!$G$2:$G$4000)</f>
        <v>0.32308275644526679</v>
      </c>
      <c r="AN105" s="1" cm="1">
        <f t="array" ref="AN105">_xlfn.XLOOKUP(1,('2016 E Maize Soil VWC'!$C$2:$C$4000=$AA105)*('2016 E Maize Soil VWC'!$E$2:$E$4000=$AB105)*('2016 E Maize Soil VWC'!$F$2:$F$4000=AN$5),'2016 E Maize Soil VWC'!$G$2:$G$4000)</f>
        <v>0.34180761030796841</v>
      </c>
      <c r="AO105" s="1" cm="1">
        <f t="array" ref="AO105">_xlfn.XLOOKUP(1,('2016 E Maize Soil VWC'!$C$2:$C$4000=$AA105)*('2016 E Maize Soil VWC'!$E$2:$E$4000=$AB105)*('2016 E Maize Soil VWC'!$F$2:$F$4000=AO$5),'2016 E Maize Soil VWC'!$G$2:$G$4000)</f>
        <v>0.30638221110826269</v>
      </c>
      <c r="AP105" s="1" cm="1">
        <f t="array" ref="AP105">_xlfn.XLOOKUP(1,('2016 E Maize Soil VWC'!$C$2:$C$4000=$AA105)*('2016 E Maize Soil VWC'!$E$2:$E$4000=$AB105)*('2016 E Maize Soil VWC'!$F$2:$F$4000=AP$5),'2016 E Maize Soil VWC'!$G$2:$G$4000)</f>
        <v>0.31944289400002235</v>
      </c>
      <c r="AQ105" s="1" cm="1">
        <f t="array" ref="AQ105">_xlfn.XLOOKUP(1,('2016 E Maize Soil VWC'!$C$2:$C$4000=$AA105)*('2016 E Maize Soil VWC'!$E$2:$E$4000=$AB105)*('2016 E Maize Soil VWC'!$F$2:$F$4000=AQ$5),'2016 E Maize Soil VWC'!$G$2:$G$4000)</f>
        <v>0.33845971543854569</v>
      </c>
      <c r="AR105" s="1" cm="1">
        <f t="array" ref="AR105">_xlfn.XLOOKUP(1,('2016 E Maize Soil VWC'!$C$2:$C$4000=$AA105)*('2016 E Maize Soil VWC'!$E$2:$E$4000=$AB105)*('2016 E Maize Soil VWC'!$F$2:$F$4000=AR$5),'2016 E Maize Soil VWC'!$G$2:$G$4000)</f>
        <v>0.32989533321444103</v>
      </c>
      <c r="AS105" s="1" cm="1">
        <f t="array" ref="AS105">_xlfn.XLOOKUP(1,('2016 E Maize Soil VWC'!$C$2:$C$4000=$AA105)*('2016 E Maize Soil VWC'!$E$2:$E$4000=$AB105)*('2016 E Maize Soil VWC'!$F$2:$F$4000=AS$5),'2016 E Maize Soil VWC'!$G$2:$G$4000)</f>
        <v>0.32236256975823979</v>
      </c>
      <c r="AT105" s="1" cm="1">
        <f t="array" ref="AT105">_xlfn.XLOOKUP(1,('2016 E Maize Soil VWC'!$C$2:$C$4000=$AA105)*('2016 E Maize Soil VWC'!$E$2:$E$4000=$AB105)*('2016 E Maize Soil VWC'!$F$2:$F$4000=AT$5),'2016 E Maize Soil VWC'!$G$2:$G$4000)</f>
        <v>0.32868853390104441</v>
      </c>
      <c r="AU105" s="1" cm="1">
        <f t="array" ref="AU105">_xlfn.XLOOKUP(1,('2016 E Maize Soil VWC'!$C$2:$C$4000=$AA105)*('2016 E Maize Soil VWC'!$E$2:$E$4000=$AB105)*('2016 E Maize Soil VWC'!$F$2:$F$4000=AU$5),'2016 E Maize Soil VWC'!$G$2:$G$4000)</f>
        <v>0.31556945749412046</v>
      </c>
      <c r="AV105" s="1" cm="1">
        <f t="array" ref="AV105">_xlfn.XLOOKUP(1,('2016 E Maize Soil VWC'!$C$2:$C$4000=$AA105)*('2016 E Maize Soil VWC'!$E$2:$E$4000=$AB105)*('2016 E Maize Soil VWC'!$F$2:$F$4000=AV$5),'2016 E Maize Soil VWC'!$G$2:$G$4000)</f>
        <v>0.31691250834290047</v>
      </c>
    </row>
    <row r="106" spans="25:64" x14ac:dyDescent="0.25">
      <c r="AA106" s="18">
        <f t="shared" si="17"/>
        <v>42569</v>
      </c>
      <c r="AB106" s="1">
        <f t="shared" si="18"/>
        <v>190</v>
      </c>
      <c r="AC106" s="1" cm="1">
        <f t="array" ref="AC106">_xlfn.XLOOKUP(1,('2016 E Maize Soil VWC'!$C$2:$C$4000=$AA106)*('2016 E Maize Soil VWC'!$E$2:$E$4000=$AB106)*('2016 E Maize Soil VWC'!$F$2:$F$4000=AC$5),'2016 E Maize Soil VWC'!$G$2:$G$4000)</f>
        <v>0.2902072074077377</v>
      </c>
      <c r="AD106" s="1" cm="1">
        <f t="array" ref="AD106">_xlfn.XLOOKUP(1,('2016 E Maize Soil VWC'!$C$2:$C$4000=$AA106)*('2016 E Maize Soil VWC'!$E$2:$E$4000=$AB106)*('2016 E Maize Soil VWC'!$F$2:$F$4000=AD$5),'2016 E Maize Soil VWC'!$G$2:$G$4000)</f>
        <v>0.29437261148946137</v>
      </c>
      <c r="AE106" s="1" cm="1">
        <f t="array" ref="AE106">_xlfn.XLOOKUP(1,('2016 E Maize Soil VWC'!$C$2:$C$4000=$AA106)*('2016 E Maize Soil VWC'!$E$2:$E$4000=$AB106)*('2016 E Maize Soil VWC'!$F$2:$F$4000=AE$5),'2016 E Maize Soil VWC'!$G$2:$G$4000)</f>
        <v>0.3010878657333616</v>
      </c>
      <c r="AF106" s="1" cm="1">
        <f t="array" ref="AF106">_xlfn.XLOOKUP(1,('2016 E Maize Soil VWC'!$C$2:$C$4000=$AA106)*('2016 E Maize Soil VWC'!$E$2:$E$4000=$AB106)*('2016 E Maize Soil VWC'!$F$2:$F$4000=AF$5),'2016 E Maize Soil VWC'!$G$2:$G$4000)</f>
        <v>0.29649424254043272</v>
      </c>
      <c r="AG106" s="1" cm="1">
        <f t="array" ref="AG106">_xlfn.XLOOKUP(1,('2016 E Maize Soil VWC'!$C$2:$C$4000=$AA106)*('2016 E Maize Soil VWC'!$E$2:$E$4000=$AB106)*('2016 E Maize Soil VWC'!$F$2:$F$4000=AG$5),'2016 E Maize Soil VWC'!$G$2:$G$4000)</f>
        <v>0.34338423521740585</v>
      </c>
      <c r="AH106" s="1" cm="1">
        <f t="array" ref="AH106">_xlfn.XLOOKUP(1,('2016 E Maize Soil VWC'!$C$2:$C$4000=$AA106)*('2016 E Maize Soil VWC'!$E$2:$E$4000=$AB106)*('2016 E Maize Soil VWC'!$F$2:$F$4000=AH$5),'2016 E Maize Soil VWC'!$G$2:$G$4000)</f>
        <v>0.36633288667699548</v>
      </c>
      <c r="AI106" s="1" cm="1">
        <f t="array" ref="AI106">_xlfn.XLOOKUP(1,('2016 E Maize Soil VWC'!$C$2:$C$4000=$AA106)*('2016 E Maize Soil VWC'!$E$2:$E$4000=$AB106)*('2016 E Maize Soil VWC'!$F$2:$F$4000=AI$5),'2016 E Maize Soil VWC'!$G$2:$G$4000)</f>
        <v>0.28736538966973929</v>
      </c>
      <c r="AJ106" s="1" cm="1">
        <f t="array" ref="AJ106">_xlfn.XLOOKUP(1,('2016 E Maize Soil VWC'!$C$2:$C$4000=$AA106)*('2016 E Maize Soil VWC'!$E$2:$E$4000=$AB106)*('2016 E Maize Soil VWC'!$F$2:$F$4000=AJ$5),'2016 E Maize Soil VWC'!$G$2:$G$4000)</f>
        <v>0.29859640908634932</v>
      </c>
      <c r="AK106" s="1" cm="1">
        <f t="array" ref="AK106">_xlfn.XLOOKUP(1,('2016 E Maize Soil VWC'!$C$2:$C$4000=$AA106)*('2016 E Maize Soil VWC'!$E$2:$E$4000=$AB106)*('2016 E Maize Soil VWC'!$F$2:$F$4000=AK$5),'2016 E Maize Soil VWC'!$G$2:$G$4000)</f>
        <v>0.28981791730664203</v>
      </c>
      <c r="AL106" s="1" cm="1">
        <f t="array" ref="AL106">_xlfn.XLOOKUP(1,('2016 E Maize Soil VWC'!$C$2:$C$4000=$AA106)*('2016 E Maize Soil VWC'!$E$2:$E$4000=$AB106)*('2016 E Maize Soil VWC'!$F$2:$F$4000=AL$5),'2016 E Maize Soil VWC'!$G$2:$G$4000)</f>
        <v>0.29367188930748916</v>
      </c>
      <c r="AM106" s="1" cm="1">
        <f t="array" ref="AM106">_xlfn.XLOOKUP(1,('2016 E Maize Soil VWC'!$C$2:$C$4000=$AA106)*('2016 E Maize Soil VWC'!$E$2:$E$4000=$AB106)*('2016 E Maize Soil VWC'!$F$2:$F$4000=AM$5),'2016 E Maize Soil VWC'!$G$2:$G$4000)</f>
        <v>0.31093690529108198</v>
      </c>
      <c r="AN106" s="1" cm="1">
        <f t="array" ref="AN106">_xlfn.XLOOKUP(1,('2016 E Maize Soil VWC'!$C$2:$C$4000=$AA106)*('2016 E Maize Soil VWC'!$E$2:$E$4000=$AB106)*('2016 E Maize Soil VWC'!$F$2:$F$4000=AN$5),'2016 E Maize Soil VWC'!$G$2:$G$4000)</f>
        <v>0.31767162404003702</v>
      </c>
      <c r="AO106" s="1" cm="1">
        <f t="array" ref="AO106">_xlfn.XLOOKUP(1,('2016 E Maize Soil VWC'!$C$2:$C$4000=$AA106)*('2016 E Maize Soil VWC'!$E$2:$E$4000=$AB106)*('2016 E Maize Soil VWC'!$F$2:$F$4000=AO$5),'2016 E Maize Soil VWC'!$G$2:$G$4000)</f>
        <v>0.29396385688331089</v>
      </c>
      <c r="AP106" s="1" cm="1">
        <f t="array" ref="AP106">_xlfn.XLOOKUP(1,('2016 E Maize Soil VWC'!$C$2:$C$4000=$AA106)*('2016 E Maize Soil VWC'!$E$2:$E$4000=$AB106)*('2016 E Maize Soil VWC'!$F$2:$F$4000=AP$5),'2016 E Maize Soil VWC'!$G$2:$G$4000)</f>
        <v>0.30429950906740083</v>
      </c>
      <c r="AQ106" s="1" cm="1">
        <f t="array" ref="AQ106">_xlfn.XLOOKUP(1,('2016 E Maize Soil VWC'!$C$2:$C$4000=$AA106)*('2016 E Maize Soil VWC'!$E$2:$E$4000=$AB106)*('2016 E Maize Soil VWC'!$F$2:$F$4000=AQ$5),'2016 E Maize Soil VWC'!$G$2:$G$4000)</f>
        <v>0.35062503109778531</v>
      </c>
      <c r="AR106" s="1" cm="1">
        <f t="array" ref="AR106">_xlfn.XLOOKUP(1,('2016 E Maize Soil VWC'!$C$2:$C$4000=$AA106)*('2016 E Maize Soil VWC'!$E$2:$E$4000=$AB106)*('2016 E Maize Soil VWC'!$F$2:$F$4000=AR$5),'2016 E Maize Soil VWC'!$G$2:$G$4000)</f>
        <v>0.34447424750047378</v>
      </c>
      <c r="AS106" s="1" cm="1">
        <f t="array" ref="AS106">_xlfn.XLOOKUP(1,('2016 E Maize Soil VWC'!$C$2:$C$4000=$AA106)*('2016 E Maize Soil VWC'!$E$2:$E$4000=$AB106)*('2016 E Maize Soil VWC'!$F$2:$F$4000=AS$5),'2016 E Maize Soil VWC'!$G$2:$G$4000)</f>
        <v>0.31809984315124229</v>
      </c>
      <c r="AT106" s="1" cm="1">
        <f t="array" ref="AT106">_xlfn.XLOOKUP(1,('2016 E Maize Soil VWC'!$C$2:$C$4000=$AA106)*('2016 E Maize Soil VWC'!$E$2:$E$4000=$AB106)*('2016 E Maize Soil VWC'!$F$2:$F$4000=AT$5),'2016 E Maize Soil VWC'!$G$2:$G$4000)</f>
        <v>0.31381765203918993</v>
      </c>
      <c r="AU106" s="1" cm="1">
        <f t="array" ref="AU106">_xlfn.XLOOKUP(1,('2016 E Maize Soil VWC'!$C$2:$C$4000=$AA106)*('2016 E Maize Soil VWC'!$E$2:$E$4000=$AB106)*('2016 E Maize Soil VWC'!$F$2:$F$4000=AU$5),'2016 E Maize Soil VWC'!$G$2:$G$4000)</f>
        <v>0.3092045643412063</v>
      </c>
      <c r="AV106" s="1" cm="1">
        <f t="array" ref="AV106">_xlfn.XLOOKUP(1,('2016 E Maize Soil VWC'!$C$2:$C$4000=$AA106)*('2016 E Maize Soil VWC'!$E$2:$E$4000=$AB106)*('2016 E Maize Soil VWC'!$F$2:$F$4000=AV$5),'2016 E Maize Soil VWC'!$G$2:$G$4000)</f>
        <v>0.30844544864406975</v>
      </c>
    </row>
    <row r="107" spans="25:64" x14ac:dyDescent="0.25">
      <c r="AA107" s="18">
        <f t="shared" si="17"/>
        <v>42569</v>
      </c>
      <c r="AB107" s="1">
        <f t="shared" si="18"/>
        <v>210</v>
      </c>
      <c r="AC107" s="1" cm="1">
        <f t="array" ref="AC107">_xlfn.XLOOKUP(1,('2016 E Maize Soil VWC'!$C$2:$C$4000=$AA107)*('2016 E Maize Soil VWC'!$E$2:$E$4000=$AB107)*('2016 E Maize Soil VWC'!$F$2:$F$4000=AC$5),'2016 E Maize Soil VWC'!$G$2:$G$4000)</f>
        <v>0.30967171246252106</v>
      </c>
      <c r="AD107" s="1" cm="1">
        <f t="array" ref="AD107">_xlfn.XLOOKUP(1,('2016 E Maize Soil VWC'!$C$2:$C$4000=$AA107)*('2016 E Maize Soil VWC'!$E$2:$E$4000=$AB107)*('2016 E Maize Soil VWC'!$F$2:$F$4000=AD$5),'2016 E Maize Soil VWC'!$G$2:$G$4000)</f>
        <v>0.29777889987404843</v>
      </c>
      <c r="AE107" s="1" cm="1">
        <f t="array" ref="AE107">_xlfn.XLOOKUP(1,('2016 E Maize Soil VWC'!$C$2:$C$4000=$AA107)*('2016 E Maize Soil VWC'!$E$2:$E$4000=$AB107)*('2016 E Maize Soil VWC'!$F$2:$F$4000=AE$5),'2016 E Maize Soil VWC'!$G$2:$G$4000)</f>
        <v>0.28053334839551036</v>
      </c>
      <c r="AF107" s="1" cm="1">
        <f t="array" ref="AF107">_xlfn.XLOOKUP(1,('2016 E Maize Soil VWC'!$C$2:$C$4000=$AA107)*('2016 E Maize Soil VWC'!$E$2:$E$4000=$AB107)*('2016 E Maize Soil VWC'!$F$2:$F$4000=AF$5),'2016 E Maize Soil VWC'!$G$2:$G$4000)</f>
        <v>0.29172543880201079</v>
      </c>
      <c r="AG107" s="1" t="e" cm="1">
        <f t="array" ref="AG107">_xlfn.XLOOKUP(1,('2016 E Maize Soil VWC'!$C$2:$C$4000=$AA107)*('2016 E Maize Soil VWC'!$E$2:$E$4000=$AB107)*('2016 E Maize Soil VWC'!$F$2:$F$4000=AG$5),'2016 E Maize Soil VWC'!$G$2:$G$4000)</f>
        <v>#N/A</v>
      </c>
      <c r="AH107" s="1" t="e" cm="1">
        <f t="array" ref="AH107">_xlfn.XLOOKUP(1,('2016 E Maize Soil VWC'!$C$2:$C$4000=$AA107)*('2016 E Maize Soil VWC'!$E$2:$E$4000=$AB107)*('2016 E Maize Soil VWC'!$F$2:$F$4000=AH$5),'2016 E Maize Soil VWC'!$G$2:$G$4000)</f>
        <v>#N/A</v>
      </c>
      <c r="AI107" s="1" cm="1">
        <f t="array" ref="AI107">_xlfn.XLOOKUP(1,('2016 E Maize Soil VWC'!$C$2:$C$4000=$AA107)*('2016 E Maize Soil VWC'!$E$2:$E$4000=$AB107)*('2016 E Maize Soil VWC'!$F$2:$F$4000=AI$5),'2016 E Maize Soil VWC'!$G$2:$G$4000)</f>
        <v>0.2770686664957589</v>
      </c>
      <c r="AJ107" s="1" cm="1">
        <f t="array" ref="AJ107">_xlfn.XLOOKUP(1,('2016 E Maize Soil VWC'!$C$2:$C$4000=$AA107)*('2016 E Maize Soil VWC'!$E$2:$E$4000=$AB107)*('2016 E Maize Soil VWC'!$F$2:$F$4000=AJ$5),'2016 E Maize Soil VWC'!$G$2:$G$4000)</f>
        <v>0.30392968347135996</v>
      </c>
      <c r="AK107" s="1" cm="1">
        <f t="array" ref="AK107">_xlfn.XLOOKUP(1,('2016 E Maize Soil VWC'!$C$2:$C$4000=$AA107)*('2016 E Maize Soil VWC'!$E$2:$E$4000=$AB107)*('2016 E Maize Soil VWC'!$F$2:$F$4000=AK$5),'2016 E Maize Soil VWC'!$G$2:$G$4000)</f>
        <v>0.29990053092501984</v>
      </c>
      <c r="AL107" s="1" cm="1">
        <f t="array" ref="AL107">_xlfn.XLOOKUP(1,('2016 E Maize Soil VWC'!$C$2:$C$4000=$AA107)*('2016 E Maize Soil VWC'!$E$2:$E$4000=$AB107)*('2016 E Maize Soil VWC'!$F$2:$F$4000=AL$5),'2016 E Maize Soil VWC'!$G$2:$G$4000)</f>
        <v>0.273467733060624</v>
      </c>
      <c r="AM107" s="1" cm="1">
        <f t="array" ref="AM107">_xlfn.XLOOKUP(1,('2016 E Maize Soil VWC'!$C$2:$C$4000=$AA107)*('2016 E Maize Soil VWC'!$E$2:$E$4000=$AB107)*('2016 E Maize Soil VWC'!$F$2:$F$4000=AM$5),'2016 E Maize Soil VWC'!$G$2:$G$4000)</f>
        <v>0.3062459595728792</v>
      </c>
      <c r="AN107" s="1" cm="1">
        <f t="array" ref="AN107">_xlfn.XLOOKUP(1,('2016 E Maize Soil VWC'!$C$2:$C$4000=$AA107)*('2016 E Maize Soil VWC'!$E$2:$E$4000=$AB107)*('2016 E Maize Soil VWC'!$F$2:$F$4000=AN$5),'2016 E Maize Soil VWC'!$G$2:$G$4000)</f>
        <v>0.312104775594369</v>
      </c>
      <c r="AO107" s="1" cm="1">
        <f t="array" ref="AO107">_xlfn.XLOOKUP(1,('2016 E Maize Soil VWC'!$C$2:$C$4000=$AA107)*('2016 E Maize Soil VWC'!$E$2:$E$4000=$AB107)*('2016 E Maize Soil VWC'!$F$2:$F$4000=AO$5),'2016 E Maize Soil VWC'!$G$2:$G$4000)</f>
        <v>0.29966695686436245</v>
      </c>
      <c r="AP107" s="1" cm="1">
        <f t="array" ref="AP107">_xlfn.XLOOKUP(1,('2016 E Maize Soil VWC'!$C$2:$C$4000=$AA107)*('2016 E Maize Soil VWC'!$E$2:$E$4000=$AB107)*('2016 E Maize Soil VWC'!$F$2:$F$4000=AP$5),'2016 E Maize Soil VWC'!$G$2:$G$4000)</f>
        <v>0.2748497129195136</v>
      </c>
      <c r="AQ107" s="1" t="e" cm="1">
        <f t="array" ref="AQ107">_xlfn.XLOOKUP(1,('2016 E Maize Soil VWC'!$C$2:$C$4000=$AA107)*('2016 E Maize Soil VWC'!$E$2:$E$4000=$AB107)*('2016 E Maize Soil VWC'!$F$2:$F$4000=AQ$5),'2016 E Maize Soil VWC'!$G$2:$G$4000)</f>
        <v>#N/A</v>
      </c>
      <c r="AR107" s="1" t="e" cm="1">
        <f t="array" ref="AR107">_xlfn.XLOOKUP(1,('2016 E Maize Soil VWC'!$C$2:$C$4000=$AA107)*('2016 E Maize Soil VWC'!$E$2:$E$4000=$AB107)*('2016 E Maize Soil VWC'!$F$2:$F$4000=AR$5),'2016 E Maize Soil VWC'!$G$2:$G$4000)</f>
        <v>#N/A</v>
      </c>
      <c r="AS107" s="1" cm="1">
        <f t="array" ref="AS107">_xlfn.XLOOKUP(1,('2016 E Maize Soil VWC'!$C$2:$C$4000=$AA107)*('2016 E Maize Soil VWC'!$E$2:$E$4000=$AB107)*('2016 E Maize Soil VWC'!$F$2:$F$4000=AS$5),'2016 E Maize Soil VWC'!$G$2:$G$4000)</f>
        <v>0.30293699371356603</v>
      </c>
      <c r="AT107" s="1" cm="1">
        <f t="array" ref="AT107">_xlfn.XLOOKUP(1,('2016 E Maize Soil VWC'!$C$2:$C$4000=$AA107)*('2016 E Maize Soil VWC'!$E$2:$E$4000=$AB107)*('2016 E Maize Soil VWC'!$F$2:$F$4000=AT$5),'2016 E Maize Soil VWC'!$G$2:$G$4000)</f>
        <v>0.30287860019840168</v>
      </c>
      <c r="AU107" s="1" cm="1">
        <f t="array" ref="AU107">_xlfn.XLOOKUP(1,('2016 E Maize Soil VWC'!$C$2:$C$4000=$AA107)*('2016 E Maize Soil VWC'!$E$2:$E$4000=$AB107)*('2016 E Maize Soil VWC'!$F$2:$F$4000=AU$5),'2016 E Maize Soil VWC'!$G$2:$G$4000)</f>
        <v>0.29735068076284321</v>
      </c>
      <c r="AV107" s="1" cm="1">
        <f t="array" ref="AV107">_xlfn.XLOOKUP(1,('2016 E Maize Soil VWC'!$C$2:$C$4000=$AA107)*('2016 E Maize Soil VWC'!$E$2:$E$4000=$AB107)*('2016 E Maize Soil VWC'!$F$2:$F$4000=AV$5),'2016 E Maize Soil VWC'!$G$2:$G$4000)</f>
        <v>0.30161340736984077</v>
      </c>
    </row>
    <row r="108" spans="25:64" x14ac:dyDescent="0.25">
      <c r="AA108" s="18">
        <f t="shared" si="17"/>
        <v>42569</v>
      </c>
      <c r="AB108" s="1">
        <f t="shared" si="18"/>
        <v>230</v>
      </c>
      <c r="AC108" s="1" cm="1">
        <f t="array" ref="AC108">_xlfn.XLOOKUP(1,('2016 E Maize Soil VWC'!$C$2:$C$4000=$AA108)*('2016 E Maize Soil VWC'!$E$2:$E$4000=$AB108)*('2016 E Maize Soil VWC'!$F$2:$F$4000=AC$5),'2016 E Maize Soil VWC'!$G$2:$G$4000)</f>
        <v>0.30295645821862083</v>
      </c>
      <c r="AD108" s="1" cm="1">
        <f t="array" ref="AD108">_xlfn.XLOOKUP(1,('2016 E Maize Soil VWC'!$C$2:$C$4000=$AA108)*('2016 E Maize Soil VWC'!$E$2:$E$4000=$AB108)*('2016 E Maize Soil VWC'!$F$2:$F$4000=AD$5),'2016 E Maize Soil VWC'!$G$2:$G$4000)</f>
        <v>0.29355510227716042</v>
      </c>
      <c r="AE108" s="1" cm="1">
        <f t="array" ref="AE108">_xlfn.XLOOKUP(1,('2016 E Maize Soil VWC'!$C$2:$C$4000=$AA108)*('2016 E Maize Soil VWC'!$E$2:$E$4000=$AB108)*('2016 E Maize Soil VWC'!$F$2:$F$4000=AE$5),'2016 E Maize Soil VWC'!$G$2:$G$4000)</f>
        <v>0.28218783132516695</v>
      </c>
      <c r="AF108" s="1" cm="1">
        <f t="array" ref="AF108">_xlfn.XLOOKUP(1,('2016 E Maize Soil VWC'!$C$2:$C$4000=$AA108)*('2016 E Maize Soil VWC'!$E$2:$E$4000=$AB108)*('2016 E Maize Soil VWC'!$F$2:$F$4000=AF$5),'2016 E Maize Soil VWC'!$G$2:$G$4000)</f>
        <v>0.28004673576914074</v>
      </c>
      <c r="AG108" s="1" t="e" cm="1">
        <f t="array" ref="AG108">_xlfn.XLOOKUP(1,('2016 E Maize Soil VWC'!$C$2:$C$4000=$AA108)*('2016 E Maize Soil VWC'!$E$2:$E$4000=$AB108)*('2016 E Maize Soil VWC'!$F$2:$F$4000=AG$5),'2016 E Maize Soil VWC'!$G$2:$G$4000)</f>
        <v>#N/A</v>
      </c>
      <c r="AH108" s="1" t="e" cm="1">
        <f t="array" ref="AH108">_xlfn.XLOOKUP(1,('2016 E Maize Soil VWC'!$C$2:$C$4000=$AA108)*('2016 E Maize Soil VWC'!$E$2:$E$4000=$AB108)*('2016 E Maize Soil VWC'!$F$2:$F$4000=AH$5),'2016 E Maize Soil VWC'!$G$2:$G$4000)</f>
        <v>#N/A</v>
      </c>
      <c r="AI108" s="1" cm="1">
        <f t="array" ref="AI108">_xlfn.XLOOKUP(1,('2016 E Maize Soil VWC'!$C$2:$C$4000=$AA108)*('2016 E Maize Soil VWC'!$E$2:$E$4000=$AB108)*('2016 E Maize Soil VWC'!$F$2:$F$4000=AI$5),'2016 E Maize Soil VWC'!$G$2:$G$4000)</f>
        <v>0.28251872791109828</v>
      </c>
      <c r="AJ108" s="1" cm="1">
        <f t="array" ref="AJ108">_xlfn.XLOOKUP(1,('2016 E Maize Soil VWC'!$C$2:$C$4000=$AA108)*('2016 E Maize Soil VWC'!$E$2:$E$4000=$AB108)*('2016 E Maize Soil VWC'!$F$2:$F$4000=AJ$5),'2016 E Maize Soil VWC'!$G$2:$G$4000)</f>
        <v>0.30967171246252106</v>
      </c>
      <c r="AK108" s="1" cm="1">
        <f t="array" ref="AK108">_xlfn.XLOOKUP(1,('2016 E Maize Soil VWC'!$C$2:$C$4000=$AA108)*('2016 E Maize Soil VWC'!$E$2:$E$4000=$AB108)*('2016 E Maize Soil VWC'!$F$2:$F$4000=AK$5),'2016 E Maize Soil VWC'!$G$2:$G$4000)</f>
        <v>0.30718025581550878</v>
      </c>
      <c r="AL108" s="1" cm="1">
        <f t="array" ref="AL108">_xlfn.XLOOKUP(1,('2016 E Maize Soil VWC'!$C$2:$C$4000=$AA108)*('2016 E Maize Soil VWC'!$E$2:$E$4000=$AB108)*('2016 E Maize Soil VWC'!$F$2:$F$4000=AL$5),'2016 E Maize Soil VWC'!$G$2:$G$4000)</f>
        <v>0.26735587847342202</v>
      </c>
      <c r="AM108" s="1" cm="1">
        <f t="array" ref="AM108">_xlfn.XLOOKUP(1,('2016 E Maize Soil VWC'!$C$2:$C$4000=$AA108)*('2016 E Maize Soil VWC'!$E$2:$E$4000=$AB108)*('2016 E Maize Soil VWC'!$F$2:$F$4000=AM$5),'2016 E Maize Soil VWC'!$G$2:$G$4000)</f>
        <v>0.29997838894523898</v>
      </c>
      <c r="AN108" s="1" cm="1">
        <f t="array" ref="AN108">_xlfn.XLOOKUP(1,('2016 E Maize Soil VWC'!$C$2:$C$4000=$AA108)*('2016 E Maize Soil VWC'!$E$2:$E$4000=$AB108)*('2016 E Maize Soil VWC'!$F$2:$F$4000=AN$5),'2016 E Maize Soil VWC'!$G$2:$G$4000)</f>
        <v>0.3003871435513894</v>
      </c>
      <c r="AO108" s="1" cm="1">
        <f t="array" ref="AO108">_xlfn.XLOOKUP(1,('2016 E Maize Soil VWC'!$C$2:$C$4000=$AA108)*('2016 E Maize Soil VWC'!$E$2:$E$4000=$AB108)*('2016 E Maize Soil VWC'!$F$2:$F$4000=AO$5),'2016 E Maize Soil VWC'!$G$2:$G$4000)</f>
        <v>0.29474243708550224</v>
      </c>
      <c r="AP108" s="1" cm="1">
        <f t="array" ref="AP108">_xlfn.XLOOKUP(1,('2016 E Maize Soil VWC'!$C$2:$C$4000=$AA108)*('2016 E Maize Soil VWC'!$E$2:$E$4000=$AB108)*('2016 E Maize Soil VWC'!$F$2:$F$4000=AP$5),'2016 E Maize Soil VWC'!$G$2:$G$4000)</f>
        <v>0.28682038352820538</v>
      </c>
      <c r="AQ108" s="1" t="e" cm="1">
        <f t="array" ref="AQ108">_xlfn.XLOOKUP(1,('2016 E Maize Soil VWC'!$C$2:$C$4000=$AA108)*('2016 E Maize Soil VWC'!$E$2:$E$4000=$AB108)*('2016 E Maize Soil VWC'!$F$2:$F$4000=AQ$5),'2016 E Maize Soil VWC'!$G$2:$G$4000)</f>
        <v>#N/A</v>
      </c>
      <c r="AR108" s="1" t="e" cm="1">
        <f t="array" ref="AR108">_xlfn.XLOOKUP(1,('2016 E Maize Soil VWC'!$C$2:$C$4000=$AA108)*('2016 E Maize Soil VWC'!$E$2:$E$4000=$AB108)*('2016 E Maize Soil VWC'!$F$2:$F$4000=AR$5),'2016 E Maize Soil VWC'!$G$2:$G$4000)</f>
        <v>#N/A</v>
      </c>
      <c r="AS108" s="1" cm="1">
        <f t="array" ref="AS108">_xlfn.XLOOKUP(1,('2016 E Maize Soil VWC'!$C$2:$C$4000=$AA108)*('2016 E Maize Soil VWC'!$E$2:$E$4000=$AB108)*('2016 E Maize Soil VWC'!$F$2:$F$4000=AS$5),'2016 E Maize Soil VWC'!$G$2:$G$4000)</f>
        <v>0.30245038108719641</v>
      </c>
      <c r="AT108" s="1" cm="1">
        <f t="array" ref="AT108">_xlfn.XLOOKUP(1,('2016 E Maize Soil VWC'!$C$2:$C$4000=$AA108)*('2016 E Maize Soil VWC'!$E$2:$E$4000=$AB108)*('2016 E Maize Soil VWC'!$F$2:$F$4000=AT$5),'2016 E Maize Soil VWC'!$G$2:$G$4000)</f>
        <v>0.30581774046167398</v>
      </c>
      <c r="AU108" s="1" cm="1">
        <f t="array" ref="AU108">_xlfn.XLOOKUP(1,('2016 E Maize Soil VWC'!$C$2:$C$4000=$AA108)*('2016 E Maize Soil VWC'!$E$2:$E$4000=$AB108)*('2016 E Maize Soil VWC'!$F$2:$F$4000=AU$5),'2016 E Maize Soil VWC'!$G$2:$G$4000)</f>
        <v>0.2931658121760648</v>
      </c>
      <c r="AV108" s="1" cm="1">
        <f t="array" ref="AV108">_xlfn.XLOOKUP(1,('2016 E Maize Soil VWC'!$C$2:$C$4000=$AA108)*('2016 E Maize Soil VWC'!$E$2:$E$4000=$AB108)*('2016 E Maize Soil VWC'!$F$2:$F$4000=AV$5),'2016 E Maize Soil VWC'!$G$2:$G$4000)</f>
        <v>0.30435790258256523</v>
      </c>
    </row>
    <row r="109" spans="25:64" x14ac:dyDescent="0.25">
      <c r="AA109" s="18"/>
    </row>
    <row r="110" spans="25:64" x14ac:dyDescent="0.25">
      <c r="Y110" s="1">
        <v>2016</v>
      </c>
      <c r="Z110" s="1">
        <v>208</v>
      </c>
      <c r="AA110" s="18">
        <f>DATE(Y110,1,Z110)</f>
        <v>42577</v>
      </c>
      <c r="AB110" s="1">
        <v>10</v>
      </c>
      <c r="AC110" s="1" cm="1">
        <f t="array" ref="AC110">_xlfn.XLOOKUP(1,('2016 E Maize Soil VWC'!$C$2:$C$4000=$AA110)*('2016 E Maize Soil VWC'!$E$2:$E$4000=$AB110)*('2016 E Maize Soil VWC'!$F$2:$F$4000=AC$5),'2016 E Maize Soil VWC'!$G$2:$G$4000)</f>
        <v>0.14318883911633246</v>
      </c>
      <c r="AD110" s="1" cm="1">
        <f t="array" ref="AD110">_xlfn.XLOOKUP(1,('2016 E Maize Soil VWC'!$C$2:$C$4000=$AA110)*('2016 E Maize Soil VWC'!$E$2:$E$4000=$AB110)*('2016 E Maize Soil VWC'!$F$2:$F$4000=AD$5),'2016 E Maize Soil VWC'!$G$2:$G$4000)</f>
        <v>0.13260069809512132</v>
      </c>
      <c r="AE110" s="1" cm="1">
        <f t="array" ref="AE110">_xlfn.XLOOKUP(1,('2016 E Maize Soil VWC'!$C$2:$C$4000=$AA110)*('2016 E Maize Soil VWC'!$E$2:$E$4000=$AB110)*('2016 E Maize Soil VWC'!$F$2:$F$4000=AE$5),'2016 E Maize Soil VWC'!$G$2:$G$4000)</f>
        <v>0.14063771093549718</v>
      </c>
      <c r="AF110" s="1" cm="1">
        <f t="array" ref="AF110">_xlfn.XLOOKUP(1,('2016 E Maize Soil VWC'!$C$2:$C$4000=$AA110)*('2016 E Maize Soil VWC'!$E$2:$E$4000=$AB110)*('2016 E Maize Soil VWC'!$F$2:$F$4000=AF$5),'2016 E Maize Soil VWC'!$G$2:$G$4000)</f>
        <v>0.14923098480778449</v>
      </c>
      <c r="AG110" s="1" cm="1">
        <f t="array" ref="AG110">_xlfn.XLOOKUP(1,('2016 E Maize Soil VWC'!$C$2:$C$4000=$AA110)*('2016 E Maize Soil VWC'!$E$2:$E$4000=$AB110)*('2016 E Maize Soil VWC'!$F$2:$F$4000=AG$5),'2016 E Maize Soil VWC'!$G$2:$G$4000)</f>
        <v>0.15997257714814361</v>
      </c>
      <c r="AH110" s="1" cm="1">
        <f t="array" ref="AH110">_xlfn.XLOOKUP(1,('2016 E Maize Soil VWC'!$C$2:$C$4000=$AA110)*('2016 E Maize Soil VWC'!$E$2:$E$4000=$AB110)*('2016 E Maize Soil VWC'!$F$2:$F$4000=AH$5),'2016 E Maize Soil VWC'!$G$2:$G$4000)</f>
        <v>0.17401337285018448</v>
      </c>
      <c r="AI110" s="1" cm="1">
        <f t="array" ref="AI110">_xlfn.XLOOKUP(1,('2016 E Maize Soil VWC'!$C$2:$C$4000=$AA110)*('2016 E Maize Soil VWC'!$E$2:$E$4000=$AB110)*('2016 E Maize Soil VWC'!$F$2:$F$4000=AI$5),'2016 E Maize Soil VWC'!$G$2:$G$4000)</f>
        <v>0.18859124816924328</v>
      </c>
      <c r="AJ110" s="1" cm="1">
        <f t="array" ref="AJ110">_xlfn.XLOOKUP(1,('2016 E Maize Soil VWC'!$C$2:$C$4000=$AA110)*('2016 E Maize Soil VWC'!$E$2:$E$4000=$AB110)*('2016 E Maize Soil VWC'!$F$2:$F$4000=AJ$5),'2016 E Maize Soil VWC'!$G$2:$G$4000)</f>
        <v>0.14777319727587862</v>
      </c>
      <c r="AK110" s="1" cm="1">
        <f t="array" ref="AK110">_xlfn.XLOOKUP(1,('2016 E Maize Soil VWC'!$C$2:$C$4000=$AA110)*('2016 E Maize Soil VWC'!$E$2:$E$4000=$AB110)*('2016 E Maize Soil VWC'!$F$2:$F$4000=AK$5),'2016 E Maize Soil VWC'!$G$2:$G$4000)</f>
        <v>0.16261961240344641</v>
      </c>
      <c r="AL110" s="1" cm="1">
        <f t="array" ref="AL110">_xlfn.XLOOKUP(1,('2016 E Maize Soil VWC'!$C$2:$C$4000=$AA110)*('2016 E Maize Soil VWC'!$E$2:$E$4000=$AB110)*('2016 E Maize Soil VWC'!$F$2:$F$4000=AL$5),'2016 E Maize Soil VWC'!$G$2:$G$4000)</f>
        <v>0.17341874898848603</v>
      </c>
      <c r="AM110" s="1" cm="1">
        <f t="array" ref="AM110">_xlfn.XLOOKUP(1,('2016 E Maize Soil VWC'!$C$2:$C$4000=$AA110)*('2016 E Maize Soil VWC'!$E$2:$E$4000=$AB110)*('2016 E Maize Soil VWC'!$F$2:$F$4000=AM$5),'2016 E Maize Soil VWC'!$G$2:$G$4000)</f>
        <v>0.13941010038231327</v>
      </c>
      <c r="AN110" s="1" cm="1">
        <f t="array" ref="AN110">_xlfn.XLOOKUP(1,('2016 E Maize Soil VWC'!$C$2:$C$4000=$AA110)*('2016 E Maize Soil VWC'!$E$2:$E$4000=$AB110)*('2016 E Maize Soil VWC'!$F$2:$F$4000=AN$5),'2016 E Maize Soil VWC'!$G$2:$G$4000)</f>
        <v>8.6277581127322589E-2</v>
      </c>
      <c r="AO110" s="1" cm="1">
        <f t="array" ref="AO110">_xlfn.XLOOKUP(1,('2016 E Maize Soil VWC'!$C$2:$C$4000=$AA110)*('2016 E Maize Soil VWC'!$E$2:$E$4000=$AB110)*('2016 E Maize Soil VWC'!$F$2:$F$4000=AO$5),'2016 E Maize Soil VWC'!$G$2:$G$4000)</f>
        <v>0.1636554088076953</v>
      </c>
      <c r="AP110" s="1" cm="1">
        <f t="array" ref="AP110">_xlfn.XLOOKUP(1,('2016 E Maize Soil VWC'!$C$2:$C$4000=$AA110)*('2016 E Maize Soil VWC'!$E$2:$E$4000=$AB110)*('2016 E Maize Soil VWC'!$F$2:$F$4000=AP$5),'2016 E Maize Soil VWC'!$G$2:$G$4000)</f>
        <v>0.14504943636100182</v>
      </c>
      <c r="AQ110" s="1" cm="1">
        <f t="array" ref="AQ110">_xlfn.XLOOKUP(1,('2016 E Maize Soil VWC'!$C$2:$C$4000=$AA110)*('2016 E Maize Soil VWC'!$E$2:$E$4000=$AB110)*('2016 E Maize Soil VWC'!$F$2:$F$4000=AQ$5),'2016 E Maize Soil VWC'!$G$2:$G$4000)</f>
        <v>0.18256828389268476</v>
      </c>
      <c r="AR110" s="1" cm="1">
        <f t="array" ref="AR110">_xlfn.XLOOKUP(1,('2016 E Maize Soil VWC'!$C$2:$C$4000=$AA110)*('2016 E Maize Soil VWC'!$E$2:$E$4000=$AB110)*('2016 E Maize Soil VWC'!$F$2:$F$4000=AR$5),'2016 E Maize Soil VWC'!$G$2:$G$4000)</f>
        <v>0.18978049589264018</v>
      </c>
      <c r="AS110" s="1" cm="1">
        <f t="array" ref="AS110">_xlfn.XLOOKUP(1,('2016 E Maize Soil VWC'!$C$2:$C$4000=$AA110)*('2016 E Maize Soil VWC'!$E$2:$E$4000=$AB110)*('2016 E Maize Soil VWC'!$F$2:$F$4000=AS$5),'2016 E Maize Soil VWC'!$G$2:$G$4000)</f>
        <v>0.16664770953108105</v>
      </c>
      <c r="AT110" s="1" cm="1">
        <f t="array" ref="AT110">_xlfn.XLOOKUP(1,('2016 E Maize Soil VWC'!$C$2:$C$4000=$AA110)*('2016 E Maize Soil VWC'!$E$2:$E$4000=$AB110)*('2016 E Maize Soil VWC'!$F$2:$F$4000=AT$5),'2016 E Maize Soil VWC'!$G$2:$G$4000)</f>
        <v>0.15347007749924763</v>
      </c>
      <c r="AU110" s="1" cm="1">
        <f t="array" ref="AU110">_xlfn.XLOOKUP(1,('2016 E Maize Soil VWC'!$C$2:$C$4000=$AA110)*('2016 E Maize Soil VWC'!$E$2:$E$4000=$AB110)*('2016 E Maize Soil VWC'!$F$2:$F$4000=AU$5),'2016 E Maize Soil VWC'!$G$2:$G$4000)</f>
        <v>0.1427284851588885</v>
      </c>
      <c r="AV110" s="1" cm="1">
        <f t="array" ref="AV110">_xlfn.XLOOKUP(1,('2016 E Maize Soil VWC'!$C$2:$C$4000=$AA110)*('2016 E Maize Soil VWC'!$E$2:$E$4000=$AB110)*('2016 E Maize Soil VWC'!$F$2:$F$4000=AV$5),'2016 E Maize Soil VWC'!$G$2:$G$4000)</f>
        <v>0.15107240063756033</v>
      </c>
      <c r="AW110" s="1">
        <f>Z110</f>
        <v>208</v>
      </c>
      <c r="AX110" s="15">
        <f>AA110</f>
        <v>42577</v>
      </c>
      <c r="AY110" s="1">
        <f>1400*AVERAGE(AG110:AH116)+100*AVERAGE(AG117:AH117)</f>
        <v>416.27500389725463</v>
      </c>
      <c r="AZ110" s="1">
        <f>1400*AVERAGE(AC110:AF116,AI110:AL116)+100*AVERAGE(AC117:AF117,AI117:AL117)</f>
        <v>434.80188926401905</v>
      </c>
      <c r="BA110" s="1">
        <f>1400*AVERAGE(AQ110:AR116)+100*AVERAGE(AQ117:AR117)</f>
        <v>415.2454735863883</v>
      </c>
      <c r="BB110" s="1">
        <f>1400*AVERAGE(AM110:AP116,AS110:AV116)+100*AVERAGE(AM117:AP117,AS117:AV117)</f>
        <v>415.59231107259512</v>
      </c>
      <c r="BC110" s="1">
        <f>AVERAGE(AC110:AD121)*2400</f>
        <v>705.58137339857581</v>
      </c>
      <c r="BD110" s="1">
        <f>AVERAGE(AE110:AF121)*2400</f>
        <v>686.52571979446498</v>
      </c>
      <c r="BE110" s="1">
        <f>AVERAGE(AG110:AH119)*2000</f>
        <v>589.95931359831479</v>
      </c>
      <c r="BF110" s="1">
        <f>AVERAGE(AI110:AJ121)*2400</f>
        <v>708.32962309707193</v>
      </c>
      <c r="BG110" s="1">
        <f>AVERAGE(AK110:AL121)*2400</f>
        <v>703.00270344416344</v>
      </c>
      <c r="BH110" s="1">
        <f>AVERAGE(AM110:AN121)*2400</f>
        <v>691.69786383405585</v>
      </c>
      <c r="BI110" s="1">
        <f>AVERAGE(AO110:AP121)*2400</f>
        <v>668.3855468785182</v>
      </c>
      <c r="BJ110" s="1">
        <f>AVERAGE(AQ110:AR119)*2000</f>
        <v>584.70209278954928</v>
      </c>
      <c r="BK110" s="1">
        <f>AVERAGE(AS110:AT121)*2400</f>
        <v>711.61580061972631</v>
      </c>
      <c r="BL110" s="1">
        <f>AVERAGE(AU110:AV121)*2400</f>
        <v>695.05327666328594</v>
      </c>
    </row>
    <row r="111" spans="25:64" x14ac:dyDescent="0.25">
      <c r="AA111" s="18">
        <f t="shared" ref="AA111:AA121" si="19">AA110</f>
        <v>42577</v>
      </c>
      <c r="AB111" s="1">
        <f t="shared" ref="AB111:AB121" si="20">AB110+20</f>
        <v>30</v>
      </c>
      <c r="AC111" s="1" cm="1">
        <f t="array" ref="AC111">_xlfn.XLOOKUP(1,('2016 E Maize Soil VWC'!$C$2:$C$4000=$AA111)*('2016 E Maize Soil VWC'!$E$2:$E$4000=$AB111)*('2016 E Maize Soil VWC'!$F$2:$F$4000=AC$5),'2016 E Maize Soil VWC'!$G$2:$G$4000)</f>
        <v>0.24733307888137146</v>
      </c>
      <c r="AD111" s="1" cm="1">
        <f t="array" ref="AD111">_xlfn.XLOOKUP(1,('2016 E Maize Soil VWC'!$C$2:$C$4000=$AA111)*('2016 E Maize Soil VWC'!$E$2:$E$4000=$AB111)*('2016 E Maize Soil VWC'!$F$2:$F$4000=AD$5),'2016 E Maize Soil VWC'!$G$2:$G$4000)</f>
        <v>0.27222353363353657</v>
      </c>
      <c r="AE111" s="1" cm="1">
        <f t="array" ref="AE111">_xlfn.XLOOKUP(1,('2016 E Maize Soil VWC'!$C$2:$C$4000=$AA111)*('2016 E Maize Soil VWC'!$E$2:$E$4000=$AB111)*('2016 E Maize Soil VWC'!$F$2:$F$4000=AE$5),'2016 E Maize Soil VWC'!$G$2:$G$4000)</f>
        <v>0.24506614693982187</v>
      </c>
      <c r="AF111" s="1" cm="1">
        <f t="array" ref="AF111">_xlfn.XLOOKUP(1,('2016 E Maize Soil VWC'!$C$2:$C$4000=$AA111)*('2016 E Maize Soil VWC'!$E$2:$E$4000=$AB111)*('2016 E Maize Soil VWC'!$F$2:$F$4000=AF$5),'2016 E Maize Soil VWC'!$G$2:$G$4000)</f>
        <v>0.25044724801319707</v>
      </c>
      <c r="AG111" s="1" cm="1">
        <f t="array" ref="AG111">_xlfn.XLOOKUP(1,('2016 E Maize Soil VWC'!$C$2:$C$4000=$AA111)*('2016 E Maize Soil VWC'!$E$2:$E$4000=$AB111)*('2016 E Maize Soil VWC'!$F$2:$F$4000=AG$5),'2016 E Maize Soil VWC'!$G$2:$G$4000)</f>
        <v>0.26716300879431992</v>
      </c>
      <c r="AH111" s="1" cm="1">
        <f t="array" ref="AH111">_xlfn.XLOOKUP(1,('2016 E Maize Soil VWC'!$C$2:$C$4000=$AA111)*('2016 E Maize Soil VWC'!$E$2:$E$4000=$AB111)*('2016 E Maize Soil VWC'!$F$2:$F$4000=AH$5),'2016 E Maize Soil VWC'!$G$2:$G$4000)</f>
        <v>0.26187350093070433</v>
      </c>
      <c r="AI111" s="1" cm="1">
        <f t="array" ref="AI111">_xlfn.XLOOKUP(1,('2016 E Maize Soil VWC'!$C$2:$C$4000=$AA111)*('2016 E Maize Soil VWC'!$E$2:$E$4000=$AB111)*('2016 E Maize Soil VWC'!$F$2:$F$4000=AI$5),'2016 E Maize Soil VWC'!$G$2:$G$4000)</f>
        <v>0.25665268797440843</v>
      </c>
      <c r="AJ111" s="1" cm="1">
        <f t="array" ref="AJ111">_xlfn.XLOOKUP(1,('2016 E Maize Soil VWC'!$C$2:$C$4000=$AA111)*('2016 E Maize Soil VWC'!$E$2:$E$4000=$AB111)*('2016 E Maize Soil VWC'!$F$2:$F$4000=AJ$5),'2016 E Maize Soil VWC'!$G$2:$G$4000)</f>
        <v>0.26166741620874528</v>
      </c>
      <c r="AK111" s="1" cm="1">
        <f t="array" ref="AK111">_xlfn.XLOOKUP(1,('2016 E Maize Soil VWC'!$C$2:$C$4000=$AA111)*('2016 E Maize Soil VWC'!$E$2:$E$4000=$AB111)*('2016 E Maize Soil VWC'!$F$2:$F$4000=AK$5),'2016 E Maize Soil VWC'!$G$2:$G$4000)</f>
        <v>0.23276975852959864</v>
      </c>
      <c r="AL111" s="1" cm="1">
        <f t="array" ref="AL111">_xlfn.XLOOKUP(1,('2016 E Maize Soil VWC'!$C$2:$C$4000=$AA111)*('2016 E Maize Soil VWC'!$E$2:$E$4000=$AB111)*('2016 E Maize Soil VWC'!$F$2:$F$4000=AL$5),'2016 E Maize Soil VWC'!$G$2:$G$4000)</f>
        <v>0.29129781956596856</v>
      </c>
      <c r="AM111" s="1" cm="1">
        <f t="array" ref="AM111">_xlfn.XLOOKUP(1,('2016 E Maize Soil VWC'!$C$2:$C$4000=$AA111)*('2016 E Maize Soil VWC'!$E$2:$E$4000=$AB111)*('2016 E Maize Soil VWC'!$F$2:$F$4000=AM$5),'2016 E Maize Soil VWC'!$G$2:$G$4000)</f>
        <v>0.21987801425593817</v>
      </c>
      <c r="AN111" s="1" cm="1">
        <f t="array" ref="AN111">_xlfn.XLOOKUP(1,('2016 E Maize Soil VWC'!$C$2:$C$4000=$AA111)*('2016 E Maize Soil VWC'!$E$2:$E$4000=$AB111)*('2016 E Maize Soil VWC'!$F$2:$F$4000=AN$5),'2016 E Maize Soil VWC'!$G$2:$G$4000)</f>
        <v>0.20238371119185883</v>
      </c>
      <c r="AO111" s="1" cm="1">
        <f t="array" ref="AO111">_xlfn.XLOOKUP(1,('2016 E Maize Soil VWC'!$C$2:$C$4000=$AA111)*('2016 E Maize Soil VWC'!$E$2:$E$4000=$AB111)*('2016 E Maize Soil VWC'!$F$2:$F$4000=AO$5),'2016 E Maize Soil VWC'!$G$2:$G$4000)</f>
        <v>0.17302808746391435</v>
      </c>
      <c r="AP111" s="1" cm="1">
        <f t="array" ref="AP111">_xlfn.XLOOKUP(1,('2016 E Maize Soil VWC'!$C$2:$C$4000=$AA111)*('2016 E Maize Soil VWC'!$E$2:$E$4000=$AB111)*('2016 E Maize Soil VWC'!$F$2:$F$4000=AP$5),'2016 E Maize Soil VWC'!$G$2:$G$4000)</f>
        <v>0.16583802049778751</v>
      </c>
      <c r="AQ111" s="1" cm="1">
        <f t="array" ref="AQ111">_xlfn.XLOOKUP(1,('2016 E Maize Soil VWC'!$C$2:$C$4000=$AA111)*('2016 E Maize Soil VWC'!$E$2:$E$4000=$AB111)*('2016 E Maize Soil VWC'!$F$2:$F$4000=AQ$5),'2016 E Maize Soil VWC'!$G$2:$G$4000)</f>
        <v>0.27272729628721426</v>
      </c>
      <c r="AR111" s="1" cm="1">
        <f t="array" ref="AR111">_xlfn.XLOOKUP(1,('2016 E Maize Soil VWC'!$C$2:$C$4000=$AA111)*('2016 E Maize Soil VWC'!$E$2:$E$4000=$AB111)*('2016 E Maize Soil VWC'!$F$2:$F$4000=AR$5),'2016 E Maize Soil VWC'!$G$2:$G$4000)</f>
        <v>0.2695902288529487</v>
      </c>
      <c r="AS111" s="1" cm="1">
        <f t="array" ref="AS111">_xlfn.XLOOKUP(1,('2016 E Maize Soil VWC'!$C$2:$C$4000=$AA111)*('2016 E Maize Soil VWC'!$E$2:$E$4000=$AB111)*('2016 E Maize Soil VWC'!$F$2:$F$4000=AS$5),'2016 E Maize Soil VWC'!$G$2:$G$4000)</f>
        <v>0.28293993917540711</v>
      </c>
      <c r="AT111" s="1" cm="1">
        <f t="array" ref="AT111">_xlfn.XLOOKUP(1,('2016 E Maize Soil VWC'!$C$2:$C$4000=$AA111)*('2016 E Maize Soil VWC'!$E$2:$E$4000=$AB111)*('2016 E Maize Soil VWC'!$F$2:$F$4000=AT$5),'2016 E Maize Soil VWC'!$G$2:$G$4000)</f>
        <v>0.24921073968144275</v>
      </c>
      <c r="AU111" s="1" cm="1">
        <f t="array" ref="AU111">_xlfn.XLOOKUP(1,('2016 E Maize Soil VWC'!$C$2:$C$4000=$AA111)*('2016 E Maize Soil VWC'!$E$2:$E$4000=$AB111)*('2016 E Maize Soil VWC'!$F$2:$F$4000=AU$5),'2016 E Maize Soil VWC'!$G$2:$G$4000)</f>
        <v>0.24213516422751541</v>
      </c>
      <c r="AV111" s="1" cm="1">
        <f t="array" ref="AV111">_xlfn.XLOOKUP(1,('2016 E Maize Soil VWC'!$C$2:$C$4000=$AA111)*('2016 E Maize Soil VWC'!$E$2:$E$4000=$AB111)*('2016 E Maize Soil VWC'!$F$2:$F$4000=AV$5),'2016 E Maize Soil VWC'!$G$2:$G$4000)</f>
        <v>0.25278287486206624</v>
      </c>
    </row>
    <row r="112" spans="25:64" x14ac:dyDescent="0.25">
      <c r="AA112" s="18">
        <f t="shared" si="19"/>
        <v>42577</v>
      </c>
      <c r="AB112" s="1">
        <f t="shared" si="20"/>
        <v>50</v>
      </c>
      <c r="AC112" s="1" cm="1">
        <f t="array" ref="AC112">_xlfn.XLOOKUP(1,('2016 E Maize Soil VWC'!$C$2:$C$4000=$AA112)*('2016 E Maize Soil VWC'!$E$2:$E$4000=$AB112)*('2016 E Maize Soil VWC'!$F$2:$F$4000=AC$5),'2016 E Maize Soil VWC'!$G$2:$G$4000)</f>
        <v>0.30954776661056438</v>
      </c>
      <c r="AD112" s="1" cm="1">
        <f t="array" ref="AD112">_xlfn.XLOOKUP(1,('2016 E Maize Soil VWC'!$C$2:$C$4000=$AA112)*('2016 E Maize Soil VWC'!$E$2:$E$4000=$AB112)*('2016 E Maize Soil VWC'!$F$2:$F$4000=AD$5),'2016 E Maize Soil VWC'!$G$2:$G$4000)</f>
        <v>0.32681308665024467</v>
      </c>
      <c r="AE112" s="1" cm="1">
        <f t="array" ref="AE112">_xlfn.XLOOKUP(1,('2016 E Maize Soil VWC'!$C$2:$C$4000=$AA112)*('2016 E Maize Soil VWC'!$E$2:$E$4000=$AB112)*('2016 E Maize Soil VWC'!$F$2:$F$4000=AE$5),'2016 E Maize Soil VWC'!$G$2:$G$4000)</f>
        <v>0.30908980056176644</v>
      </c>
      <c r="AF112" s="1" cm="1">
        <f t="array" ref="AF112">_xlfn.XLOOKUP(1,('2016 E Maize Soil VWC'!$C$2:$C$4000=$AA112)*('2016 E Maize Soil VWC'!$E$2:$E$4000=$AB112)*('2016 E Maize Soil VWC'!$F$2:$F$4000=AF$5),'2016 E Maize Soil VWC'!$G$2:$G$4000)</f>
        <v>0.302037123410279</v>
      </c>
      <c r="AG112" s="1" cm="1">
        <f t="array" ref="AG112">_xlfn.XLOOKUP(1,('2016 E Maize Soil VWC'!$C$2:$C$4000=$AA112)*('2016 E Maize Soil VWC'!$E$2:$E$4000=$AB112)*('2016 E Maize Soil VWC'!$F$2:$F$4000=AG$5),'2016 E Maize Soil VWC'!$G$2:$G$4000)</f>
        <v>0.28369558315592364</v>
      </c>
      <c r="AH112" s="1" cm="1">
        <f t="array" ref="AH112">_xlfn.XLOOKUP(1,('2016 E Maize Soil VWC'!$C$2:$C$4000=$AA112)*('2016 E Maize Soil VWC'!$E$2:$E$4000=$AB112)*('2016 E Maize Soil VWC'!$F$2:$F$4000=AH$5),'2016 E Maize Soil VWC'!$G$2:$G$4000)</f>
        <v>0.28048982081433843</v>
      </c>
      <c r="AI112" s="1" cm="1">
        <f t="array" ref="AI112">_xlfn.XLOOKUP(1,('2016 E Maize Soil VWC'!$C$2:$C$4000=$AA112)*('2016 E Maize Soil VWC'!$E$2:$E$4000=$AB112)*('2016 E Maize Soil VWC'!$F$2:$F$4000=AI$5),'2016 E Maize Soil VWC'!$G$2:$G$4000)</f>
        <v>0.31192919006431336</v>
      </c>
      <c r="AJ112" s="1" cm="1">
        <f t="array" ref="AJ112">_xlfn.XLOOKUP(1,('2016 E Maize Soil VWC'!$C$2:$C$4000=$AA112)*('2016 E Maize Soil VWC'!$E$2:$E$4000=$AB112)*('2016 E Maize Soil VWC'!$F$2:$F$4000=AJ$5),'2016 E Maize Soil VWC'!$G$2:$G$4000)</f>
        <v>0.29551110721490914</v>
      </c>
      <c r="AK112" s="1" cm="1">
        <f t="array" ref="AK112">_xlfn.XLOOKUP(1,('2016 E Maize Soil VWC'!$C$2:$C$4000=$AA112)*('2016 E Maize Soil VWC'!$E$2:$E$4000=$AB112)*('2016 E Maize Soil VWC'!$F$2:$F$4000=AK$5),'2016 E Maize Soil VWC'!$G$2:$G$4000)</f>
        <v>0.29161839580012711</v>
      </c>
      <c r="AL112" s="1" cm="1">
        <f t="array" ref="AL112">_xlfn.XLOOKUP(1,('2016 E Maize Soil VWC'!$C$2:$C$4000=$AA112)*('2016 E Maize Soil VWC'!$E$2:$E$4000=$AB112)*('2016 E Maize Soil VWC'!$F$2:$F$4000=AL$5),'2016 E Maize Soil VWC'!$G$2:$G$4000)</f>
        <v>0.33331620454317468</v>
      </c>
      <c r="AM112" s="1" cm="1">
        <f t="array" ref="AM112">_xlfn.XLOOKUP(1,('2016 E Maize Soil VWC'!$C$2:$C$4000=$AA112)*('2016 E Maize Soil VWC'!$E$2:$E$4000=$AB112)*('2016 E Maize Soil VWC'!$F$2:$F$4000=AM$5),'2016 E Maize Soil VWC'!$G$2:$G$4000)</f>
        <v>0.30515129254210466</v>
      </c>
      <c r="AN112" s="1" cm="1">
        <f t="array" ref="AN112">_xlfn.XLOOKUP(1,('2016 E Maize Soil VWC'!$C$2:$C$4000=$AA112)*('2016 E Maize Soil VWC'!$E$2:$E$4000=$AB112)*('2016 E Maize Soil VWC'!$F$2:$F$4000=AN$5),'2016 E Maize Soil VWC'!$G$2:$G$4000)</f>
        <v>0.30874632602516805</v>
      </c>
      <c r="AO112" s="1" cm="1">
        <f t="array" ref="AO112">_xlfn.XLOOKUP(1,('2016 E Maize Soil VWC'!$C$2:$C$4000=$AA112)*('2016 E Maize Soil VWC'!$E$2:$E$4000=$AB112)*('2016 E Maize Soil VWC'!$F$2:$F$4000=AO$5),'2016 E Maize Soil VWC'!$G$2:$G$4000)</f>
        <v>0.27492553332144415</v>
      </c>
      <c r="AP112" s="1" cm="1">
        <f t="array" ref="AP112">_xlfn.XLOOKUP(1,('2016 E Maize Soil VWC'!$C$2:$C$4000=$AA112)*('2016 E Maize Soil VWC'!$E$2:$E$4000=$AB112)*('2016 E Maize Soil VWC'!$F$2:$F$4000=AP$5),'2016 E Maize Soil VWC'!$G$2:$G$4000)</f>
        <v>0.28133705800461456</v>
      </c>
      <c r="AQ112" s="1" cm="1">
        <f t="array" ref="AQ112">_xlfn.XLOOKUP(1,('2016 E Maize Soil VWC'!$C$2:$C$4000=$AA112)*('2016 E Maize Soil VWC'!$E$2:$E$4000=$AB112)*('2016 E Maize Soil VWC'!$F$2:$F$4000=AQ$5),'2016 E Maize Soil VWC'!$G$2:$G$4000)</f>
        <v>0.27904722776062507</v>
      </c>
      <c r="AR112" s="1" cm="1">
        <f t="array" ref="AR112">_xlfn.XLOOKUP(1,('2016 E Maize Soil VWC'!$C$2:$C$4000=$AA112)*('2016 E Maize Soil VWC'!$E$2:$E$4000=$AB112)*('2016 E Maize Soil VWC'!$F$2:$F$4000=AR$5),'2016 E Maize Soil VWC'!$G$2:$G$4000)</f>
        <v>0.28310022729248635</v>
      </c>
      <c r="AS112" s="1" cm="1">
        <f t="array" ref="AS112">_xlfn.XLOOKUP(1,('2016 E Maize Soil VWC'!$C$2:$C$4000=$AA112)*('2016 E Maize Soil VWC'!$E$2:$E$4000=$AB112)*('2016 E Maize Soil VWC'!$F$2:$F$4000=AS$5),'2016 E Maize Soil VWC'!$G$2:$G$4000)</f>
        <v>0.31831781644504387</v>
      </c>
      <c r="AT112" s="1" cm="1">
        <f t="array" ref="AT112">_xlfn.XLOOKUP(1,('2016 E Maize Soil VWC'!$C$2:$C$4000=$AA112)*('2016 E Maize Soil VWC'!$E$2:$E$4000=$AB112)*('2016 E Maize Soil VWC'!$F$2:$F$4000=AT$5),'2016 E Maize Soil VWC'!$G$2:$G$4000)</f>
        <v>0.30050293714680609</v>
      </c>
      <c r="AU112" s="1" cm="1">
        <f t="array" ref="AU112">_xlfn.XLOOKUP(1,('2016 E Maize Soil VWC'!$C$2:$C$4000=$AA112)*('2016 E Maize Soil VWC'!$E$2:$E$4000=$AB112)*('2016 E Maize Soil VWC'!$F$2:$F$4000=AU$5),'2016 E Maize Soil VWC'!$G$2:$G$4000)</f>
        <v>0.29986178467848906</v>
      </c>
      <c r="AV112" s="1" cm="1">
        <f t="array" ref="AV112">_xlfn.XLOOKUP(1,('2016 E Maize Soil VWC'!$C$2:$C$4000=$AA112)*('2016 E Maize Soil VWC'!$E$2:$E$4000=$AB112)*('2016 E Maize Soil VWC'!$F$2:$F$4000=AV$5),'2016 E Maize Soil VWC'!$G$2:$G$4000)</f>
        <v>0.31696681660109011</v>
      </c>
    </row>
    <row r="113" spans="25:64" x14ac:dyDescent="0.25">
      <c r="AA113" s="18">
        <f t="shared" si="19"/>
        <v>42577</v>
      </c>
      <c r="AB113" s="1">
        <f t="shared" si="20"/>
        <v>70</v>
      </c>
      <c r="AC113" s="1" cm="1">
        <f t="array" ref="AC113">_xlfn.XLOOKUP(1,('2016 E Maize Soil VWC'!$C$2:$C$4000=$AA113)*('2016 E Maize Soil VWC'!$E$2:$E$4000=$AB113)*('2016 E Maize Soil VWC'!$F$2:$F$4000=AC$5),'2016 E Maize Soil VWC'!$G$2:$G$4000)</f>
        <v>0.31513495240589856</v>
      </c>
      <c r="AD113" s="1" cm="1">
        <f t="array" ref="AD113">_xlfn.XLOOKUP(1,('2016 E Maize Soil VWC'!$C$2:$C$4000=$AA113)*('2016 E Maize Soil VWC'!$E$2:$E$4000=$AB113)*('2016 E Maize Soil VWC'!$F$2:$F$4000=AD$5),'2016 E Maize Soil VWC'!$G$2:$G$4000)</f>
        <v>0.33185071318702142</v>
      </c>
      <c r="AE113" s="1" cm="1">
        <f t="array" ref="AE113">_xlfn.XLOOKUP(1,('2016 E Maize Soil VWC'!$C$2:$C$4000=$AA113)*('2016 E Maize Soil VWC'!$E$2:$E$4000=$AB113)*('2016 E Maize Soil VWC'!$F$2:$F$4000=AE$5),'2016 E Maize Soil VWC'!$G$2:$G$4000)</f>
        <v>0.31176890194723411</v>
      </c>
      <c r="AF113" s="1" cm="1">
        <f t="array" ref="AF113">_xlfn.XLOOKUP(1,('2016 E Maize Soil VWC'!$C$2:$C$4000=$AA113)*('2016 E Maize Soil VWC'!$E$2:$E$4000=$AB113)*('2016 E Maize Soil VWC'!$F$2:$F$4000=AF$5),'2016 E Maize Soil VWC'!$G$2:$G$4000)</f>
        <v>0.30947907170324462</v>
      </c>
      <c r="AG113" s="1" cm="1">
        <f t="array" ref="AG113">_xlfn.XLOOKUP(1,('2016 E Maize Soil VWC'!$C$2:$C$4000=$AA113)*('2016 E Maize Soil VWC'!$E$2:$E$4000=$AB113)*('2016 E Maize Soil VWC'!$F$2:$F$4000=AG$5),'2016 E Maize Soil VWC'!$G$2:$G$4000)</f>
        <v>0.28287124426808746</v>
      </c>
      <c r="AH113" s="1" cm="1">
        <f t="array" ref="AH113">_xlfn.XLOOKUP(1,('2016 E Maize Soil VWC'!$C$2:$C$4000=$AA113)*('2016 E Maize Soil VWC'!$E$2:$E$4000=$AB113)*('2016 E Maize Soil VWC'!$F$2:$F$4000=AH$5),'2016 E Maize Soil VWC'!$G$2:$G$4000)</f>
        <v>0.2814057529119342</v>
      </c>
      <c r="AI113" s="1" cm="1">
        <f t="array" ref="AI113">_xlfn.XLOOKUP(1,('2016 E Maize Soil VWC'!$C$2:$C$4000=$AA113)*('2016 E Maize Soil VWC'!$E$2:$E$4000=$AB113)*('2016 E Maize Soil VWC'!$F$2:$F$4000=AI$5),'2016 E Maize Soil VWC'!$G$2:$G$4000)</f>
        <v>0.32239371427934504</v>
      </c>
      <c r="AJ113" s="1" cm="1">
        <f t="array" ref="AJ113">_xlfn.XLOOKUP(1,('2016 E Maize Soil VWC'!$C$2:$C$4000=$AA113)*('2016 E Maize Soil VWC'!$E$2:$E$4000=$AB113)*('2016 E Maize Soil VWC'!$F$2:$F$4000=AJ$5),'2016 E Maize Soil VWC'!$G$2:$G$4000)</f>
        <v>0.30407507232742959</v>
      </c>
      <c r="AK113" s="1" cm="1">
        <f t="array" ref="AK113">_xlfn.XLOOKUP(1,('2016 E Maize Soil VWC'!$C$2:$C$4000=$AA113)*('2016 E Maize Soil VWC'!$E$2:$E$4000=$AB113)*('2016 E Maize Soil VWC'!$F$2:$F$4000=AK$5),'2016 E Maize Soil VWC'!$G$2:$G$4000)</f>
        <v>0.28500078639499765</v>
      </c>
      <c r="AL113" s="1" cm="1">
        <f t="array" ref="AL113">_xlfn.XLOOKUP(1,('2016 E Maize Soil VWC'!$C$2:$C$4000=$AA113)*('2016 E Maize Soil VWC'!$E$2:$E$4000=$AB113)*('2016 E Maize Soil VWC'!$F$2:$F$4000=AL$5),'2016 E Maize Soil VWC'!$G$2:$G$4000)</f>
        <v>0.33567472969448381</v>
      </c>
      <c r="AM113" s="1" cm="1">
        <f t="array" ref="AM113">_xlfn.XLOOKUP(1,('2016 E Maize Soil VWC'!$C$2:$C$4000=$AA113)*('2016 E Maize Soil VWC'!$E$2:$E$4000=$AB113)*('2016 E Maize Soil VWC'!$F$2:$F$4000=AM$5),'2016 E Maize Soil VWC'!$G$2:$G$4000)</f>
        <v>0.30505969933234506</v>
      </c>
      <c r="AN113" s="1" cm="1">
        <f t="array" ref="AN113">_xlfn.XLOOKUP(1,('2016 E Maize Soil VWC'!$C$2:$C$4000=$AA113)*('2016 E Maize Soil VWC'!$E$2:$E$4000=$AB113)*('2016 E Maize Soil VWC'!$F$2:$F$4000=AN$5),'2016 E Maize Soil VWC'!$G$2:$G$4000)</f>
        <v>0.3052657840543041</v>
      </c>
      <c r="AO113" s="1" cm="1">
        <f t="array" ref="AO113">_xlfn.XLOOKUP(1,('2016 E Maize Soil VWC'!$C$2:$C$4000=$AA113)*('2016 E Maize Soil VWC'!$E$2:$E$4000=$AB113)*('2016 E Maize Soil VWC'!$F$2:$F$4000=AO$5),'2016 E Maize Soil VWC'!$G$2:$G$4000)</f>
        <v>0.29180158221964625</v>
      </c>
      <c r="AP113" s="1" cm="1">
        <f t="array" ref="AP113">_xlfn.XLOOKUP(1,('2016 E Maize Soil VWC'!$C$2:$C$4000=$AA113)*('2016 E Maize Soil VWC'!$E$2:$E$4000=$AB113)*('2016 E Maize Soil VWC'!$F$2:$F$4000=AP$5),'2016 E Maize Soil VWC'!$G$2:$G$4000)</f>
        <v>0.30563215689334239</v>
      </c>
      <c r="AQ113" s="1" cm="1">
        <f t="array" ref="AQ113">_xlfn.XLOOKUP(1,('2016 E Maize Soil VWC'!$C$2:$C$4000=$AA113)*('2016 E Maize Soil VWC'!$E$2:$E$4000=$AB113)*('2016 E Maize Soil VWC'!$F$2:$F$4000=AQ$5),'2016 E Maize Soil VWC'!$G$2:$G$4000)</f>
        <v>0.26533114459912838</v>
      </c>
      <c r="AR113" s="1" cm="1">
        <f t="array" ref="AR113">_xlfn.XLOOKUP(1,('2016 E Maize Soil VWC'!$C$2:$C$4000=$AA113)*('2016 E Maize Soil VWC'!$E$2:$E$4000=$AB113)*('2016 E Maize Soil VWC'!$F$2:$F$4000=AR$5),'2016 E Maize Soil VWC'!$G$2:$G$4000)</f>
        <v>0.27952809211186291</v>
      </c>
      <c r="AS113" s="1" cm="1">
        <f t="array" ref="AS113">_xlfn.XLOOKUP(1,('2016 E Maize Soil VWC'!$C$2:$C$4000=$AA113)*('2016 E Maize Soil VWC'!$E$2:$E$4000=$AB113)*('2016 E Maize Soil VWC'!$F$2:$F$4000=AS$5),'2016 E Maize Soil VWC'!$G$2:$G$4000)</f>
        <v>0.31277642725458943</v>
      </c>
      <c r="AT113" s="1" cm="1">
        <f t="array" ref="AT113">_xlfn.XLOOKUP(1,('2016 E Maize Soil VWC'!$C$2:$C$4000=$AA113)*('2016 E Maize Soil VWC'!$E$2:$E$4000=$AB113)*('2016 E Maize Soil VWC'!$F$2:$F$4000=AT$5),'2016 E Maize Soil VWC'!$G$2:$G$4000)</f>
        <v>0.29173288731232655</v>
      </c>
      <c r="AU113" s="1" cm="1">
        <f t="array" ref="AU113">_xlfn.XLOOKUP(1,('2016 E Maize Soil VWC'!$C$2:$C$4000=$AA113)*('2016 E Maize Soil VWC'!$E$2:$E$4000=$AB113)*('2016 E Maize Soil VWC'!$F$2:$F$4000=AU$5),'2016 E Maize Soil VWC'!$G$2:$G$4000)</f>
        <v>0.28465731185839921</v>
      </c>
      <c r="AV113" s="1" cm="1">
        <f t="array" ref="AV113">_xlfn.XLOOKUP(1,('2016 E Maize Soil VWC'!$C$2:$C$4000=$AA113)*('2016 E Maize Soil VWC'!$E$2:$E$4000=$AB113)*('2016 E Maize Soil VWC'!$F$2:$F$4000=AV$5),'2016 E Maize Soil VWC'!$G$2:$G$4000)</f>
        <v>0.29864817464917465</v>
      </c>
    </row>
    <row r="114" spans="25:64" x14ac:dyDescent="0.25">
      <c r="AA114" s="18">
        <f t="shared" si="19"/>
        <v>42577</v>
      </c>
      <c r="AB114" s="1">
        <f t="shared" si="20"/>
        <v>90</v>
      </c>
      <c r="AC114" s="1" cm="1">
        <f t="array" ref="AC114">_xlfn.XLOOKUP(1,('2016 E Maize Soil VWC'!$C$2:$C$4000=$AA114)*('2016 E Maize Soil VWC'!$E$2:$E$4000=$AB114)*('2016 E Maize Soil VWC'!$F$2:$F$4000=AC$5),'2016 E Maize Soil VWC'!$G$2:$G$4000)</f>
        <v>0.32230212106958545</v>
      </c>
      <c r="AD114" s="1" cm="1">
        <f t="array" ref="AD114">_xlfn.XLOOKUP(1,('2016 E Maize Soil VWC'!$C$2:$C$4000=$AA114)*('2016 E Maize Soil VWC'!$E$2:$E$4000=$AB114)*('2016 E Maize Soil VWC'!$F$2:$F$4000=AD$5),'2016 E Maize Soil VWC'!$G$2:$G$4000)</f>
        <v>0.33679674651403863</v>
      </c>
      <c r="AE114" s="1" cm="1">
        <f t="array" ref="AE114">_xlfn.XLOOKUP(1,('2016 E Maize Soil VWC'!$C$2:$C$4000=$AA114)*('2016 E Maize Soil VWC'!$E$2:$E$4000=$AB114)*('2016 E Maize Soil VWC'!$F$2:$F$4000=AE$5),'2016 E Maize Soil VWC'!$G$2:$G$4000)</f>
        <v>0.32404239205501745</v>
      </c>
      <c r="AF114" s="1" cm="1">
        <f t="array" ref="AF114">_xlfn.XLOOKUP(1,('2016 E Maize Soil VWC'!$C$2:$C$4000=$AA114)*('2016 E Maize Soil VWC'!$E$2:$E$4000=$AB114)*('2016 E Maize Soil VWC'!$F$2:$F$4000=AF$5),'2016 E Maize Soil VWC'!$G$2:$G$4000)</f>
        <v>0.32266849390862379</v>
      </c>
      <c r="AG114" s="1" cm="1">
        <f t="array" ref="AG114">_xlfn.XLOOKUP(1,('2016 E Maize Soil VWC'!$C$2:$C$4000=$AA114)*('2016 E Maize Soil VWC'!$E$2:$E$4000=$AB114)*('2016 E Maize Soil VWC'!$F$2:$F$4000=AG$5),'2016 E Maize Soil VWC'!$G$2:$G$4000)</f>
        <v>0.29370214132215744</v>
      </c>
      <c r="AH114" s="1" cm="1">
        <f t="array" ref="AH114">_xlfn.XLOOKUP(1,('2016 E Maize Soil VWC'!$C$2:$C$4000=$AA114)*('2016 E Maize Soil VWC'!$E$2:$E$4000=$AB114)*('2016 E Maize Soil VWC'!$F$2:$F$4000=AH$5),'2016 E Maize Soil VWC'!$G$2:$G$4000)</f>
        <v>0.2796654819265022</v>
      </c>
      <c r="AI114" s="1" cm="1">
        <f t="array" ref="AI114">_xlfn.XLOOKUP(1,('2016 E Maize Soil VWC'!$C$2:$C$4000=$AA114)*('2016 E Maize Soil VWC'!$E$2:$E$4000=$AB114)*('2016 E Maize Soil VWC'!$F$2:$F$4000=AI$5),'2016 E Maize Soil VWC'!$G$2:$G$4000)</f>
        <v>0.327614527235641</v>
      </c>
      <c r="AJ114" s="1" cm="1">
        <f t="array" ref="AJ114">_xlfn.XLOOKUP(1,('2016 E Maize Soil VWC'!$C$2:$C$4000=$AA114)*('2016 E Maize Soil VWC'!$E$2:$E$4000=$AB114)*('2016 E Maize Soil VWC'!$F$2:$F$4000=AJ$5),'2016 E Maize Soil VWC'!$G$2:$G$4000)</f>
        <v>0.3238821039379382</v>
      </c>
      <c r="AK114" s="1" cm="1">
        <f t="array" ref="AK114">_xlfn.XLOOKUP(1,('2016 E Maize Soil VWC'!$C$2:$C$4000=$AA114)*('2016 E Maize Soil VWC'!$E$2:$E$4000=$AB114)*('2016 E Maize Soil VWC'!$F$2:$F$4000=AK$5),'2016 E Maize Soil VWC'!$G$2:$G$4000)</f>
        <v>0.30437275025914823</v>
      </c>
      <c r="AL114" s="1" cm="1">
        <f t="array" ref="AL114">_xlfn.XLOOKUP(1,('2016 E Maize Soil VWC'!$C$2:$C$4000=$AA114)*('2016 E Maize Soil VWC'!$E$2:$E$4000=$AB114)*('2016 E Maize Soil VWC'!$F$2:$F$4000=AL$5),'2016 E Maize Soil VWC'!$G$2:$G$4000)</f>
        <v>0.33556023818228431</v>
      </c>
      <c r="AM114" s="1" cm="1">
        <f t="array" ref="AM114">_xlfn.XLOOKUP(1,('2016 E Maize Soil VWC'!$C$2:$C$4000=$AA114)*('2016 E Maize Soil VWC'!$E$2:$E$4000=$AB114)*('2016 E Maize Soil VWC'!$F$2:$F$4000=AM$5),'2016 E Maize Soil VWC'!$G$2:$G$4000)</f>
        <v>0.31099035966427768</v>
      </c>
      <c r="AN114" s="1" cm="1">
        <f t="array" ref="AN114">_xlfn.XLOOKUP(1,('2016 E Maize Soil VWC'!$C$2:$C$4000=$AA114)*('2016 E Maize Soil VWC'!$E$2:$E$4000=$AB114)*('2016 E Maize Soil VWC'!$F$2:$F$4000=AN$5),'2016 E Maize Soil VWC'!$G$2:$G$4000)</f>
        <v>0.32104271443539134</v>
      </c>
      <c r="AO114" s="1" cm="1">
        <f t="array" ref="AO114">_xlfn.XLOOKUP(1,('2016 E Maize Soil VWC'!$C$2:$C$4000=$AA114)*('2016 E Maize Soil VWC'!$E$2:$E$4000=$AB114)*('2016 E Maize Soil VWC'!$F$2:$F$4000=AO$5),'2016 E Maize Soil VWC'!$G$2:$G$4000)</f>
        <v>0.31282222385946923</v>
      </c>
      <c r="AP114" s="1" cm="1">
        <f t="array" ref="AP114">_xlfn.XLOOKUP(1,('2016 E Maize Soil VWC'!$C$2:$C$4000=$AA114)*('2016 E Maize Soil VWC'!$E$2:$E$4000=$AB114)*('2016 E Maize Soil VWC'!$F$2:$F$4000=AP$5),'2016 E Maize Soil VWC'!$G$2:$G$4000)</f>
        <v>0.31284512216190913</v>
      </c>
      <c r="AQ114" s="1" cm="1">
        <f t="array" ref="AQ114">_xlfn.XLOOKUP(1,('2016 E Maize Soil VWC'!$C$2:$C$4000=$AA114)*('2016 E Maize Soil VWC'!$E$2:$E$4000=$AB114)*('2016 E Maize Soil VWC'!$F$2:$F$4000=AQ$5),'2016 E Maize Soil VWC'!$G$2:$G$4000)</f>
        <v>0.27208614381889723</v>
      </c>
      <c r="AR114" s="1" cm="1">
        <f t="array" ref="AR114">_xlfn.XLOOKUP(1,('2016 E Maize Soil VWC'!$C$2:$C$4000=$AA114)*('2016 E Maize Soil VWC'!$E$2:$E$4000=$AB114)*('2016 E Maize Soil VWC'!$F$2:$F$4000=AR$5),'2016 E Maize Soil VWC'!$G$2:$G$4000)</f>
        <v>0.29539661570270964</v>
      </c>
      <c r="AS114" s="1" cm="1">
        <f t="array" ref="AS114">_xlfn.XLOOKUP(1,('2016 E Maize Soil VWC'!$C$2:$C$4000=$AA114)*('2016 E Maize Soil VWC'!$E$2:$E$4000=$AB114)*('2016 E Maize Soil VWC'!$F$2:$F$4000=AS$5),'2016 E Maize Soil VWC'!$G$2:$G$4000)</f>
        <v>0.32800379837711918</v>
      </c>
      <c r="AT114" s="1" cm="1">
        <f t="array" ref="AT114">_xlfn.XLOOKUP(1,('2016 E Maize Soil VWC'!$C$2:$C$4000=$AA114)*('2016 E Maize Soil VWC'!$E$2:$E$4000=$AB114)*('2016 E Maize Soil VWC'!$F$2:$F$4000=AT$5),'2016 E Maize Soil VWC'!$G$2:$G$4000)</f>
        <v>0.3153410371278576</v>
      </c>
      <c r="AU114" s="1" cm="1">
        <f t="array" ref="AU114">_xlfn.XLOOKUP(1,('2016 E Maize Soil VWC'!$C$2:$C$4000=$AA114)*('2016 E Maize Soil VWC'!$E$2:$E$4000=$AB114)*('2016 E Maize Soil VWC'!$F$2:$F$4000=AU$5),'2016 E Maize Soil VWC'!$G$2:$G$4000)</f>
        <v>0.30183103868831995</v>
      </c>
      <c r="AV114" s="1" cm="1">
        <f t="array" ref="AV114">_xlfn.XLOOKUP(1,('2016 E Maize Soil VWC'!$C$2:$C$4000=$AA114)*('2016 E Maize Soil VWC'!$E$2:$E$4000=$AB114)*('2016 E Maize Soil VWC'!$F$2:$F$4000=AV$5),'2016 E Maize Soil VWC'!$G$2:$G$4000)</f>
        <v>0.31005152926424207</v>
      </c>
    </row>
    <row r="115" spans="25:64" x14ac:dyDescent="0.25">
      <c r="AA115" s="18">
        <f t="shared" si="19"/>
        <v>42577</v>
      </c>
      <c r="AB115" s="1">
        <f t="shared" si="20"/>
        <v>110</v>
      </c>
      <c r="AC115" s="1" cm="1">
        <f t="array" ref="AC115">_xlfn.XLOOKUP(1,('2016 E Maize Soil VWC'!$C$2:$C$4000=$AA115)*('2016 E Maize Soil VWC'!$E$2:$E$4000=$AB115)*('2016 E Maize Soil VWC'!$F$2:$F$4000=AC$5),'2016 E Maize Soil VWC'!$G$2:$G$4000)</f>
        <v>0.34245262721669251</v>
      </c>
      <c r="AD115" s="1" cm="1">
        <f t="array" ref="AD115">_xlfn.XLOOKUP(1,('2016 E Maize Soil VWC'!$C$2:$C$4000=$AA115)*('2016 E Maize Soil VWC'!$E$2:$E$4000=$AB115)*('2016 E Maize Soil VWC'!$F$2:$F$4000=AD$5),'2016 E Maize Soil VWC'!$G$2:$G$4000)</f>
        <v>0.33475879759688804</v>
      </c>
      <c r="AE115" s="1" cm="1">
        <f t="array" ref="AE115">_xlfn.XLOOKUP(1,('2016 E Maize Soil VWC'!$C$2:$C$4000=$AA115)*('2016 E Maize Soil VWC'!$E$2:$E$4000=$AB115)*('2016 E Maize Soil VWC'!$F$2:$F$4000=AE$5),'2016 E Maize Soil VWC'!$G$2:$G$4000)</f>
        <v>0.32310356165498177</v>
      </c>
      <c r="AF115" s="1" cm="1">
        <f t="array" ref="AF115">_xlfn.XLOOKUP(1,('2016 E Maize Soil VWC'!$C$2:$C$4000=$AA115)*('2016 E Maize Soil VWC'!$E$2:$E$4000=$AB115)*('2016 E Maize Soil VWC'!$F$2:$F$4000=AF$5),'2016 E Maize Soil VWC'!$G$2:$G$4000)</f>
        <v>0.33984222073854453</v>
      </c>
      <c r="AG115" s="1" cm="1">
        <f t="array" ref="AG115">_xlfn.XLOOKUP(1,('2016 E Maize Soil VWC'!$C$2:$C$4000=$AA115)*('2016 E Maize Soil VWC'!$E$2:$E$4000=$AB115)*('2016 E Maize Soil VWC'!$F$2:$F$4000=AG$5),'2016 E Maize Soil VWC'!$G$2:$G$4000)</f>
        <v>0.32191284992810726</v>
      </c>
      <c r="AH115" s="1" cm="1">
        <f t="array" ref="AH115">_xlfn.XLOOKUP(1,('2016 E Maize Soil VWC'!$C$2:$C$4000=$AA115)*('2016 E Maize Soil VWC'!$E$2:$E$4000=$AB115)*('2016 E Maize Soil VWC'!$F$2:$F$4000=AH$5),'2016 E Maize Soil VWC'!$G$2:$G$4000)</f>
        <v>0.30657098729337812</v>
      </c>
      <c r="AI115" s="1" cm="1">
        <f t="array" ref="AI115">_xlfn.XLOOKUP(1,('2016 E Maize Soil VWC'!$C$2:$C$4000=$AA115)*('2016 E Maize Soil VWC'!$E$2:$E$4000=$AB115)*('2016 E Maize Soil VWC'!$F$2:$F$4000=AI$5),'2016 E Maize Soil VWC'!$G$2:$G$4000)</f>
        <v>0.33791876333359344</v>
      </c>
      <c r="AJ115" s="1" cm="1">
        <f t="array" ref="AJ115">_xlfn.XLOOKUP(1,('2016 E Maize Soil VWC'!$C$2:$C$4000=$AA115)*('2016 E Maize Soil VWC'!$E$2:$E$4000=$AB115)*('2016 E Maize Soil VWC'!$F$2:$F$4000=AJ$5),'2016 E Maize Soil VWC'!$G$2:$G$4000)</f>
        <v>0.33654486518719973</v>
      </c>
      <c r="AK115" s="1" cm="1">
        <f t="array" ref="AK115">_xlfn.XLOOKUP(1,('2016 E Maize Soil VWC'!$C$2:$C$4000=$AA115)*('2016 E Maize Soil VWC'!$E$2:$E$4000=$AB115)*('2016 E Maize Soil VWC'!$F$2:$F$4000=AK$5),'2016 E Maize Soil VWC'!$G$2:$G$4000)</f>
        <v>0.32672149344048512</v>
      </c>
      <c r="AL115" s="1" cm="1">
        <f t="array" ref="AL115">_xlfn.XLOOKUP(1,('2016 E Maize Soil VWC'!$C$2:$C$4000=$AA115)*('2016 E Maize Soil VWC'!$E$2:$E$4000=$AB115)*('2016 E Maize Soil VWC'!$F$2:$F$4000=AL$5),'2016 E Maize Soil VWC'!$G$2:$G$4000)</f>
        <v>0.33485039080664758</v>
      </c>
      <c r="AM115" s="1" cm="1">
        <f t="array" ref="AM115">_xlfn.XLOOKUP(1,('2016 E Maize Soil VWC'!$C$2:$C$4000=$AA115)*('2016 E Maize Soil VWC'!$E$2:$E$4000=$AB115)*('2016 E Maize Soil VWC'!$F$2:$F$4000=AM$5),'2016 E Maize Soil VWC'!$G$2:$G$4000)</f>
        <v>0.31884447740116145</v>
      </c>
      <c r="AN115" s="1" cm="1">
        <f t="array" ref="AN115">_xlfn.XLOOKUP(1,('2016 E Maize Soil VWC'!$C$2:$C$4000=$AA115)*('2016 E Maize Soil VWC'!$E$2:$E$4000=$AB115)*('2016 E Maize Soil VWC'!$F$2:$F$4000=AN$5),'2016 E Maize Soil VWC'!$G$2:$G$4000)</f>
        <v>0.33615559404572154</v>
      </c>
      <c r="AO115" s="1" cm="1">
        <f t="array" ref="AO115">_xlfn.XLOOKUP(1,('2016 E Maize Soil VWC'!$C$2:$C$4000=$AA115)*('2016 E Maize Soil VWC'!$E$2:$E$4000=$AB115)*('2016 E Maize Soil VWC'!$F$2:$F$4000=AO$5),'2016 E Maize Soil VWC'!$G$2:$G$4000)</f>
        <v>0.32878234066007561</v>
      </c>
      <c r="AP115" s="1" cm="1">
        <f t="array" ref="AP115">_xlfn.XLOOKUP(1,('2016 E Maize Soil VWC'!$C$2:$C$4000=$AA115)*('2016 E Maize Soil VWC'!$E$2:$E$4000=$AB115)*('2016 E Maize Soil VWC'!$F$2:$F$4000=AP$5),'2016 E Maize Soil VWC'!$G$2:$G$4000)</f>
        <v>0.32466064622089458</v>
      </c>
      <c r="AQ115" s="1" cm="1">
        <f t="array" ref="AQ115">_xlfn.XLOOKUP(1,('2016 E Maize Soil VWC'!$C$2:$C$4000=$AA115)*('2016 E Maize Soil VWC'!$E$2:$E$4000=$AB115)*('2016 E Maize Soil VWC'!$F$2:$F$4000=AQ$5),'2016 E Maize Soil VWC'!$G$2:$G$4000)</f>
        <v>0.31080717324475854</v>
      </c>
      <c r="AR115" s="1" cm="1">
        <f t="array" ref="AR115">_xlfn.XLOOKUP(1,('2016 E Maize Soil VWC'!$C$2:$C$4000=$AA115)*('2016 E Maize Soil VWC'!$E$2:$E$4000=$AB115)*('2016 E Maize Soil VWC'!$F$2:$F$4000=AR$5),'2016 E Maize Soil VWC'!$G$2:$G$4000)</f>
        <v>0.31449379993758153</v>
      </c>
      <c r="AS115" s="1" cm="1">
        <f t="array" ref="AS115">_xlfn.XLOOKUP(1,('2016 E Maize Soil VWC'!$C$2:$C$4000=$AA115)*('2016 E Maize Soil VWC'!$E$2:$E$4000=$AB115)*('2016 E Maize Soil VWC'!$F$2:$F$4000=AS$5),'2016 E Maize Soil VWC'!$G$2:$G$4000)</f>
        <v>0.3359266110213226</v>
      </c>
      <c r="AT115" s="1" cm="1">
        <f t="array" ref="AT115">_xlfn.XLOOKUP(1,('2016 E Maize Soil VWC'!$C$2:$C$4000=$AA115)*('2016 E Maize Soil VWC'!$E$2:$E$4000=$AB115)*('2016 E Maize Soil VWC'!$F$2:$F$4000=AT$5),'2016 E Maize Soil VWC'!$G$2:$G$4000)</f>
        <v>0.33045391673818786</v>
      </c>
      <c r="AU115" s="1" cm="1">
        <f t="array" ref="AU115">_xlfn.XLOOKUP(1,('2016 E Maize Soil VWC'!$C$2:$C$4000=$AA115)*('2016 E Maize Soil VWC'!$E$2:$E$4000=$AB115)*('2016 E Maize Soil VWC'!$F$2:$F$4000=AU$5),'2016 E Maize Soil VWC'!$G$2:$G$4000)</f>
        <v>0.3323315775382592</v>
      </c>
      <c r="AV115" s="1" cm="1">
        <f t="array" ref="AV115">_xlfn.XLOOKUP(1,('2016 E Maize Soil VWC'!$C$2:$C$4000=$AA115)*('2016 E Maize Soil VWC'!$E$2:$E$4000=$AB115)*('2016 E Maize Soil VWC'!$F$2:$F$4000=AV$5),'2016 E Maize Soil VWC'!$G$2:$G$4000)</f>
        <v>0.32637801890388668</v>
      </c>
    </row>
    <row r="116" spans="25:64" x14ac:dyDescent="0.25">
      <c r="AA116" s="18">
        <f t="shared" si="19"/>
        <v>42577</v>
      </c>
      <c r="AB116" s="1">
        <f t="shared" si="20"/>
        <v>130</v>
      </c>
      <c r="AC116" s="1" cm="1">
        <f t="array" ref="AC116">_xlfn.XLOOKUP(1,('2016 E Maize Soil VWC'!$C$2:$C$4000=$AA116)*('2016 E Maize Soil VWC'!$E$2:$E$4000=$AB116)*('2016 E Maize Soil VWC'!$F$2:$F$4000=AC$5),'2016 E Maize Soil VWC'!$G$2:$G$4000)</f>
        <v>0.31732126294905094</v>
      </c>
      <c r="AD116" s="1" cm="1">
        <f t="array" ref="AD116">_xlfn.XLOOKUP(1,('2016 E Maize Soil VWC'!$C$2:$C$4000=$AA116)*('2016 E Maize Soil VWC'!$E$2:$E$4000=$AB116)*('2016 E Maize Soil VWC'!$F$2:$F$4000=AD$5),'2016 E Maize Soil VWC'!$G$2:$G$4000)</f>
        <v>0.30644060462342704</v>
      </c>
      <c r="AE116" s="1" cm="1">
        <f t="array" ref="AE116">_xlfn.XLOOKUP(1,('2016 E Maize Soil VWC'!$C$2:$C$4000=$AA116)*('2016 E Maize Soil VWC'!$E$2:$E$4000=$AB116)*('2016 E Maize Soil VWC'!$F$2:$F$4000=AE$5),'2016 E Maize Soil VWC'!$G$2:$G$4000)</f>
        <v>0.30704400428012535</v>
      </c>
      <c r="AF116" s="1" cm="1">
        <f t="array" ref="AF116">_xlfn.XLOOKUP(1,('2016 E Maize Soil VWC'!$C$2:$C$4000=$AA116)*('2016 E Maize Soil VWC'!$E$2:$E$4000=$AB116)*('2016 E Maize Soil VWC'!$F$2:$F$4000=AF$5),'2016 E Maize Soil VWC'!$G$2:$G$4000)</f>
        <v>0.30556470189596174</v>
      </c>
      <c r="AG116" s="1" cm="1">
        <f t="array" ref="AG116">_xlfn.XLOOKUP(1,('2016 E Maize Soil VWC'!$C$2:$C$4000=$AA116)*('2016 E Maize Soil VWC'!$E$2:$E$4000=$AB116)*('2016 E Maize Soil VWC'!$F$2:$F$4000=AG$5),'2016 E Maize Soil VWC'!$G$2:$G$4000)</f>
        <v>0.31076172474558894</v>
      </c>
      <c r="AH116" s="1" cm="1">
        <f t="array" ref="AH116">_xlfn.XLOOKUP(1,('2016 E Maize Soil VWC'!$C$2:$C$4000=$AA116)*('2016 E Maize Soil VWC'!$E$2:$E$4000=$AB116)*('2016 E Maize Soil VWC'!$F$2:$F$4000=AH$5),'2016 E Maize Soil VWC'!$G$2:$G$4000)</f>
        <v>0.30231412955181297</v>
      </c>
      <c r="AI116" s="1" cm="1">
        <f t="array" ref="AI116">_xlfn.XLOOKUP(1,('2016 E Maize Soil VWC'!$C$2:$C$4000=$AA116)*('2016 E Maize Soil VWC'!$E$2:$E$4000=$AB116)*('2016 E Maize Soil VWC'!$F$2:$F$4000=AI$5),'2016 E Maize Soil VWC'!$G$2:$G$4000)</f>
        <v>0.31130673088712285</v>
      </c>
      <c r="AJ116" s="1" cm="1">
        <f t="array" ref="AJ116">_xlfn.XLOOKUP(1,('2016 E Maize Soil VWC'!$C$2:$C$4000=$AA116)*('2016 E Maize Soil VWC'!$E$2:$E$4000=$AB116)*('2016 E Maize Soil VWC'!$F$2:$F$4000=AJ$5),'2016 E Maize Soil VWC'!$G$2:$G$4000)</f>
        <v>0.34317012566180333</v>
      </c>
      <c r="AK116" s="1" cm="1">
        <f t="array" ref="AK116">_xlfn.XLOOKUP(1,('2016 E Maize Soil VWC'!$C$2:$C$4000=$AA116)*('2016 E Maize Soil VWC'!$E$2:$E$4000=$AB116)*('2016 E Maize Soil VWC'!$F$2:$F$4000=AK$5),'2016 E Maize Soil VWC'!$G$2:$G$4000)</f>
        <v>0.30583720496672873</v>
      </c>
      <c r="AL116" s="1" cm="1">
        <f t="array" ref="AL116">_xlfn.XLOOKUP(1,('2016 E Maize Soil VWC'!$C$2:$C$4000=$AA116)*('2016 E Maize Soil VWC'!$E$2:$E$4000=$AB116)*('2016 E Maize Soil VWC'!$F$2:$F$4000=AL$5),'2016 E Maize Soil VWC'!$G$2:$G$4000)</f>
        <v>0.31650375373675005</v>
      </c>
      <c r="AM116" s="1" cm="1">
        <f t="array" ref="AM116">_xlfn.XLOOKUP(1,('2016 E Maize Soil VWC'!$C$2:$C$4000=$AA116)*('2016 E Maize Soil VWC'!$E$2:$E$4000=$AB116)*('2016 E Maize Soil VWC'!$F$2:$F$4000=AM$5),'2016 E Maize Soil VWC'!$G$2:$G$4000)</f>
        <v>0.30708293329023489</v>
      </c>
      <c r="AN116" s="1" cm="1">
        <f t="array" ref="AN116">_xlfn.XLOOKUP(1,('2016 E Maize Soil VWC'!$C$2:$C$4000=$AA116)*('2016 E Maize Soil VWC'!$E$2:$E$4000=$AB116)*('2016 E Maize Soil VWC'!$F$2:$F$4000=AN$5),'2016 E Maize Soil VWC'!$G$2:$G$4000)</f>
        <v>0.29943338280370502</v>
      </c>
      <c r="AO116" s="1" cm="1">
        <f t="array" ref="AO116">_xlfn.XLOOKUP(1,('2016 E Maize Soil VWC'!$C$2:$C$4000=$AA116)*('2016 E Maize Soil VWC'!$E$2:$E$4000=$AB116)*('2016 E Maize Soil VWC'!$F$2:$F$4000=AO$5),'2016 E Maize Soil VWC'!$G$2:$G$4000)</f>
        <v>0.31307800084710818</v>
      </c>
      <c r="AP116" s="1" cm="1">
        <f t="array" ref="AP116">_xlfn.XLOOKUP(1,('2016 E Maize Soil VWC'!$C$2:$C$4000=$AA116)*('2016 E Maize Soil VWC'!$E$2:$E$4000=$AB116)*('2016 E Maize Soil VWC'!$F$2:$F$4000=AP$5),'2016 E Maize Soil VWC'!$G$2:$G$4000)</f>
        <v>0.3120853110893142</v>
      </c>
      <c r="AQ116" s="1" cm="1">
        <f t="array" ref="AQ116">_xlfn.XLOOKUP(1,('2016 E Maize Soil VWC'!$C$2:$C$4000=$AA116)*('2016 E Maize Soil VWC'!$E$2:$E$4000=$AB116)*('2016 E Maize Soil VWC'!$F$2:$F$4000=AQ$5),'2016 E Maize Soil VWC'!$G$2:$G$4000)</f>
        <v>0.30141876231929293</v>
      </c>
      <c r="AR116" s="1" cm="1">
        <f t="array" ref="AR116">_xlfn.XLOOKUP(1,('2016 E Maize Soil VWC'!$C$2:$C$4000=$AA116)*('2016 E Maize Soil VWC'!$E$2:$E$4000=$AB116)*('2016 E Maize Soil VWC'!$F$2:$F$4000=AR$5),'2016 E Maize Soil VWC'!$G$2:$G$4000)</f>
        <v>0.29754532581339105</v>
      </c>
      <c r="AS116" s="1" cm="1">
        <f t="array" ref="AS116">_xlfn.XLOOKUP(1,('2016 E Maize Soil VWC'!$C$2:$C$4000=$AA116)*('2016 E Maize Soil VWC'!$E$2:$E$4000=$AB116)*('2016 E Maize Soil VWC'!$F$2:$F$4000=AS$5),'2016 E Maize Soil VWC'!$G$2:$G$4000)</f>
        <v>0.31078118925064374</v>
      </c>
      <c r="AT116" s="1" cm="1">
        <f t="array" ref="AT116">_xlfn.XLOOKUP(1,('2016 E Maize Soil VWC'!$C$2:$C$4000=$AA116)*('2016 E Maize Soil VWC'!$E$2:$E$4000=$AB116)*('2016 E Maize Soil VWC'!$F$2:$F$4000=AT$5),'2016 E Maize Soil VWC'!$G$2:$G$4000)</f>
        <v>0.3069466817548514</v>
      </c>
      <c r="AU116" s="1" cm="1">
        <f t="array" ref="AU116">_xlfn.XLOOKUP(1,('2016 E Maize Soil VWC'!$C$2:$C$4000=$AA116)*('2016 E Maize Soil VWC'!$E$2:$E$4000=$AB116)*('2016 E Maize Soil VWC'!$F$2:$F$4000=AU$5),'2016 E Maize Soil VWC'!$G$2:$G$4000)</f>
        <v>0.30307324524894952</v>
      </c>
      <c r="AV116" s="1" cm="1">
        <f t="array" ref="AV116">_xlfn.XLOOKUP(1,('2016 E Maize Soil VWC'!$C$2:$C$4000=$AA116)*('2016 E Maize Soil VWC'!$E$2:$E$4000=$AB116)*('2016 E Maize Soil VWC'!$F$2:$F$4000=AV$5),'2016 E Maize Soil VWC'!$G$2:$G$4000)</f>
        <v>0.29435314698440657</v>
      </c>
    </row>
    <row r="117" spans="25:64" x14ac:dyDescent="0.25">
      <c r="AA117" s="18">
        <f t="shared" si="19"/>
        <v>42577</v>
      </c>
      <c r="AB117" s="1">
        <f t="shared" si="20"/>
        <v>150</v>
      </c>
      <c r="AC117" s="1" cm="1">
        <f t="array" ref="AC117">_xlfn.XLOOKUP(1,('2016 E Maize Soil VWC'!$C$2:$C$4000=$AA117)*('2016 E Maize Soil VWC'!$E$2:$E$4000=$AB117)*('2016 E Maize Soil VWC'!$F$2:$F$4000=AC$5),'2016 E Maize Soil VWC'!$G$2:$G$4000)</f>
        <v>0.34188546832818761</v>
      </c>
      <c r="AD117" s="1" cm="1">
        <f t="array" ref="AD117">_xlfn.XLOOKUP(1,('2016 E Maize Soil VWC'!$C$2:$C$4000=$AA117)*('2016 E Maize Soil VWC'!$E$2:$E$4000=$AB117)*('2016 E Maize Soil VWC'!$F$2:$F$4000=AD$5),'2016 E Maize Soil VWC'!$G$2:$G$4000)</f>
        <v>0.33162767416431671</v>
      </c>
      <c r="AE117" s="1" cm="1">
        <f t="array" ref="AE117">_xlfn.XLOOKUP(1,('2016 E Maize Soil VWC'!$C$2:$C$4000=$AA117)*('2016 E Maize Soil VWC'!$E$2:$E$4000=$AB117)*('2016 E Maize Soil VWC'!$F$2:$F$4000=AE$5),'2016 E Maize Soil VWC'!$G$2:$G$4000)</f>
        <v>0.31482980630203866</v>
      </c>
      <c r="AF117" s="1" cm="1">
        <f t="array" ref="AF117">_xlfn.XLOOKUP(1,('2016 E Maize Soil VWC'!$C$2:$C$4000=$AA117)*('2016 E Maize Soil VWC'!$E$2:$E$4000=$AB117)*('2016 E Maize Soil VWC'!$F$2:$F$4000=AF$5),'2016 E Maize Soil VWC'!$G$2:$G$4000)</f>
        <v>0.30171072989511472</v>
      </c>
      <c r="AG117" s="1" cm="1">
        <f t="array" ref="AG117">_xlfn.XLOOKUP(1,('2016 E Maize Soil VWC'!$C$2:$C$4000=$AA117)*('2016 E Maize Soil VWC'!$E$2:$E$4000=$AB117)*('2016 E Maize Soil VWC'!$F$2:$F$4000=AG$5),'2016 E Maize Soil VWC'!$G$2:$G$4000)</f>
        <v>0.36508715835348932</v>
      </c>
      <c r="AH117" s="1" cm="1">
        <f t="array" ref="AH117">_xlfn.XLOOKUP(1,('2016 E Maize Soil VWC'!$C$2:$C$4000=$AA117)*('2016 E Maize Soil VWC'!$E$2:$E$4000=$AB117)*('2016 E Maize Soil VWC'!$F$2:$F$4000=AH$5),'2016 E Maize Soil VWC'!$G$2:$G$4000)</f>
        <v>0.34758856830923912</v>
      </c>
      <c r="AI117" s="1" cm="1">
        <f t="array" ref="AI117">_xlfn.XLOOKUP(1,('2016 E Maize Soil VWC'!$C$2:$C$4000=$AA117)*('2016 E Maize Soil VWC'!$E$2:$E$4000=$AB117)*('2016 E Maize Soil VWC'!$F$2:$F$4000=AI$5),'2016 E Maize Soil VWC'!$G$2:$G$4000)</f>
        <v>0.32530171002151209</v>
      </c>
      <c r="AJ117" s="1" cm="1">
        <f t="array" ref="AJ117">_xlfn.XLOOKUP(1,('2016 E Maize Soil VWC'!$C$2:$C$4000=$AA117)*('2016 E Maize Soil VWC'!$E$2:$E$4000=$AB117)*('2016 E Maize Soil VWC'!$F$2:$F$4000=AJ$5),'2016 E Maize Soil VWC'!$G$2:$G$4000)</f>
        <v>0.34172975228774932</v>
      </c>
      <c r="AK117" s="1" cm="1">
        <f t="array" ref="AK117">_xlfn.XLOOKUP(1,('2016 E Maize Soil VWC'!$C$2:$C$4000=$AA117)*('2016 E Maize Soil VWC'!$E$2:$E$4000=$AB117)*('2016 E Maize Soil VWC'!$F$2:$F$4000=AK$5),'2016 E Maize Soil VWC'!$G$2:$G$4000)</f>
        <v>0.32931139806279752</v>
      </c>
      <c r="AL117" s="1" cm="1">
        <f t="array" ref="AL117">_xlfn.XLOOKUP(1,('2016 E Maize Soil VWC'!$C$2:$C$4000=$AA117)*('2016 E Maize Soil VWC'!$E$2:$E$4000=$AB117)*('2016 E Maize Soil VWC'!$F$2:$F$4000=AL$5),'2016 E Maize Soil VWC'!$G$2:$G$4000)</f>
        <v>0.34299494511631023</v>
      </c>
      <c r="AM117" s="1" cm="1">
        <f t="array" ref="AM117">_xlfn.XLOOKUP(1,('2016 E Maize Soil VWC'!$C$2:$C$4000=$AA117)*('2016 E Maize Soil VWC'!$E$2:$E$4000=$AB117)*('2016 E Maize Soil VWC'!$F$2:$F$4000=AM$5),'2016 E Maize Soil VWC'!$G$2:$G$4000)</f>
        <v>0.33254250590189155</v>
      </c>
      <c r="AN117" s="1" cm="1">
        <f t="array" ref="AN117">_xlfn.XLOOKUP(1,('2016 E Maize Soil VWC'!$C$2:$C$4000=$AA117)*('2016 E Maize Soil VWC'!$E$2:$E$4000=$AB117)*('2016 E Maize Soil VWC'!$F$2:$F$4000=AN$5),'2016 E Maize Soil VWC'!$G$2:$G$4000)</f>
        <v>0.32738441206237395</v>
      </c>
      <c r="AO117" s="1" cm="1">
        <f t="array" ref="AO117">_xlfn.XLOOKUP(1,('2016 E Maize Soil VWC'!$C$2:$C$4000=$AA117)*('2016 E Maize Soil VWC'!$E$2:$E$4000=$AB117)*('2016 E Maize Soil VWC'!$F$2:$F$4000=AO$5),'2016 E Maize Soil VWC'!$G$2:$G$4000)</f>
        <v>0.30607077902738616</v>
      </c>
      <c r="AP117" s="1" cm="1">
        <f t="array" ref="AP117">_xlfn.XLOOKUP(1,('2016 E Maize Soil VWC'!$C$2:$C$4000=$AA117)*('2016 E Maize Soil VWC'!$E$2:$E$4000=$AB117)*('2016 E Maize Soil VWC'!$F$2:$F$4000=AP$5),'2016 E Maize Soil VWC'!$G$2:$G$4000)</f>
        <v>0.30455254763311307</v>
      </c>
      <c r="AQ117" s="1" cm="1">
        <f t="array" ref="AQ117">_xlfn.XLOOKUP(1,('2016 E Maize Soil VWC'!$C$2:$C$4000=$AA117)*('2016 E Maize Soil VWC'!$E$2:$E$4000=$AB117)*('2016 E Maize Soil VWC'!$F$2:$F$4000=AQ$5),'2016 E Maize Soil VWC'!$G$2:$G$4000)</f>
        <v>0.34848393554175916</v>
      </c>
      <c r="AR117" s="1" cm="1">
        <f t="array" ref="AR117">_xlfn.XLOOKUP(1,('2016 E Maize Soil VWC'!$C$2:$C$4000=$AA117)*('2016 E Maize Soil VWC'!$E$2:$E$4000=$AB117)*('2016 E Maize Soil VWC'!$F$2:$F$4000=AR$5),'2016 E Maize Soil VWC'!$G$2:$G$4000)</f>
        <v>0.32958390113356445</v>
      </c>
      <c r="AS117" s="1" cm="1">
        <f t="array" ref="AS117">_xlfn.XLOOKUP(1,('2016 E Maize Soil VWC'!$C$2:$C$4000=$AA117)*('2016 E Maize Soil VWC'!$E$2:$E$4000=$AB117)*('2016 E Maize Soil VWC'!$F$2:$F$4000=AS$5),'2016 E Maize Soil VWC'!$G$2:$G$4000)</f>
        <v>0.31961807454551538</v>
      </c>
      <c r="AT117" s="1" cm="1">
        <f t="array" ref="AT117">_xlfn.XLOOKUP(1,('2016 E Maize Soil VWC'!$C$2:$C$4000=$AA117)*('2016 E Maize Soil VWC'!$E$2:$E$4000=$AB117)*('2016 E Maize Soil VWC'!$F$2:$F$4000=AT$5),'2016 E Maize Soil VWC'!$G$2:$G$4000)</f>
        <v>0.32975908167905754</v>
      </c>
      <c r="AU117" s="1" cm="1">
        <f t="array" ref="AU117">_xlfn.XLOOKUP(1,('2016 E Maize Soil VWC'!$C$2:$C$4000=$AA117)*('2016 E Maize Soil VWC'!$E$2:$E$4000=$AB117)*('2016 E Maize Soil VWC'!$F$2:$F$4000=AU$5),'2016 E Maize Soil VWC'!$G$2:$G$4000)</f>
        <v>0.3258856451731556</v>
      </c>
      <c r="AV117" s="1" cm="1">
        <f t="array" ref="AV117">_xlfn.XLOOKUP(1,('2016 E Maize Soil VWC'!$C$2:$C$4000=$AA117)*('2016 E Maize Soil VWC'!$E$2:$E$4000=$AB117)*('2016 E Maize Soil VWC'!$F$2:$F$4000=AV$5),'2016 E Maize Soil VWC'!$G$2:$G$4000)</f>
        <v>0.3391993666306275</v>
      </c>
    </row>
    <row r="118" spans="25:64" x14ac:dyDescent="0.25">
      <c r="AA118" s="18">
        <f t="shared" si="19"/>
        <v>42577</v>
      </c>
      <c r="AB118" s="1">
        <f t="shared" si="20"/>
        <v>170</v>
      </c>
      <c r="AC118" s="1" cm="1">
        <f t="array" ref="AC118">_xlfn.XLOOKUP(1,('2016 E Maize Soil VWC'!$C$2:$C$4000=$AA118)*('2016 E Maize Soil VWC'!$E$2:$E$4000=$AB118)*('2016 E Maize Soil VWC'!$F$2:$F$4000=AC$5),'2016 E Maize Soil VWC'!$G$2:$G$4000)</f>
        <v>0.28380338524471399</v>
      </c>
      <c r="AD118" s="1" cm="1">
        <f t="array" ref="AD118">_xlfn.XLOOKUP(1,('2016 E Maize Soil VWC'!$C$2:$C$4000=$AA118)*('2016 E Maize Soil VWC'!$E$2:$E$4000=$AB118)*('2016 E Maize Soil VWC'!$F$2:$F$4000=AD$5),'2016 E Maize Soil VWC'!$G$2:$G$4000)</f>
        <v>0.27358452009095269</v>
      </c>
      <c r="AE118" s="1" cm="1">
        <f t="array" ref="AE118">_xlfn.XLOOKUP(1,('2016 E Maize Soil VWC'!$C$2:$C$4000=$AA118)*('2016 E Maize Soil VWC'!$E$2:$E$4000=$AB118)*('2016 E Maize Soil VWC'!$F$2:$F$4000=AE$5),'2016 E Maize Soil VWC'!$G$2:$G$4000)</f>
        <v>0.28833861492247853</v>
      </c>
      <c r="AF118" s="1" cm="1">
        <f t="array" ref="AF118">_xlfn.XLOOKUP(1,('2016 E Maize Soil VWC'!$C$2:$C$4000=$AA118)*('2016 E Maize Soil VWC'!$E$2:$E$4000=$AB118)*('2016 E Maize Soil VWC'!$F$2:$F$4000=AF$5),'2016 E Maize Soil VWC'!$G$2:$G$4000)</f>
        <v>0.29413903742880393</v>
      </c>
      <c r="AG118" s="1" cm="1">
        <f t="array" ref="AG118">_xlfn.XLOOKUP(1,('2016 E Maize Soil VWC'!$C$2:$C$4000=$AA118)*('2016 E Maize Soil VWC'!$E$2:$E$4000=$AB118)*('2016 E Maize Soil VWC'!$F$2:$F$4000=AG$5),'2016 E Maize Soil VWC'!$G$2:$G$4000)</f>
        <v>0.33367144719506897</v>
      </c>
      <c r="AH118" s="1" cm="1">
        <f t="array" ref="AH118">_xlfn.XLOOKUP(1,('2016 E Maize Soil VWC'!$C$2:$C$4000=$AA118)*('2016 E Maize Soil VWC'!$E$2:$E$4000=$AB118)*('2016 E Maize Soil VWC'!$F$2:$F$4000=AH$5),'2016 E Maize Soil VWC'!$G$2:$G$4000)</f>
        <v>0.34577836933914424</v>
      </c>
      <c r="AI118" s="1" cm="1">
        <f t="array" ref="AI118">_xlfn.XLOOKUP(1,('2016 E Maize Soil VWC'!$C$2:$C$4000=$AA118)*('2016 E Maize Soil VWC'!$E$2:$E$4000=$AB118)*('2016 E Maize Soil VWC'!$F$2:$F$4000=AI$5),'2016 E Maize Soil VWC'!$G$2:$G$4000)</f>
        <v>0.2967862101162545</v>
      </c>
      <c r="AJ118" s="1" cm="1">
        <f t="array" ref="AJ118">_xlfn.XLOOKUP(1,('2016 E Maize Soil VWC'!$C$2:$C$4000=$AA118)*('2016 E Maize Soil VWC'!$E$2:$E$4000=$AB118)*('2016 E Maize Soil VWC'!$F$2:$F$4000=AJ$5),'2016 E Maize Soil VWC'!$G$2:$G$4000)</f>
        <v>0.30690775274474186</v>
      </c>
      <c r="AK118" s="1" cm="1">
        <f t="array" ref="AK118">_xlfn.XLOOKUP(1,('2016 E Maize Soil VWC'!$C$2:$C$4000=$AA118)*('2016 E Maize Soil VWC'!$E$2:$E$4000=$AB118)*('2016 E Maize Soil VWC'!$F$2:$F$4000=AK$5),'2016 E Maize Soil VWC'!$G$2:$G$4000)</f>
        <v>0.30245038108719641</v>
      </c>
      <c r="AL118" s="1" cm="1">
        <f t="array" ref="AL118">_xlfn.XLOOKUP(1,('2016 E Maize Soil VWC'!$C$2:$C$4000=$AA118)*('2016 E Maize Soil VWC'!$E$2:$E$4000=$AB118)*('2016 E Maize Soil VWC'!$F$2:$F$4000=AL$5),'2016 E Maize Soil VWC'!$G$2:$G$4000)</f>
        <v>0.30947706741197328</v>
      </c>
      <c r="AM118" s="1" cm="1">
        <f t="array" ref="AM118">_xlfn.XLOOKUP(1,('2016 E Maize Soil VWC'!$C$2:$C$4000=$AA118)*('2016 E Maize Soil VWC'!$E$2:$E$4000=$AB118)*('2016 E Maize Soil VWC'!$F$2:$F$4000=AM$5),'2016 E Maize Soil VWC'!$G$2:$G$4000)</f>
        <v>0.32279078886944507</v>
      </c>
      <c r="AN118" s="1" cm="1">
        <f t="array" ref="AN118">_xlfn.XLOOKUP(1,('2016 E Maize Soil VWC'!$C$2:$C$4000=$AA118)*('2016 E Maize Soil VWC'!$E$2:$E$4000=$AB118)*('2016 E Maize Soil VWC'!$F$2:$F$4000=AN$5),'2016 E Maize Soil VWC'!$G$2:$G$4000)</f>
        <v>0.33801203182228567</v>
      </c>
      <c r="AO118" s="1" cm="1">
        <f t="array" ref="AO118">_xlfn.XLOOKUP(1,('2016 E Maize Soil VWC'!$C$2:$C$4000=$AA118)*('2016 E Maize Soil VWC'!$E$2:$E$4000=$AB118)*('2016 E Maize Soil VWC'!$F$2:$F$4000=AO$5),'2016 E Maize Soil VWC'!$G$2:$G$4000)</f>
        <v>0.30651846264364618</v>
      </c>
      <c r="AP118" s="1" cm="1">
        <f t="array" ref="AP118">_xlfn.XLOOKUP(1,('2016 E Maize Soil VWC'!$C$2:$C$4000=$AA118)*('2016 E Maize Soil VWC'!$E$2:$E$4000=$AB118)*('2016 E Maize Soil VWC'!$F$2:$F$4000=AP$5),'2016 E Maize Soil VWC'!$G$2:$G$4000)</f>
        <v>0.31901467488881707</v>
      </c>
      <c r="AQ118" s="1" cm="1">
        <f t="array" ref="AQ118">_xlfn.XLOOKUP(1,('2016 E Maize Soil VWC'!$C$2:$C$4000=$AA118)*('2016 E Maize Soil VWC'!$E$2:$E$4000=$AB118)*('2016 E Maize Soil VWC'!$F$2:$F$4000=AQ$5),'2016 E Maize Soil VWC'!$G$2:$G$4000)</f>
        <v>0.33546218166010905</v>
      </c>
      <c r="AR118" s="1" cm="1">
        <f t="array" ref="AR118">_xlfn.XLOOKUP(1,('2016 E Maize Soil VWC'!$C$2:$C$4000=$AA118)*('2016 E Maize Soil VWC'!$E$2:$E$4000=$AB118)*('2016 E Maize Soil VWC'!$F$2:$F$4000=AR$5),'2016 E Maize Soil VWC'!$G$2:$G$4000)</f>
        <v>0.32927246905268792</v>
      </c>
      <c r="AS118" s="1" cm="1">
        <f t="array" ref="AS118">_xlfn.XLOOKUP(1,('2016 E Maize Soil VWC'!$C$2:$C$4000=$AA118)*('2016 E Maize Soil VWC'!$E$2:$E$4000=$AB118)*('2016 E Maize Soil VWC'!$F$2:$F$4000=AS$5),'2016 E Maize Soil VWC'!$G$2:$G$4000)</f>
        <v>0.3157251735345587</v>
      </c>
      <c r="AT118" s="1" cm="1">
        <f t="array" ref="AT118">_xlfn.XLOOKUP(1,('2016 E Maize Soil VWC'!$C$2:$C$4000=$AA118)*('2016 E Maize Soil VWC'!$E$2:$E$4000=$AB118)*('2016 E Maize Soil VWC'!$F$2:$F$4000=AT$5),'2016 E Maize Soil VWC'!$G$2:$G$4000)</f>
        <v>0.32728708953710001</v>
      </c>
      <c r="AU118" s="1" cm="1">
        <f t="array" ref="AU118">_xlfn.XLOOKUP(1,('2016 E Maize Soil VWC'!$C$2:$C$4000=$AA118)*('2016 E Maize Soil VWC'!$E$2:$E$4000=$AB118)*('2016 E Maize Soil VWC'!$F$2:$F$4000=AU$5),'2016 E Maize Soil VWC'!$G$2:$G$4000)</f>
        <v>0.31303907183699864</v>
      </c>
      <c r="AV118" s="1" cm="1">
        <f t="array" ref="AV118">_xlfn.XLOOKUP(1,('2016 E Maize Soil VWC'!$C$2:$C$4000=$AA118)*('2016 E Maize Soil VWC'!$E$2:$E$4000=$AB118)*('2016 E Maize Soil VWC'!$F$2:$F$4000=AV$5),'2016 E Maize Soil VWC'!$G$2:$G$4000)</f>
        <v>0.31924824894947446</v>
      </c>
    </row>
    <row r="119" spans="25:64" x14ac:dyDescent="0.25">
      <c r="AA119" s="18">
        <f t="shared" si="19"/>
        <v>42577</v>
      </c>
      <c r="AB119" s="1">
        <f t="shared" si="20"/>
        <v>190</v>
      </c>
      <c r="AC119" s="1" cm="1">
        <f t="array" ref="AC119">_xlfn.XLOOKUP(1,('2016 E Maize Soil VWC'!$C$2:$C$4000=$AA119)*('2016 E Maize Soil VWC'!$E$2:$E$4000=$AB119)*('2016 E Maize Soil VWC'!$F$2:$F$4000=AC$5),'2016 E Maize Soil VWC'!$G$2:$G$4000)</f>
        <v>0.29265973504464038</v>
      </c>
      <c r="AD119" s="1" cm="1">
        <f t="array" ref="AD119">_xlfn.XLOOKUP(1,('2016 E Maize Soil VWC'!$C$2:$C$4000=$AA119)*('2016 E Maize Soil VWC'!$E$2:$E$4000=$AB119)*('2016 E Maize Soil VWC'!$F$2:$F$4000=AD$5),'2016 E Maize Soil VWC'!$G$2:$G$4000)</f>
        <v>0.2872875316495202</v>
      </c>
      <c r="AE119" s="1" cm="1">
        <f t="array" ref="AE119">_xlfn.XLOOKUP(1,('2016 E Maize Soil VWC'!$C$2:$C$4000=$AA119)*('2016 E Maize Soil VWC'!$E$2:$E$4000=$AB119)*('2016 E Maize Soil VWC'!$F$2:$F$4000=AE$5),'2016 E Maize Soil VWC'!$G$2:$G$4000)</f>
        <v>0.29592977189384406</v>
      </c>
      <c r="AF119" s="1" cm="1">
        <f t="array" ref="AF119">_xlfn.XLOOKUP(1,('2016 E Maize Soil VWC'!$C$2:$C$4000=$AA119)*('2016 E Maize Soil VWC'!$E$2:$E$4000=$AB119)*('2016 E Maize Soil VWC'!$F$2:$F$4000=AF$5),'2016 E Maize Soil VWC'!$G$2:$G$4000)</f>
        <v>0.2974285387830623</v>
      </c>
      <c r="AG119" s="1" cm="1">
        <f t="array" ref="AG119">_xlfn.XLOOKUP(1,('2016 E Maize Soil VWC'!$C$2:$C$4000=$AA119)*('2016 E Maize Soil VWC'!$E$2:$E$4000=$AB119)*('2016 E Maize Soil VWC'!$F$2:$F$4000=AG$5),'2016 E Maize Soil VWC'!$G$2:$G$4000)</f>
        <v>0.3391993666306275</v>
      </c>
      <c r="AH119" s="1" cm="1">
        <f t="array" ref="AH119">_xlfn.XLOOKUP(1,('2016 E Maize Soil VWC'!$C$2:$C$4000=$AA119)*('2016 E Maize Soil VWC'!$E$2:$E$4000=$AB119)*('2016 E Maize Soil VWC'!$F$2:$F$4000=AH$5),'2016 E Maize Soil VWC'!$G$2:$G$4000)</f>
        <v>0.36185605051439534</v>
      </c>
      <c r="AI119" s="1" cm="1">
        <f t="array" ref="AI119">_xlfn.XLOOKUP(1,('2016 E Maize Soil VWC'!$C$2:$C$4000=$AA119)*('2016 E Maize Soil VWC'!$E$2:$E$4000=$AB119)*('2016 E Maize Soil VWC'!$F$2:$F$4000=AI$5),'2016 E Maize Soil VWC'!$G$2:$G$4000)</f>
        <v>0.28236301187065999</v>
      </c>
      <c r="AJ119" s="1" cm="1">
        <f t="array" ref="AJ119">_xlfn.XLOOKUP(1,('2016 E Maize Soil VWC'!$C$2:$C$4000=$AA119)*('2016 E Maize Soil VWC'!$E$2:$E$4000=$AB119)*('2016 E Maize Soil VWC'!$F$2:$F$4000=AJ$5),'2016 E Maize Soil VWC'!$G$2:$G$4000)</f>
        <v>0.29581298486351532</v>
      </c>
      <c r="AK119" s="1" cm="1">
        <f t="array" ref="AK119">_xlfn.XLOOKUP(1,('2016 E Maize Soil VWC'!$C$2:$C$4000=$AA119)*('2016 E Maize Soil VWC'!$E$2:$E$4000=$AB119)*('2016 E Maize Soil VWC'!$F$2:$F$4000=AK$5),'2016 E Maize Soil VWC'!$G$2:$G$4000)</f>
        <v>0.28921451764994371</v>
      </c>
      <c r="AL119" s="1" cm="1">
        <f t="array" ref="AL119">_xlfn.XLOOKUP(1,('2016 E Maize Soil VWC'!$C$2:$C$4000=$AA119)*('2016 E Maize Soil VWC'!$E$2:$E$4000=$AB119)*('2016 E Maize Soil VWC'!$F$2:$F$4000=AL$5),'2016 E Maize Soil VWC'!$G$2:$G$4000)</f>
        <v>0.29264027053958563</v>
      </c>
      <c r="AM119" s="1" cm="1">
        <f t="array" ref="AM119">_xlfn.XLOOKUP(1,('2016 E Maize Soil VWC'!$C$2:$C$4000=$AA119)*('2016 E Maize Soil VWC'!$E$2:$E$4000=$AB119)*('2016 E Maize Soil VWC'!$F$2:$F$4000=AM$5),'2016 E Maize Soil VWC'!$G$2:$G$4000)</f>
        <v>0.3092045643412063</v>
      </c>
      <c r="AN119" s="1" cm="1">
        <f t="array" ref="AN119">_xlfn.XLOOKUP(1,('2016 E Maize Soil VWC'!$C$2:$C$4000=$AA119)*('2016 E Maize Soil VWC'!$E$2:$E$4000=$AB119)*('2016 E Maize Soil VWC'!$F$2:$F$4000=AN$5),'2016 E Maize Soil VWC'!$G$2:$G$4000)</f>
        <v>0.31720447591872225</v>
      </c>
      <c r="AO119" s="1" cm="1">
        <f t="array" ref="AO119">_xlfn.XLOOKUP(1,('2016 E Maize Soil VWC'!$C$2:$C$4000=$AA119)*('2016 E Maize Soil VWC'!$E$2:$E$4000=$AB119)*('2016 E Maize Soil VWC'!$F$2:$F$4000=AO$5),'2016 E Maize Soil VWC'!$G$2:$G$4000)</f>
        <v>0.29468404357033789</v>
      </c>
      <c r="AP119" s="1" cm="1">
        <f t="array" ref="AP119">_xlfn.XLOOKUP(1,('2016 E Maize Soil VWC'!$C$2:$C$4000=$AA119)*('2016 E Maize Soil VWC'!$E$2:$E$4000=$AB119)*('2016 E Maize Soil VWC'!$F$2:$F$4000=AP$5),'2016 E Maize Soil VWC'!$G$2:$G$4000)</f>
        <v>0.30114625924852595</v>
      </c>
      <c r="AQ119" s="1" cm="1">
        <f t="array" ref="AQ119">_xlfn.XLOOKUP(1,('2016 E Maize Soil VWC'!$C$2:$C$4000=$AA119)*('2016 E Maize Soil VWC'!$E$2:$E$4000=$AB119)*('2016 E Maize Soil VWC'!$F$2:$F$4000=AQ$5),'2016 E Maize Soil VWC'!$G$2:$G$4000)</f>
        <v>0.35237683655271579</v>
      </c>
      <c r="AR119" s="1" cm="1">
        <f t="array" ref="AR119">_xlfn.XLOOKUP(1,('2016 E Maize Soil VWC'!$C$2:$C$4000=$AA119)*('2016 E Maize Soil VWC'!$E$2:$E$4000=$AB119)*('2016 E Maize Soil VWC'!$F$2:$F$4000=AR$5),'2016 E Maize Soil VWC'!$G$2:$G$4000)</f>
        <v>0.33842078642843615</v>
      </c>
      <c r="AS119" s="1" cm="1">
        <f t="array" ref="AS119">_xlfn.XLOOKUP(1,('2016 E Maize Soil VWC'!$C$2:$C$4000=$AA119)*('2016 E Maize Soil VWC'!$E$2:$E$4000=$AB119)*('2016 E Maize Soil VWC'!$F$2:$F$4000=AS$5),'2016 E Maize Soil VWC'!$G$2:$G$4000)</f>
        <v>0.31570570902950396</v>
      </c>
      <c r="AT119" s="1" cm="1">
        <f t="array" ref="AT119">_xlfn.XLOOKUP(1,('2016 E Maize Soil VWC'!$C$2:$C$4000=$AA119)*('2016 E Maize Soil VWC'!$E$2:$E$4000=$AB119)*('2016 E Maize Soil VWC'!$F$2:$F$4000=AT$5),'2016 E Maize Soil VWC'!$G$2:$G$4000)</f>
        <v>0.3084649131491245</v>
      </c>
      <c r="AU119" s="1" cm="1">
        <f t="array" ref="AU119">_xlfn.XLOOKUP(1,('2016 E Maize Soil VWC'!$C$2:$C$4000=$AA119)*('2016 E Maize Soil VWC'!$E$2:$E$4000=$AB119)*('2016 E Maize Soil VWC'!$F$2:$F$4000=AU$5),'2016 E Maize Soil VWC'!$G$2:$G$4000)</f>
        <v>0.30429950906740083</v>
      </c>
      <c r="AV119" s="1" cm="1">
        <f t="array" ref="AV119">_xlfn.XLOOKUP(1,('2016 E Maize Soil VWC'!$C$2:$C$4000=$AA119)*('2016 E Maize Soil VWC'!$E$2:$E$4000=$AB119)*('2016 E Maize Soil VWC'!$F$2:$F$4000=AV$5),'2016 E Maize Soil VWC'!$G$2:$G$4000)</f>
        <v>0.3062459595728792</v>
      </c>
    </row>
    <row r="120" spans="25:64" x14ac:dyDescent="0.25">
      <c r="AA120" s="18">
        <f t="shared" si="19"/>
        <v>42577</v>
      </c>
      <c r="AB120" s="1">
        <f t="shared" si="20"/>
        <v>210</v>
      </c>
      <c r="AC120" s="1" cm="1">
        <f t="array" ref="AC120">_xlfn.XLOOKUP(1,('2016 E Maize Soil VWC'!$C$2:$C$4000=$AA120)*('2016 E Maize Soil VWC'!$E$2:$E$4000=$AB120)*('2016 E Maize Soil VWC'!$F$2:$F$4000=AC$5),'2016 E Maize Soil VWC'!$G$2:$G$4000)</f>
        <v>0.30548684387574265</v>
      </c>
      <c r="AD120" s="1" cm="1">
        <f t="array" ref="AD120">_xlfn.XLOOKUP(1,('2016 E Maize Soil VWC'!$C$2:$C$4000=$AA120)*('2016 E Maize Soil VWC'!$E$2:$E$4000=$AB120)*('2016 E Maize Soil VWC'!$F$2:$F$4000=AD$5),'2016 E Maize Soil VWC'!$G$2:$G$4000)</f>
        <v>0.30139929781423813</v>
      </c>
      <c r="AE120" s="1" cm="1">
        <f t="array" ref="AE120">_xlfn.XLOOKUP(1,('2016 E Maize Soil VWC'!$C$2:$C$4000=$AA120)*('2016 E Maize Soil VWC'!$E$2:$E$4000=$AB120)*('2016 E Maize Soil VWC'!$F$2:$F$4000=AE$5),'2016 E Maize Soil VWC'!$G$2:$G$4000)</f>
        <v>0.27512221599028058</v>
      </c>
      <c r="AF120" s="1" cm="1">
        <f t="array" ref="AF120">_xlfn.XLOOKUP(1,('2016 E Maize Soil VWC'!$C$2:$C$4000=$AA120)*('2016 E Maize Soil VWC'!$E$2:$E$4000=$AB120)*('2016 E Maize Soil VWC'!$F$2:$F$4000=AF$5),'2016 E Maize Soil VWC'!$G$2:$G$4000)</f>
        <v>0.28964273676114899</v>
      </c>
      <c r="AG120" s="1" t="e" cm="1">
        <f t="array" ref="AG120">_xlfn.XLOOKUP(1,('2016 E Maize Soil VWC'!$C$2:$C$4000=$AA120)*('2016 E Maize Soil VWC'!$E$2:$E$4000=$AB120)*('2016 E Maize Soil VWC'!$F$2:$F$4000=AG$5),'2016 E Maize Soil VWC'!$G$2:$G$4000)</f>
        <v>#N/A</v>
      </c>
      <c r="AH120" s="1" t="e" cm="1">
        <f t="array" ref="AH120">_xlfn.XLOOKUP(1,('2016 E Maize Soil VWC'!$C$2:$C$4000=$AA120)*('2016 E Maize Soil VWC'!$E$2:$E$4000=$AB120)*('2016 E Maize Soil VWC'!$F$2:$F$4000=AH$5),'2016 E Maize Soil VWC'!$G$2:$G$4000)</f>
        <v>#N/A</v>
      </c>
      <c r="AI120" s="1" cm="1">
        <f t="array" ref="AI120">_xlfn.XLOOKUP(1,('2016 E Maize Soil VWC'!$C$2:$C$4000=$AA120)*('2016 E Maize Soil VWC'!$E$2:$E$4000=$AB120)*('2016 E Maize Soil VWC'!$F$2:$F$4000=AI$5),'2016 E Maize Soil VWC'!$G$2:$G$4000)</f>
        <v>0.2793265490821138</v>
      </c>
      <c r="AJ120" s="1" cm="1">
        <f t="array" ref="AJ120">_xlfn.XLOOKUP(1,('2016 E Maize Soil VWC'!$C$2:$C$4000=$AA120)*('2016 E Maize Soil VWC'!$E$2:$E$4000=$AB120)*('2016 E Maize Soil VWC'!$F$2:$F$4000=AJ$5),'2016 E Maize Soil VWC'!$G$2:$G$4000)</f>
        <v>0.30200269747093644</v>
      </c>
      <c r="AK120" s="1" cm="1">
        <f t="array" ref="AK120">_xlfn.XLOOKUP(1,('2016 E Maize Soil VWC'!$C$2:$C$4000=$AA120)*('2016 E Maize Soil VWC'!$E$2:$E$4000=$AB120)*('2016 E Maize Soil VWC'!$F$2:$F$4000=AK$5),'2016 E Maize Soil VWC'!$G$2:$G$4000)</f>
        <v>0.29410010841869438</v>
      </c>
      <c r="AL120" s="1" cm="1">
        <f t="array" ref="AL120">_xlfn.XLOOKUP(1,('2016 E Maize Soil VWC'!$C$2:$C$4000=$AA120)*('2016 E Maize Soil VWC'!$E$2:$E$4000=$AB120)*('2016 E Maize Soil VWC'!$F$2:$F$4000=AL$5),'2016 E Maize Soil VWC'!$G$2:$G$4000)</f>
        <v>0.26747266550375076</v>
      </c>
      <c r="AM120" s="1" cm="1">
        <f t="array" ref="AM120">_xlfn.XLOOKUP(1,('2016 E Maize Soil VWC'!$C$2:$C$4000=$AA120)*('2016 E Maize Soil VWC'!$E$2:$E$4000=$AB120)*('2016 E Maize Soil VWC'!$F$2:$F$4000=AM$5),'2016 E Maize Soil VWC'!$G$2:$G$4000)</f>
        <v>0.30184698143049821</v>
      </c>
      <c r="AN120" s="1" cm="1">
        <f t="array" ref="AN120">_xlfn.XLOOKUP(1,('2016 E Maize Soil VWC'!$C$2:$C$4000=$AA120)*('2016 E Maize Soil VWC'!$E$2:$E$4000=$AB120)*('2016 E Maize Soil VWC'!$F$2:$F$4000=AN$5),'2016 E Maize Soil VWC'!$G$2:$G$4000)</f>
        <v>0.30967171246252106</v>
      </c>
      <c r="AO120" s="1" cm="1">
        <f t="array" ref="AO120">_xlfn.XLOOKUP(1,('2016 E Maize Soil VWC'!$C$2:$C$4000=$AA120)*('2016 E Maize Soil VWC'!$E$2:$E$4000=$AB120)*('2016 E Maize Soil VWC'!$F$2:$F$4000=AO$5),'2016 E Maize Soil VWC'!$G$2:$G$4000)</f>
        <v>0.29657210056065186</v>
      </c>
      <c r="AP120" s="1" cm="1">
        <f t="array" ref="AP120">_xlfn.XLOOKUP(1,('2016 E Maize Soil VWC'!$C$2:$C$4000=$AA120)*('2016 E Maize Soil VWC'!$E$2:$E$4000=$AB120)*('2016 E Maize Soil VWC'!$F$2:$F$4000=AP$5),'2016 E Maize Soil VWC'!$G$2:$G$4000)</f>
        <v>0.27455774534369187</v>
      </c>
      <c r="AQ120" s="1" t="e" cm="1">
        <f t="array" ref="AQ120">_xlfn.XLOOKUP(1,('2016 E Maize Soil VWC'!$C$2:$C$4000=$AA120)*('2016 E Maize Soil VWC'!$E$2:$E$4000=$AB120)*('2016 E Maize Soil VWC'!$F$2:$F$4000=AQ$5),'2016 E Maize Soil VWC'!$G$2:$G$4000)</f>
        <v>#N/A</v>
      </c>
      <c r="AR120" s="1" t="e" cm="1">
        <f t="array" ref="AR120">_xlfn.XLOOKUP(1,('2016 E Maize Soil VWC'!$C$2:$C$4000=$AA120)*('2016 E Maize Soil VWC'!$E$2:$E$4000=$AB120)*('2016 E Maize Soil VWC'!$F$2:$F$4000=AR$5),'2016 E Maize Soil VWC'!$G$2:$G$4000)</f>
        <v>#N/A</v>
      </c>
      <c r="AS120" s="1" cm="1">
        <f t="array" ref="AS120">_xlfn.XLOOKUP(1,('2016 E Maize Soil VWC'!$C$2:$C$4000=$AA120)*('2016 E Maize Soil VWC'!$E$2:$E$4000=$AB120)*('2016 E Maize Soil VWC'!$F$2:$F$4000=AS$5),'2016 E Maize Soil VWC'!$G$2:$G$4000)</f>
        <v>0.30538952135046871</v>
      </c>
      <c r="AT120" s="1" cm="1">
        <f t="array" ref="AT120">_xlfn.XLOOKUP(1,('2016 E Maize Soil VWC'!$C$2:$C$4000=$AA120)*('2016 E Maize Soil VWC'!$E$2:$E$4000=$AB120)*('2016 E Maize Soil VWC'!$F$2:$F$4000=AT$5),'2016 E Maize Soil VWC'!$G$2:$G$4000)</f>
        <v>0.30073750464237547</v>
      </c>
      <c r="AU120" s="1" cm="1">
        <f t="array" ref="AU120">_xlfn.XLOOKUP(1,('2016 E Maize Soil VWC'!$C$2:$C$4000=$AA120)*('2016 E Maize Soil VWC'!$E$2:$E$4000=$AB120)*('2016 E Maize Soil VWC'!$F$2:$F$4000=AU$5),'2016 E Maize Soil VWC'!$G$2:$G$4000)</f>
        <v>0.29624120397472059</v>
      </c>
      <c r="AV120" s="1" cm="1">
        <f t="array" ref="AV120">_xlfn.XLOOKUP(1,('2016 E Maize Soil VWC'!$C$2:$C$4000=$AA120)*('2016 E Maize Soil VWC'!$E$2:$E$4000=$AB120)*('2016 E Maize Soil VWC'!$F$2:$F$4000=AV$5),'2016 E Maize Soil VWC'!$G$2:$G$4000)</f>
        <v>0.29664995858087101</v>
      </c>
    </row>
    <row r="121" spans="25:64" x14ac:dyDescent="0.25">
      <c r="AA121" s="18">
        <f t="shared" si="19"/>
        <v>42577</v>
      </c>
      <c r="AB121" s="1">
        <f t="shared" si="20"/>
        <v>230</v>
      </c>
      <c r="AC121" s="1" cm="1">
        <f t="array" ref="AC121">_xlfn.XLOOKUP(1,('2016 E Maize Soil VWC'!$C$2:$C$4000=$AA121)*('2016 E Maize Soil VWC'!$E$2:$E$4000=$AB121)*('2016 E Maize Soil VWC'!$F$2:$F$4000=AC$5),'2016 E Maize Soil VWC'!$G$2:$G$4000)</f>
        <v>0.29976427938963635</v>
      </c>
      <c r="AD121" s="1" cm="1">
        <f t="array" ref="AD121">_xlfn.XLOOKUP(1,('2016 E Maize Soil VWC'!$C$2:$C$4000=$AA121)*('2016 E Maize Soil VWC'!$E$2:$E$4000=$AB121)*('2016 E Maize Soil VWC'!$F$2:$F$4000=AD$5),'2016 E Maize Soil VWC'!$G$2:$G$4000)</f>
        <v>0.29955016983403371</v>
      </c>
      <c r="AE121" s="1" cm="1">
        <f t="array" ref="AE121">_xlfn.XLOOKUP(1,('2016 E Maize Soil VWC'!$C$2:$C$4000=$AA121)*('2016 E Maize Soil VWC'!$E$2:$E$4000=$AB121)*('2016 E Maize Soil VWC'!$F$2:$F$4000=AE$5),'2016 E Maize Soil VWC'!$G$2:$G$4000)</f>
        <v>0.28430946237613836</v>
      </c>
      <c r="AF121" s="1" cm="1">
        <f t="array" ref="AF121">_xlfn.XLOOKUP(1,('2016 E Maize Soil VWC'!$C$2:$C$4000=$AA121)*('2016 E Maize Soil VWC'!$E$2:$E$4000=$AB121)*('2016 E Maize Soil VWC'!$F$2:$F$4000=AF$5),'2016 E Maize Soil VWC'!$G$2:$G$4000)</f>
        <v>0.28378392073965919</v>
      </c>
      <c r="AG121" s="1" t="e" cm="1">
        <f t="array" ref="AG121">_xlfn.XLOOKUP(1,('2016 E Maize Soil VWC'!$C$2:$C$4000=$AA121)*('2016 E Maize Soil VWC'!$E$2:$E$4000=$AB121)*('2016 E Maize Soil VWC'!$F$2:$F$4000=AG$5),'2016 E Maize Soil VWC'!$G$2:$G$4000)</f>
        <v>#N/A</v>
      </c>
      <c r="AH121" s="1" t="e" cm="1">
        <f t="array" ref="AH121">_xlfn.XLOOKUP(1,('2016 E Maize Soil VWC'!$C$2:$C$4000=$AA121)*('2016 E Maize Soil VWC'!$E$2:$E$4000=$AB121)*('2016 E Maize Soil VWC'!$F$2:$F$4000=AH$5),'2016 E Maize Soil VWC'!$G$2:$G$4000)</f>
        <v>#N/A</v>
      </c>
      <c r="AI121" s="1" cm="1">
        <f t="array" ref="AI121">_xlfn.XLOOKUP(1,('2016 E Maize Soil VWC'!$C$2:$C$4000=$AA121)*('2016 E Maize Soil VWC'!$E$2:$E$4000=$AB121)*('2016 E Maize Soil VWC'!$F$2:$F$4000=AI$5),'2016 E Maize Soil VWC'!$G$2:$G$4000)</f>
        <v>0.27728277605136153</v>
      </c>
      <c r="AJ121" s="1" cm="1">
        <f t="array" ref="AJ121">_xlfn.XLOOKUP(1,('2016 E Maize Soil VWC'!$C$2:$C$4000=$AA121)*('2016 E Maize Soil VWC'!$E$2:$E$4000=$AB121)*('2016 E Maize Soil VWC'!$F$2:$F$4000=AJ$5),'2016 E Maize Soil VWC'!$G$2:$G$4000)</f>
        <v>0.30675203670430357</v>
      </c>
      <c r="AK121" s="1" cm="1">
        <f t="array" ref="AK121">_xlfn.XLOOKUP(1,('2016 E Maize Soil VWC'!$C$2:$C$4000=$AA121)*('2016 E Maize Soil VWC'!$E$2:$E$4000=$AB121)*('2016 E Maize Soil VWC'!$F$2:$F$4000=AK$5),'2016 E Maize Soil VWC'!$G$2:$G$4000)</f>
        <v>0.30412432852190779</v>
      </c>
      <c r="AL121" s="1" cm="1">
        <f t="array" ref="AL121">_xlfn.XLOOKUP(1,('2016 E Maize Soil VWC'!$C$2:$C$4000=$AA121)*('2016 E Maize Soil VWC'!$E$2:$E$4000=$AB121)*('2016 E Maize Soil VWC'!$F$2:$F$4000=AL$5),'2016 E Maize Soil VWC'!$G$2:$G$4000)</f>
        <v>0.26867946481714727</v>
      </c>
      <c r="AM121" s="1" cm="1">
        <f t="array" ref="AM121">_xlfn.XLOOKUP(1,('2016 E Maize Soil VWC'!$C$2:$C$4000=$AA121)*('2016 E Maize Soil VWC'!$E$2:$E$4000=$AB121)*('2016 E Maize Soil VWC'!$F$2:$F$4000=AM$5),'2016 E Maize Soil VWC'!$G$2:$G$4000)</f>
        <v>0.29497601114615962</v>
      </c>
      <c r="AN121" s="1" cm="1">
        <f t="array" ref="AN121">_xlfn.XLOOKUP(1,('2016 E Maize Soil VWC'!$C$2:$C$4000=$AA121)*('2016 E Maize Soil VWC'!$E$2:$E$4000=$AB121)*('2016 E Maize Soil VWC'!$F$2:$F$4000=AN$5),'2016 E Maize Soil VWC'!$G$2:$G$4000)</f>
        <v>0.29762318383361014</v>
      </c>
      <c r="AO121" s="1" cm="1">
        <f t="array" ref="AO121">_xlfn.XLOOKUP(1,('2016 E Maize Soil VWC'!$C$2:$C$4000=$AA121)*('2016 E Maize Soil VWC'!$E$2:$E$4000=$AB121)*('2016 E Maize Soil VWC'!$F$2:$F$4000=AO$5),'2016 E Maize Soil VWC'!$G$2:$G$4000)</f>
        <v>0.29028506542795685</v>
      </c>
      <c r="AP121" s="1" cm="1">
        <f t="array" ref="AP121">_xlfn.XLOOKUP(1,('2016 E Maize Soil VWC'!$C$2:$C$4000=$AA121)*('2016 E Maize Soil VWC'!$E$2:$E$4000=$AB121)*('2016 E Maize Soil VWC'!$F$2:$F$4000=AP$5),'2016 E Maize Soil VWC'!$G$2:$G$4000)</f>
        <v>0.28491286203283661</v>
      </c>
      <c r="AQ121" s="1" t="e" cm="1">
        <f t="array" ref="AQ121">_xlfn.XLOOKUP(1,('2016 E Maize Soil VWC'!$C$2:$C$4000=$AA121)*('2016 E Maize Soil VWC'!$E$2:$E$4000=$AB121)*('2016 E Maize Soil VWC'!$F$2:$F$4000=AQ$5),'2016 E Maize Soil VWC'!$G$2:$G$4000)</f>
        <v>#N/A</v>
      </c>
      <c r="AR121" s="1" t="e" cm="1">
        <f t="array" ref="AR121">_xlfn.XLOOKUP(1,('2016 E Maize Soil VWC'!$C$2:$C$4000=$AA121)*('2016 E Maize Soil VWC'!$E$2:$E$4000=$AB121)*('2016 E Maize Soil VWC'!$F$2:$F$4000=AR$5),'2016 E Maize Soil VWC'!$G$2:$G$4000)</f>
        <v>#N/A</v>
      </c>
      <c r="AS121" s="1" cm="1">
        <f t="array" ref="AS121">_xlfn.XLOOKUP(1,('2016 E Maize Soil VWC'!$C$2:$C$4000=$AA121)*('2016 E Maize Soil VWC'!$E$2:$E$4000=$AB121)*('2016 E Maize Soil VWC'!$F$2:$F$4000=AS$5),'2016 E Maize Soil VWC'!$G$2:$G$4000)</f>
        <v>0.29367188930748916</v>
      </c>
      <c r="AT121" s="1" cm="1">
        <f t="array" ref="AT121">_xlfn.XLOOKUP(1,('2016 E Maize Soil VWC'!$C$2:$C$4000=$AA121)*('2016 E Maize Soil VWC'!$E$2:$E$4000=$AB121)*('2016 E Maize Soil VWC'!$F$2:$F$4000=AT$5),'2016 E Maize Soil VWC'!$G$2:$G$4000)</f>
        <v>0.2967472811061449</v>
      </c>
      <c r="AU121" s="1" cm="1">
        <f t="array" ref="AU121">_xlfn.XLOOKUP(1,('2016 E Maize Soil VWC'!$C$2:$C$4000=$AA121)*('2016 E Maize Soil VWC'!$E$2:$E$4000=$AB121)*('2016 E Maize Soil VWC'!$F$2:$F$4000=AU$5),'2016 E Maize Soil VWC'!$G$2:$G$4000)</f>
        <v>0.28995416884202552</v>
      </c>
      <c r="AV121" s="1" cm="1">
        <f t="array" ref="AV121">_xlfn.XLOOKUP(1,('2016 E Maize Soil VWC'!$C$2:$C$4000=$AA121)*('2016 E Maize Soil VWC'!$E$2:$E$4000=$AB121)*('2016 E Maize Soil VWC'!$F$2:$F$4000=AV$5),'2016 E Maize Soil VWC'!$G$2:$G$4000)</f>
        <v>0.30289806470345643</v>
      </c>
    </row>
    <row r="122" spans="25:64" x14ac:dyDescent="0.25">
      <c r="AA122" s="18"/>
    </row>
    <row r="123" spans="25:64" x14ac:dyDescent="0.25">
      <c r="Y123" s="1">
        <v>2016</v>
      </c>
      <c r="Z123" s="1">
        <v>215</v>
      </c>
      <c r="AA123" s="18">
        <f>DATE(Y123,1,Z123)</f>
        <v>42584</v>
      </c>
      <c r="AB123" s="1">
        <v>10</v>
      </c>
      <c r="AC123" s="1" cm="1">
        <f t="array" ref="AC123">_xlfn.XLOOKUP(1,('2016 E Maize Soil VWC'!$C$2:$C$4000=$AA123)*('2016 E Maize Soil VWC'!$E$2:$E$4000=$AB123)*('2016 E Maize Soil VWC'!$F$2:$F$4000=AC$5),'2016 E Maize Soil VWC'!$G$2:$G$4000)</f>
        <v>0.20366784027553309</v>
      </c>
      <c r="AD123" s="1" cm="1">
        <f t="array" ref="AD123">_xlfn.XLOOKUP(1,('2016 E Maize Soil VWC'!$C$2:$C$4000=$AA123)*('2016 E Maize Soil VWC'!$E$2:$E$4000=$AB123)*('2016 E Maize Soil VWC'!$F$2:$F$4000=AD$5),'2016 E Maize Soil VWC'!$G$2:$G$4000)</f>
        <v>0.19768323882876154</v>
      </c>
      <c r="AE123" s="1" cm="1">
        <f t="array" ref="AE123">_xlfn.XLOOKUP(1,('2016 E Maize Soil VWC'!$C$2:$C$4000=$AA123)*('2016 E Maize Soil VWC'!$E$2:$E$4000=$AB123)*('2016 E Maize Soil VWC'!$F$2:$F$4000=AE$5),'2016 E Maize Soil VWC'!$G$2:$G$4000)</f>
        <v>0.14855963528651203</v>
      </c>
      <c r="AF123" s="1" cm="1">
        <f t="array" ref="AF123">_xlfn.XLOOKUP(1,('2016 E Maize Soil VWC'!$C$2:$C$4000=$AA123)*('2016 E Maize Soil VWC'!$E$2:$E$4000=$AB123)*('2016 E Maize Soil VWC'!$F$2:$F$4000=AF$5),'2016 E Maize Soil VWC'!$G$2:$G$4000)</f>
        <v>0.13018383981854054</v>
      </c>
      <c r="AG123" s="1" cm="1">
        <f t="array" ref="AG123">_xlfn.XLOOKUP(1,('2016 E Maize Soil VWC'!$C$2:$C$4000=$AA123)*('2016 E Maize Soil VWC'!$E$2:$E$4000=$AB123)*('2016 E Maize Soil VWC'!$F$2:$F$4000=AG$5),'2016 E Maize Soil VWC'!$G$2:$G$4000)</f>
        <v>0.19472930093516277</v>
      </c>
      <c r="AH123" s="1" cm="1">
        <f t="array" ref="AH123">_xlfn.XLOOKUP(1,('2016 E Maize Soil VWC'!$C$2:$C$4000=$AA123)*('2016 E Maize Soil VWC'!$E$2:$E$4000=$AB123)*('2016 E Maize Soil VWC'!$F$2:$F$4000=AH$5),'2016 E Maize Soil VWC'!$G$2:$G$4000)</f>
        <v>0.19672416808408666</v>
      </c>
      <c r="AI123" s="1" cm="1">
        <f t="array" ref="AI123">_xlfn.XLOOKUP(1,('2016 E Maize Soil VWC'!$C$2:$C$4000=$AA123)*('2016 E Maize Soil VWC'!$E$2:$E$4000=$AB123)*('2016 E Maize Soil VWC'!$F$2:$F$4000=AI$5),'2016 E Maize Soil VWC'!$G$2:$G$4000)</f>
        <v>0.20763839315848726</v>
      </c>
      <c r="AJ123" s="1" cm="1">
        <f t="array" ref="AJ123">_xlfn.XLOOKUP(1,('2016 E Maize Soil VWC'!$C$2:$C$4000=$AA123)*('2016 E Maize Soil VWC'!$E$2:$E$4000=$AB123)*('2016 E Maize Soil VWC'!$F$2:$F$4000=AJ$5),'2016 E Maize Soil VWC'!$G$2:$G$4000)</f>
        <v>0.16599554142470213</v>
      </c>
      <c r="AK123" s="1" cm="1">
        <f t="array" ref="AK123">_xlfn.XLOOKUP(1,('2016 E Maize Soil VWC'!$C$2:$C$4000=$AA123)*('2016 E Maize Soil VWC'!$E$2:$E$4000=$AB123)*('2016 E Maize Soil VWC'!$F$2:$F$4000=AK$5),'2016 E Maize Soil VWC'!$G$2:$G$4000)</f>
        <v>0.1893968675947702</v>
      </c>
      <c r="AL123" s="1" cm="1">
        <f t="array" ref="AL123">_xlfn.XLOOKUP(1,('2016 E Maize Soil VWC'!$C$2:$C$4000=$AA123)*('2016 E Maize Soil VWC'!$E$2:$E$4000=$AB123)*('2016 E Maize Soil VWC'!$F$2:$F$4000=AL$5),'2016 E Maize Soil VWC'!$G$2:$G$4000)</f>
        <v>0.22825841416899806</v>
      </c>
      <c r="AM123" s="1" cm="1">
        <f t="array" ref="AM123">_xlfn.XLOOKUP(1,('2016 E Maize Soil VWC'!$C$2:$C$4000=$AA123)*('2016 E Maize Soil VWC'!$E$2:$E$4000=$AB123)*('2016 E Maize Soil VWC'!$F$2:$F$4000=AM$5),'2016 E Maize Soil VWC'!$G$2:$G$4000)</f>
        <v>0.16672443519065505</v>
      </c>
      <c r="AN123" s="1" cm="1">
        <f t="array" ref="AN123">_xlfn.XLOOKUP(1,('2016 E Maize Soil VWC'!$C$2:$C$4000=$AA123)*('2016 E Maize Soil VWC'!$E$2:$E$4000=$AB123)*('2016 E Maize Soil VWC'!$F$2:$F$4000=AN$5),'2016 E Maize Soil VWC'!$G$2:$G$4000)</f>
        <v>0.1415776002652786</v>
      </c>
      <c r="AO123" s="1" cm="1">
        <f t="array" ref="AO123">_xlfn.XLOOKUP(1,('2016 E Maize Soil VWC'!$C$2:$C$4000=$AA123)*('2016 E Maize Soil VWC'!$E$2:$E$4000=$AB123)*('2016 E Maize Soil VWC'!$F$2:$F$4000=AO$5),'2016 E Maize Soil VWC'!$G$2:$G$4000)</f>
        <v>0.18793908006286436</v>
      </c>
      <c r="AP123" s="1" cm="1">
        <f t="array" ref="AP123">_xlfn.XLOOKUP(1,('2016 E Maize Soil VWC'!$C$2:$C$4000=$AA123)*('2016 E Maize Soil VWC'!$E$2:$E$4000=$AB123)*('2016 E Maize Soil VWC'!$F$2:$F$4000=AP$5),'2016 E Maize Soil VWC'!$G$2:$G$4000)</f>
        <v>0.14435890542483587</v>
      </c>
      <c r="AQ123" s="1" cm="1">
        <f t="array" ref="AQ123">_xlfn.XLOOKUP(1,('2016 E Maize Soil VWC'!$C$2:$C$4000=$AA123)*('2016 E Maize Soil VWC'!$E$2:$E$4000=$AB123)*('2016 E Maize Soil VWC'!$F$2:$F$4000=AQ$5),'2016 E Maize Soil VWC'!$G$2:$G$4000)</f>
        <v>0.20334175622234357</v>
      </c>
      <c r="AR123" s="1" cm="1">
        <f t="array" ref="AR123">_xlfn.XLOOKUP(1,('2016 E Maize Soil VWC'!$C$2:$C$4000=$AA123)*('2016 E Maize Soil VWC'!$E$2:$E$4000=$AB123)*('2016 E Maize Soil VWC'!$F$2:$F$4000=AR$5),'2016 E Maize Soil VWC'!$G$2:$G$4000)</f>
        <v>0.22233135696690703</v>
      </c>
      <c r="AS123" s="1" cm="1">
        <f t="array" ref="AS123">_xlfn.XLOOKUP(1,('2016 E Maize Soil VWC'!$C$2:$C$4000=$AA123)*('2016 E Maize Soil VWC'!$E$2:$E$4000=$AB123)*('2016 E Maize Soil VWC'!$F$2:$F$4000=AS$5),'2016 E Maize Soil VWC'!$G$2:$G$4000)</f>
        <v>0.20234432264788166</v>
      </c>
      <c r="AT123" s="1" cm="1">
        <f t="array" ref="AT123">_xlfn.XLOOKUP(1,('2016 E Maize Soil VWC'!$C$2:$C$4000=$AA123)*('2016 E Maize Soil VWC'!$E$2:$E$4000=$AB123)*('2016 E Maize Soil VWC'!$F$2:$F$4000=AT$5),'2016 E Maize Soil VWC'!$G$2:$G$4000)</f>
        <v>0.15318235627584517</v>
      </c>
      <c r="AU123" s="1" cm="1">
        <f t="array" ref="AU123">_xlfn.XLOOKUP(1,('2016 E Maize Soil VWC'!$C$2:$C$4000=$AA123)*('2016 E Maize Soil VWC'!$E$2:$E$4000=$AB123)*('2016 E Maize Soil VWC'!$F$2:$F$4000=AU$5),'2016 E Maize Soil VWC'!$G$2:$G$4000)</f>
        <v>0.18051587249908047</v>
      </c>
      <c r="AV123" s="1" cm="1">
        <f t="array" ref="AV123">_xlfn.XLOOKUP(1,('2016 E Maize Soil VWC'!$C$2:$C$4000=$AA123)*('2016 E Maize Soil VWC'!$E$2:$E$4000=$AB123)*('2016 E Maize Soil VWC'!$F$2:$F$4000=AV$5),'2016 E Maize Soil VWC'!$G$2:$G$4000)</f>
        <v>0.17831000978632811</v>
      </c>
      <c r="AW123" s="1">
        <f>Z123</f>
        <v>215</v>
      </c>
      <c r="AX123" s="15">
        <f>AA123</f>
        <v>42584</v>
      </c>
      <c r="AY123" s="1">
        <f>1400*AVERAGE(AG123:AH129)+100*AVERAGE(AG130:AH130)</f>
        <v>445.63454025825661</v>
      </c>
      <c r="AZ123" s="1">
        <f>1400*AVERAGE(AC123:AF129,AI123:AL129)+100*AVERAGE(AC130:AF130,AI130:AL130)</f>
        <v>458.35753456702736</v>
      </c>
      <c r="BA123" s="1">
        <f>1400*AVERAGE(AQ123:AR129)+100*AVERAGE(AQ130:AR130)</f>
        <v>448.34886946565314</v>
      </c>
      <c r="BB123" s="1">
        <f>1400*AVERAGE(AM123:AP129,AS123:AV129)+100*AVERAGE(AM130:AP130,AS130:AV130)</f>
        <v>440.33287504778917</v>
      </c>
      <c r="BC123" s="1">
        <f>AVERAGE(AC123:AD134)*2400</f>
        <v>743.23246202503458</v>
      </c>
      <c r="BD123" s="1">
        <f>AVERAGE(AE123:AF134)*2400</f>
        <v>702.86660827045046</v>
      </c>
      <c r="BE123" s="1">
        <f>AVERAGE(AG123:AH132)*2000</f>
        <v>620.27261070700115</v>
      </c>
      <c r="BF123" s="1">
        <f>AVERAGE(AI123:AJ134)*2400</f>
        <v>729.77330340849562</v>
      </c>
      <c r="BG123" s="1">
        <f>AVERAGE(AK123:AL134)*2400</f>
        <v>726.99832879498865</v>
      </c>
      <c r="BH123" s="1">
        <f>AVERAGE(AM123:AN134)*2400</f>
        <v>720.3123405764793</v>
      </c>
      <c r="BI123" s="1">
        <f>AVERAGE(AO123:AP134)*2400</f>
        <v>692.43221876233054</v>
      </c>
      <c r="BJ123" s="1">
        <f>AVERAGE(AQ123:AR132)*2000</f>
        <v>618.49647859825905</v>
      </c>
      <c r="BK123" s="1">
        <f>AVERAGE(AS123:AT134)*2400</f>
        <v>736.1759161485561</v>
      </c>
      <c r="BL123" s="1">
        <f>AVERAGE(AU123:AV134)*2400</f>
        <v>718.04291640826148</v>
      </c>
    </row>
    <row r="124" spans="25:64" x14ac:dyDescent="0.25">
      <c r="AA124" s="18">
        <f t="shared" ref="AA124:AA134" si="21">AA123</f>
        <v>42584</v>
      </c>
      <c r="AB124" s="1">
        <f t="shared" ref="AB124:AB134" si="22">AB123+20</f>
        <v>30</v>
      </c>
      <c r="AC124" s="1" cm="1">
        <f t="array" ref="AC124">_xlfn.XLOOKUP(1,('2016 E Maize Soil VWC'!$C$2:$C$4000=$AA124)*('2016 E Maize Soil VWC'!$E$2:$E$4000=$AB124)*('2016 E Maize Soil VWC'!$F$2:$F$4000=AC$5),'2016 E Maize Soil VWC'!$G$2:$G$4000)</f>
        <v>0.32113430764515088</v>
      </c>
      <c r="AD124" s="1" cm="1">
        <f t="array" ref="AD124">_xlfn.XLOOKUP(1,('2016 E Maize Soil VWC'!$C$2:$C$4000=$AA124)*('2016 E Maize Soil VWC'!$E$2:$E$4000=$AB124)*('2016 E Maize Soil VWC'!$F$2:$F$4000=AD$5),'2016 E Maize Soil VWC'!$G$2:$G$4000)</f>
        <v>0.32486673094285368</v>
      </c>
      <c r="AE124" s="1" cm="1">
        <f t="array" ref="AE124">_xlfn.XLOOKUP(1,('2016 E Maize Soil VWC'!$C$2:$C$4000=$AA124)*('2016 E Maize Soil VWC'!$E$2:$E$4000=$AB124)*('2016 E Maize Soil VWC'!$F$2:$F$4000=AE$5),'2016 E Maize Soil VWC'!$G$2:$G$4000)</f>
        <v>0.2815431427265736</v>
      </c>
      <c r="AF124" s="1" cm="1">
        <f t="array" ref="AF124">_xlfn.XLOOKUP(1,('2016 E Maize Soil VWC'!$C$2:$C$4000=$AA124)*('2016 E Maize Soil VWC'!$E$2:$E$4000=$AB124)*('2016 E Maize Soil VWC'!$F$2:$F$4000=AF$5),'2016 E Maize Soil VWC'!$G$2:$G$4000)</f>
        <v>0.28635178623895141</v>
      </c>
      <c r="AG124" s="1" cm="1">
        <f t="array" ref="AG124">_xlfn.XLOOKUP(1,('2016 E Maize Soil VWC'!$C$2:$C$4000=$AA124)*('2016 E Maize Soil VWC'!$E$2:$E$4000=$AB124)*('2016 E Maize Soil VWC'!$F$2:$F$4000=AG$5),'2016 E Maize Soil VWC'!$G$2:$G$4000)</f>
        <v>0.28561904056087478</v>
      </c>
      <c r="AH124" s="1" cm="1">
        <f t="array" ref="AH124">_xlfn.XLOOKUP(1,('2016 E Maize Soil VWC'!$C$2:$C$4000=$AA124)*('2016 E Maize Soil VWC'!$E$2:$E$4000=$AB124)*('2016 E Maize Soil VWC'!$F$2:$F$4000=AH$5),'2016 E Maize Soil VWC'!$G$2:$G$4000)</f>
        <v>0.28715322682434768</v>
      </c>
      <c r="AI124" s="1" cm="1">
        <f t="array" ref="AI124">_xlfn.XLOOKUP(1,('2016 E Maize Soil VWC'!$C$2:$C$4000=$AA124)*('2016 E Maize Soil VWC'!$E$2:$E$4000=$AB124)*('2016 E Maize Soil VWC'!$F$2:$F$4000=AI$5),'2016 E Maize Soil VWC'!$G$2:$G$4000)</f>
        <v>0.29326707357579951</v>
      </c>
      <c r="AJ124" s="1" cm="1">
        <f t="array" ref="AJ124">_xlfn.XLOOKUP(1,('2016 E Maize Soil VWC'!$C$2:$C$4000=$AA124)*('2016 E Maize Soil VWC'!$E$2:$E$4000=$AB124)*('2016 E Maize Soil VWC'!$F$2:$F$4000=AJ$5),'2016 E Maize Soil VWC'!$G$2:$G$4000)</f>
        <v>0.28719902342922748</v>
      </c>
      <c r="AK124" s="1" cm="1">
        <f t="array" ref="AK124">_xlfn.XLOOKUP(1,('2016 E Maize Soil VWC'!$C$2:$C$4000=$AA124)*('2016 E Maize Soil VWC'!$E$2:$E$4000=$AB124)*('2016 E Maize Soil VWC'!$F$2:$F$4000=AK$5),'2016 E Maize Soil VWC'!$G$2:$G$4000)</f>
        <v>0.2782686854776687</v>
      </c>
      <c r="AL124" s="1" cm="1">
        <f t="array" ref="AL124">_xlfn.XLOOKUP(1,('2016 E Maize Soil VWC'!$C$2:$C$4000=$AA124)*('2016 E Maize Soil VWC'!$E$2:$E$4000=$AB124)*('2016 E Maize Soil VWC'!$F$2:$F$4000=AL$5),'2016 E Maize Soil VWC'!$G$2:$G$4000)</f>
        <v>0.32266849390862379</v>
      </c>
      <c r="AM124" s="1" cm="1">
        <f t="array" ref="AM124">_xlfn.XLOOKUP(1,('2016 E Maize Soil VWC'!$C$2:$C$4000=$AA124)*('2016 E Maize Soil VWC'!$E$2:$E$4000=$AB124)*('2016 E Maize Soil VWC'!$F$2:$F$4000=AM$5),'2016 E Maize Soil VWC'!$G$2:$G$4000)</f>
        <v>0.2642778226868932</v>
      </c>
      <c r="AN124" s="1" cm="1">
        <f t="array" ref="AN124">_xlfn.XLOOKUP(1,('2016 E Maize Soil VWC'!$C$2:$C$4000=$AA124)*('2016 E Maize Soil VWC'!$E$2:$E$4000=$AB124)*('2016 E Maize Soil VWC'!$F$2:$F$4000=AN$5),'2016 E Maize Soil VWC'!$G$2:$G$4000)</f>
        <v>0.24914204477412311</v>
      </c>
      <c r="AO124" s="1" cm="1">
        <f t="array" ref="AO124">_xlfn.XLOOKUP(1,('2016 E Maize Soil VWC'!$C$2:$C$4000=$AA124)*('2016 E Maize Soil VWC'!$E$2:$E$4000=$AB124)*('2016 E Maize Soil VWC'!$F$2:$F$4000=AO$5),'2016 E Maize Soil VWC'!$G$2:$G$4000)</f>
        <v>0.20971116797262501</v>
      </c>
      <c r="AP124" s="1" cm="1">
        <f t="array" ref="AP124">_xlfn.XLOOKUP(1,('2016 E Maize Soil VWC'!$C$2:$C$4000=$AA124)*('2016 E Maize Soil VWC'!$E$2:$E$4000=$AB124)*('2016 E Maize Soil VWC'!$F$2:$F$4000=AP$5),'2016 E Maize Soil VWC'!$G$2:$G$4000)</f>
        <v>0.20794799868475317</v>
      </c>
      <c r="AQ124" s="1" cm="1">
        <f t="array" ref="AQ124">_xlfn.XLOOKUP(1,('2016 E Maize Soil VWC'!$C$2:$C$4000=$AA124)*('2016 E Maize Soil VWC'!$E$2:$E$4000=$AB124)*('2016 E Maize Soil VWC'!$F$2:$F$4000=AQ$5),'2016 E Maize Soil VWC'!$G$2:$G$4000)</f>
        <v>0.30512839423966476</v>
      </c>
      <c r="AR124" s="1" cm="1">
        <f t="array" ref="AR124">_xlfn.XLOOKUP(1,('2016 E Maize Soil VWC'!$C$2:$C$4000=$AA124)*('2016 E Maize Soil VWC'!$E$2:$E$4000=$AB124)*('2016 E Maize Soil VWC'!$F$2:$F$4000=AR$5),'2016 E Maize Soil VWC'!$G$2:$G$4000)</f>
        <v>0.31241005441555114</v>
      </c>
      <c r="AS124" s="1" cm="1">
        <f t="array" ref="AS124">_xlfn.XLOOKUP(1,('2016 E Maize Soil VWC'!$C$2:$C$4000=$AA124)*('2016 E Maize Soil VWC'!$E$2:$E$4000=$AB124)*('2016 E Maize Soil VWC'!$F$2:$F$4000=AS$5),'2016 E Maize Soil VWC'!$G$2:$G$4000)</f>
        <v>0.32095112122563174</v>
      </c>
      <c r="AT124" s="1" cm="1">
        <f t="array" ref="AT124">_xlfn.XLOOKUP(1,('2016 E Maize Soil VWC'!$C$2:$C$4000=$AA124)*('2016 E Maize Soil VWC'!$E$2:$E$4000=$AB124)*('2016 E Maize Soil VWC'!$F$2:$F$4000=AT$5),'2016 E Maize Soil VWC'!$G$2:$G$4000)</f>
        <v>0.2950302428636713</v>
      </c>
      <c r="AU124" s="1" cm="1">
        <f t="array" ref="AU124">_xlfn.XLOOKUP(1,('2016 E Maize Soil VWC'!$C$2:$C$4000=$AA124)*('2016 E Maize Soil VWC'!$E$2:$E$4000=$AB124)*('2016 E Maize Soil VWC'!$F$2:$F$4000=AU$5),'2016 E Maize Soil VWC'!$G$2:$G$4000)</f>
        <v>0.27696348223859474</v>
      </c>
      <c r="AV124" s="1" cm="1">
        <f t="array" ref="AV124">_xlfn.XLOOKUP(1,('2016 E Maize Soil VWC'!$C$2:$C$4000=$AA124)*('2016 E Maize Soil VWC'!$E$2:$E$4000=$AB124)*('2016 E Maize Soil VWC'!$F$2:$F$4000=AV$5),'2016 E Maize Soil VWC'!$G$2:$G$4000)</f>
        <v>0.28211560028757093</v>
      </c>
    </row>
    <row r="125" spans="25:64" x14ac:dyDescent="0.25">
      <c r="AA125" s="18">
        <f t="shared" si="21"/>
        <v>42584</v>
      </c>
      <c r="AB125" s="1">
        <f t="shared" si="22"/>
        <v>50</v>
      </c>
      <c r="AC125" s="1" cm="1">
        <f t="array" ref="AC125">_xlfn.XLOOKUP(1,('2016 E Maize Soil VWC'!$C$2:$C$4000=$AA125)*('2016 E Maize Soil VWC'!$E$2:$E$4000=$AB125)*('2016 E Maize Soil VWC'!$F$2:$F$4000=AC$5),'2016 E Maize Soil VWC'!$G$2:$G$4000)</f>
        <v>0.33537705176276517</v>
      </c>
      <c r="AD125" s="1" cm="1">
        <f t="array" ref="AD125">_xlfn.XLOOKUP(1,('2016 E Maize Soil VWC'!$C$2:$C$4000=$AA125)*('2016 E Maize Soil VWC'!$E$2:$E$4000=$AB125)*('2016 E Maize Soil VWC'!$F$2:$F$4000=AD$5),'2016 E Maize Soil VWC'!$G$2:$G$4000)</f>
        <v>0.3407352545337004</v>
      </c>
      <c r="AE125" s="1" cm="1">
        <f t="array" ref="AE125">_xlfn.XLOOKUP(1,('2016 E Maize Soil VWC'!$C$2:$C$4000=$AA125)*('2016 E Maize Soil VWC'!$E$2:$E$4000=$AB125)*('2016 E Maize Soil VWC'!$F$2:$F$4000=AE$5),'2016 E Maize Soil VWC'!$G$2:$G$4000)</f>
        <v>0.34185727135325522</v>
      </c>
      <c r="AF125" s="1" cm="1">
        <f t="array" ref="AF125">_xlfn.XLOOKUP(1,('2016 E Maize Soil VWC'!$C$2:$C$4000=$AA125)*('2016 E Maize Soil VWC'!$E$2:$E$4000=$AB125)*('2016 E Maize Soil VWC'!$F$2:$F$4000=AF$5),'2016 E Maize Soil VWC'!$G$2:$G$4000)</f>
        <v>0.32287457863058289</v>
      </c>
      <c r="AG125" s="1" cm="1">
        <f t="array" ref="AG125">_xlfn.XLOOKUP(1,('2016 E Maize Soil VWC'!$C$2:$C$4000=$AA125)*('2016 E Maize Soil VWC'!$E$2:$E$4000=$AB125)*('2016 E Maize Soil VWC'!$F$2:$F$4000=AG$5),'2016 E Maize Soil VWC'!$G$2:$G$4000)</f>
        <v>0.30162495396636091</v>
      </c>
      <c r="AH125" s="1" cm="1">
        <f t="array" ref="AH125">_xlfn.XLOOKUP(1,('2016 E Maize Soil VWC'!$C$2:$C$4000=$AA125)*('2016 E Maize Soil VWC'!$E$2:$E$4000=$AB125)*('2016 E Maize Soil VWC'!$F$2:$F$4000=AH$5),'2016 E Maize Soil VWC'!$G$2:$G$4000)</f>
        <v>0.30977674963496327</v>
      </c>
      <c r="AI125" s="1" cm="1">
        <f t="array" ref="AI125">_xlfn.XLOOKUP(1,('2016 E Maize Soil VWC'!$C$2:$C$4000=$AA125)*('2016 E Maize Soil VWC'!$E$2:$E$4000=$AB125)*('2016 E Maize Soil VWC'!$F$2:$F$4000=AI$5),'2016 E Maize Soil VWC'!$G$2:$G$4000)</f>
        <v>0.33114086581138469</v>
      </c>
      <c r="AJ125" s="1" cm="1">
        <f t="array" ref="AJ125">_xlfn.XLOOKUP(1,('2016 E Maize Soil VWC'!$C$2:$C$4000=$AA125)*('2016 E Maize Soil VWC'!$E$2:$E$4000=$AB125)*('2016 E Maize Soil VWC'!$F$2:$F$4000=AJ$5),'2016 E Maize Soil VWC'!$G$2:$G$4000)</f>
        <v>0.31325729160582721</v>
      </c>
      <c r="AK125" s="1" cm="1">
        <f t="array" ref="AK125">_xlfn.XLOOKUP(1,('2016 E Maize Soil VWC'!$C$2:$C$4000=$AA125)*('2016 E Maize Soil VWC'!$E$2:$E$4000=$AB125)*('2016 E Maize Soil VWC'!$F$2:$F$4000=AK$5),'2016 E Maize Soil VWC'!$G$2:$G$4000)</f>
        <v>0.30109829301024338</v>
      </c>
      <c r="AL125" s="1" cm="1">
        <f t="array" ref="AL125">_xlfn.XLOOKUP(1,('2016 E Maize Soil VWC'!$C$2:$C$4000=$AA125)*('2016 E Maize Soil VWC'!$E$2:$E$4000=$AB125)*('2016 E Maize Soil VWC'!$F$2:$F$4000=AL$5),'2016 E Maize Soil VWC'!$G$2:$G$4000)</f>
        <v>0.35071891439749436</v>
      </c>
      <c r="AM125" s="1" cm="1">
        <f t="array" ref="AM125">_xlfn.XLOOKUP(1,('2016 E Maize Soil VWC'!$C$2:$C$4000=$AA125)*('2016 E Maize Soil VWC'!$E$2:$E$4000=$AB125)*('2016 E Maize Soil VWC'!$F$2:$F$4000=AM$5),'2016 E Maize Soil VWC'!$G$2:$G$4000)</f>
        <v>0.33581211950912315</v>
      </c>
      <c r="AN125" s="1" cm="1">
        <f t="array" ref="AN125">_xlfn.XLOOKUP(1,('2016 E Maize Soil VWC'!$C$2:$C$4000=$AA125)*('2016 E Maize Soil VWC'!$E$2:$E$4000=$AB125)*('2016 E Maize Soil VWC'!$F$2:$F$4000=AN$5),'2016 E Maize Soil VWC'!$G$2:$G$4000)</f>
        <v>0.3238821039379382</v>
      </c>
      <c r="AO125" s="1" cm="1">
        <f t="array" ref="AO125">_xlfn.XLOOKUP(1,('2016 E Maize Soil VWC'!$C$2:$C$4000=$AA125)*('2016 E Maize Soil VWC'!$E$2:$E$4000=$AB125)*('2016 E Maize Soil VWC'!$F$2:$F$4000=AO$5),'2016 E Maize Soil VWC'!$G$2:$G$4000)</f>
        <v>0.30446434346890783</v>
      </c>
      <c r="AP125" s="1" cm="1">
        <f t="array" ref="AP125">_xlfn.XLOOKUP(1,('2016 E Maize Soil VWC'!$C$2:$C$4000=$AA125)*('2016 E Maize Soil VWC'!$E$2:$E$4000=$AB125)*('2016 E Maize Soil VWC'!$F$2:$F$4000=AP$5),'2016 E Maize Soil VWC'!$G$2:$G$4000)</f>
        <v>0.31197498666919316</v>
      </c>
      <c r="AQ125" s="1" cm="1">
        <f t="array" ref="AQ125">_xlfn.XLOOKUP(1,('2016 E Maize Soil VWC'!$C$2:$C$4000=$AA125)*('2016 E Maize Soil VWC'!$E$2:$E$4000=$AB125)*('2016 E Maize Soil VWC'!$F$2:$F$4000=AQ$5),'2016 E Maize Soil VWC'!$G$2:$G$4000)</f>
        <v>0.32353862940133976</v>
      </c>
      <c r="AR125" s="1" cm="1">
        <f t="array" ref="AR125">_xlfn.XLOOKUP(1,('2016 E Maize Soil VWC'!$C$2:$C$4000=$AA125)*('2016 E Maize Soil VWC'!$E$2:$E$4000=$AB125)*('2016 E Maize Soil VWC'!$F$2:$F$4000=AR$5),'2016 E Maize Soil VWC'!$G$2:$G$4000)</f>
        <v>0.30705185164461585</v>
      </c>
      <c r="AS125" s="1" cm="1">
        <f t="array" ref="AS125">_xlfn.XLOOKUP(1,('2016 E Maize Soil VWC'!$C$2:$C$4000=$AA125)*('2016 E Maize Soil VWC'!$E$2:$E$4000=$AB125)*('2016 E Maize Soil VWC'!$F$2:$F$4000=AS$5),'2016 E Maize Soil VWC'!$G$2:$G$4000)</f>
        <v>0.34368913554844677</v>
      </c>
      <c r="AT125" s="1" cm="1">
        <f t="array" ref="AT125">_xlfn.XLOOKUP(1,('2016 E Maize Soil VWC'!$C$2:$C$4000=$AA125)*('2016 E Maize Soil VWC'!$E$2:$E$4000=$AB125)*('2016 E Maize Soil VWC'!$F$2:$F$4000=AT$5),'2016 E Maize Soil VWC'!$G$2:$G$4000)</f>
        <v>0.32823278140151813</v>
      </c>
      <c r="AU125" s="1" cm="1">
        <f t="array" ref="AU125">_xlfn.XLOOKUP(1,('2016 E Maize Soil VWC'!$C$2:$C$4000=$AA125)*('2016 E Maize Soil VWC'!$E$2:$E$4000=$AB125)*('2016 E Maize Soil VWC'!$F$2:$F$4000=AU$5),'2016 E Maize Soil VWC'!$G$2:$G$4000)</f>
        <v>0.31101325796671758</v>
      </c>
      <c r="AV125" s="1" cm="1">
        <f t="array" ref="AV125">_xlfn.XLOOKUP(1,('2016 E Maize Soil VWC'!$C$2:$C$4000=$AA125)*('2016 E Maize Soil VWC'!$E$2:$E$4000=$AB125)*('2016 E Maize Soil VWC'!$F$2:$F$4000=AV$5),'2016 E Maize Soil VWC'!$G$2:$G$4000)</f>
        <v>0.3307515946699065</v>
      </c>
    </row>
    <row r="126" spans="25:64" x14ac:dyDescent="0.25">
      <c r="AA126" s="18">
        <f t="shared" si="21"/>
        <v>42584</v>
      </c>
      <c r="AB126" s="1">
        <f t="shared" si="22"/>
        <v>70</v>
      </c>
      <c r="AC126" s="1" cm="1">
        <f t="array" ref="AC126">_xlfn.XLOOKUP(1,('2016 E Maize Soil VWC'!$C$2:$C$4000=$AA126)*('2016 E Maize Soil VWC'!$E$2:$E$4000=$AB126)*('2016 E Maize Soil VWC'!$F$2:$F$4000=AC$5),'2016 E Maize Soil VWC'!$G$2:$G$4000)</f>
        <v>0.33441532306028959</v>
      </c>
      <c r="AD126" s="1" cm="1">
        <f t="array" ref="AD126">_xlfn.XLOOKUP(1,('2016 E Maize Soil VWC'!$C$2:$C$4000=$AA126)*('2016 E Maize Soil VWC'!$E$2:$E$4000=$AB126)*('2016 E Maize Soil VWC'!$F$2:$F$4000=AD$5),'2016 E Maize Soil VWC'!$G$2:$G$4000)</f>
        <v>0.34572708446559741</v>
      </c>
      <c r="AE126" s="1" cm="1">
        <f t="array" ref="AE126">_xlfn.XLOOKUP(1,('2016 E Maize Soil VWC'!$C$2:$C$4000=$AA126)*('2016 E Maize Soil VWC'!$E$2:$E$4000=$AB126)*('2016 E Maize Soil VWC'!$F$2:$F$4000=AE$5),'2016 E Maize Soil VWC'!$G$2:$G$4000)</f>
        <v>0.33496488231884708</v>
      </c>
      <c r="AF126" s="1" cm="1">
        <f t="array" ref="AF126">_xlfn.XLOOKUP(1,('2016 E Maize Soil VWC'!$C$2:$C$4000=$AA126)*('2016 E Maize Soil VWC'!$E$2:$E$4000=$AB126)*('2016 E Maize Soil VWC'!$F$2:$F$4000=AF$5),'2016 E Maize Soil VWC'!$G$2:$G$4000)</f>
        <v>0.32988145917719053</v>
      </c>
      <c r="AG126" s="1" cm="1">
        <f t="array" ref="AG126">_xlfn.XLOOKUP(1,('2016 E Maize Soil VWC'!$C$2:$C$4000=$AA126)*('2016 E Maize Soil VWC'!$E$2:$E$4000=$AB126)*('2016 E Maize Soil VWC'!$F$2:$F$4000=AG$5),'2016 E Maize Soil VWC'!$G$2:$G$4000)</f>
        <v>0.29951831014189062</v>
      </c>
      <c r="AH126" s="1" cm="1">
        <f t="array" ref="AH126">_xlfn.XLOOKUP(1,('2016 E Maize Soil VWC'!$C$2:$C$4000=$AA126)*('2016 E Maize Soil VWC'!$E$2:$E$4000=$AB126)*('2016 E Maize Soil VWC'!$F$2:$F$4000=AH$5),'2016 E Maize Soil VWC'!$G$2:$G$4000)</f>
        <v>0.31250164762531074</v>
      </c>
      <c r="AI126" s="1" cm="1">
        <f t="array" ref="AI126">_xlfn.XLOOKUP(1,('2016 E Maize Soil VWC'!$C$2:$C$4000=$AA126)*('2016 E Maize Soil VWC'!$E$2:$E$4000=$AB126)*('2016 E Maize Soil VWC'!$F$2:$F$4000=AI$5),'2016 E Maize Soil VWC'!$G$2:$G$4000)</f>
        <v>0.32878234066007561</v>
      </c>
      <c r="AJ126" s="1" cm="1">
        <f t="array" ref="AJ126">_xlfn.XLOOKUP(1,('2016 E Maize Soil VWC'!$C$2:$C$4000=$AA126)*('2016 E Maize Soil VWC'!$E$2:$E$4000=$AB126)*('2016 E Maize Soil VWC'!$F$2:$F$4000=AJ$5),'2016 E Maize Soil VWC'!$G$2:$G$4000)</f>
        <v>0.32214183295250626</v>
      </c>
      <c r="AK126" s="1" cm="1">
        <f t="array" ref="AK126">_xlfn.XLOOKUP(1,('2016 E Maize Soil VWC'!$C$2:$C$4000=$AA126)*('2016 E Maize Soil VWC'!$E$2:$E$4000=$AB126)*('2016 E Maize Soil VWC'!$F$2:$F$4000=AK$5),'2016 E Maize Soil VWC'!$G$2:$G$4000)</f>
        <v>0.30975385133252342</v>
      </c>
      <c r="AL126" s="1" cm="1">
        <f t="array" ref="AL126">_xlfn.XLOOKUP(1,('2016 E Maize Soil VWC'!$C$2:$C$4000=$AA126)*('2016 E Maize Soil VWC'!$E$2:$E$4000=$AB126)*('2016 E Maize Soil VWC'!$F$2:$F$4000=AL$5),'2016 E Maize Soil VWC'!$G$2:$G$4000)</f>
        <v>0.34838328754862513</v>
      </c>
      <c r="AM126" s="1" cm="1">
        <f t="array" ref="AM126">_xlfn.XLOOKUP(1,('2016 E Maize Soil VWC'!$C$2:$C$4000=$AA126)*('2016 E Maize Soil VWC'!$E$2:$E$4000=$AB126)*('2016 E Maize Soil VWC'!$F$2:$F$4000=AM$5),'2016 E Maize Soil VWC'!$G$2:$G$4000)</f>
        <v>0.32823278140151813</v>
      </c>
      <c r="AN126" s="1" cm="1">
        <f t="array" ref="AN126">_xlfn.XLOOKUP(1,('2016 E Maize Soil VWC'!$C$2:$C$4000=$AA126)*('2016 E Maize Soil VWC'!$E$2:$E$4000=$AB126)*('2016 E Maize Soil VWC'!$F$2:$F$4000=AN$5),'2016 E Maize Soil VWC'!$G$2:$G$4000)</f>
        <v>0.32335544298182062</v>
      </c>
      <c r="AO126" s="1" cm="1">
        <f t="array" ref="AO126">_xlfn.XLOOKUP(1,('2016 E Maize Soil VWC'!$C$2:$C$4000=$AA126)*('2016 E Maize Soil VWC'!$E$2:$E$4000=$AB126)*('2016 E Maize Soil VWC'!$F$2:$F$4000=AO$5),'2016 E Maize Soil VWC'!$G$2:$G$4000)</f>
        <v>0.3189818672158008</v>
      </c>
      <c r="AP126" s="1" cm="1">
        <f t="array" ref="AP126">_xlfn.XLOOKUP(1,('2016 E Maize Soil VWC'!$C$2:$C$4000=$AA126)*('2016 E Maize Soil VWC'!$E$2:$E$4000=$AB126)*('2016 E Maize Soil VWC'!$F$2:$F$4000=AP$5),'2016 E Maize Soil VWC'!$G$2:$G$4000)</f>
        <v>0.33157593355774267</v>
      </c>
      <c r="AQ126" s="1" cm="1">
        <f t="array" ref="AQ126">_xlfn.XLOOKUP(1,('2016 E Maize Soil VWC'!$C$2:$C$4000=$AA126)*('2016 E Maize Soil VWC'!$E$2:$E$4000=$AB126)*('2016 E Maize Soil VWC'!$F$2:$F$4000=AQ$5),'2016 E Maize Soil VWC'!$G$2:$G$4000)</f>
        <v>0.30350261476643225</v>
      </c>
      <c r="AR126" s="1" cm="1">
        <f t="array" ref="AR126">_xlfn.XLOOKUP(1,('2016 E Maize Soil VWC'!$C$2:$C$4000=$AA126)*('2016 E Maize Soil VWC'!$E$2:$E$4000=$AB126)*('2016 E Maize Soil VWC'!$F$2:$F$4000=AR$5),'2016 E Maize Soil VWC'!$G$2:$G$4000)</f>
        <v>0.30597563142994083</v>
      </c>
      <c r="AS126" s="1" cm="1">
        <f t="array" ref="AS126">_xlfn.XLOOKUP(1,('2016 E Maize Soil VWC'!$C$2:$C$4000=$AA126)*('2016 E Maize Soil VWC'!$E$2:$E$4000=$AB126)*('2016 E Maize Soil VWC'!$F$2:$F$4000=AS$5),'2016 E Maize Soil VWC'!$G$2:$G$4000)</f>
        <v>0.32621773078680744</v>
      </c>
      <c r="AT126" s="1" cm="1">
        <f t="array" ref="AT126">_xlfn.XLOOKUP(1,('2016 E Maize Soil VWC'!$C$2:$C$4000=$AA126)*('2016 E Maize Soil VWC'!$E$2:$E$4000=$AB126)*('2016 E Maize Soil VWC'!$F$2:$F$4000=AT$5),'2016 E Maize Soil VWC'!$G$2:$G$4000)</f>
        <v>0.31238715611311124</v>
      </c>
      <c r="AU126" s="1" cm="1">
        <f t="array" ref="AU126">_xlfn.XLOOKUP(1,('2016 E Maize Soil VWC'!$C$2:$C$4000=$AA126)*('2016 E Maize Soil VWC'!$E$2:$E$4000=$AB126)*('2016 E Maize Soil VWC'!$F$2:$F$4000=AU$5),'2016 E Maize Soil VWC'!$G$2:$G$4000)</f>
        <v>0.3051970891469844</v>
      </c>
      <c r="AV126" s="1" cm="1">
        <f t="array" ref="AV126">_xlfn.XLOOKUP(1,('2016 E Maize Soil VWC'!$C$2:$C$4000=$AA126)*('2016 E Maize Soil VWC'!$E$2:$E$4000=$AB126)*('2016 E Maize Soil VWC'!$F$2:$F$4000=AV$5),'2016 E Maize Soil VWC'!$G$2:$G$4000)</f>
        <v>0.31669203697181136</v>
      </c>
    </row>
    <row r="127" spans="25:64" x14ac:dyDescent="0.25">
      <c r="AA127" s="18">
        <f t="shared" si="21"/>
        <v>42584</v>
      </c>
      <c r="AB127" s="1">
        <f t="shared" si="22"/>
        <v>90</v>
      </c>
      <c r="AC127" s="1" cm="1">
        <f t="array" ref="AC127">_xlfn.XLOOKUP(1,('2016 E Maize Soil VWC'!$C$2:$C$4000=$AA127)*('2016 E Maize Soil VWC'!$E$2:$E$4000=$AB127)*('2016 E Maize Soil VWC'!$F$2:$F$4000=AC$5),'2016 E Maize Soil VWC'!$G$2:$G$4000)</f>
        <v>0.34146800021177703</v>
      </c>
      <c r="AD127" s="1" cm="1">
        <f t="array" ref="AD127">_xlfn.XLOOKUP(1,('2016 E Maize Soil VWC'!$C$2:$C$4000=$AA127)*('2016 E Maize Soil VWC'!$E$2:$E$4000=$AB127)*('2016 E Maize Soil VWC'!$F$2:$F$4000=AD$5),'2016 E Maize Soil VWC'!$G$2:$G$4000)</f>
        <v>0.34378072875820637</v>
      </c>
      <c r="AE127" s="1" cm="1">
        <f t="array" ref="AE127">_xlfn.XLOOKUP(1,('2016 E Maize Soil VWC'!$C$2:$C$4000=$AA127)*('2016 E Maize Soil VWC'!$E$2:$E$4000=$AB127)*('2016 E Maize Soil VWC'!$F$2:$F$4000=AE$5),'2016 E Maize Soil VWC'!$G$2:$G$4000)</f>
        <v>0.32772901874784044</v>
      </c>
      <c r="AF127" s="1" cm="1">
        <f t="array" ref="AF127">_xlfn.XLOOKUP(1,('2016 E Maize Soil VWC'!$C$2:$C$4000=$AA127)*('2016 E Maize Soil VWC'!$E$2:$E$4000=$AB127)*('2016 E Maize Soil VWC'!$F$2:$F$4000=AF$5),'2016 E Maize Soil VWC'!$G$2:$G$4000)</f>
        <v>0.32992725578207027</v>
      </c>
      <c r="AG127" s="1" cm="1">
        <f t="array" ref="AG127">_xlfn.XLOOKUP(1,('2016 E Maize Soil VWC'!$C$2:$C$4000=$AA127)*('2016 E Maize Soil VWC'!$E$2:$E$4000=$AB127)*('2016 E Maize Soil VWC'!$F$2:$F$4000=AG$5),'2016 E Maize Soil VWC'!$G$2:$G$4000)</f>
        <v>0.31689812169377041</v>
      </c>
      <c r="AH127" s="1" cm="1">
        <f t="array" ref="AH127">_xlfn.XLOOKUP(1,('2016 E Maize Soil VWC'!$C$2:$C$4000=$AA127)*('2016 E Maize Soil VWC'!$E$2:$E$4000=$AB127)*('2016 E Maize Soil VWC'!$F$2:$F$4000=AH$5),'2016 E Maize Soil VWC'!$G$2:$G$4000)</f>
        <v>0.31174600364479421</v>
      </c>
      <c r="AI127" s="1" cm="1">
        <f t="array" ref="AI127">_xlfn.XLOOKUP(1,('2016 E Maize Soil VWC'!$C$2:$C$4000=$AA127)*('2016 E Maize Soil VWC'!$E$2:$E$4000=$AB127)*('2016 E Maize Soil VWC'!$F$2:$F$4000=AI$5),'2016 E Maize Soil VWC'!$G$2:$G$4000)</f>
        <v>0.32898842538203465</v>
      </c>
      <c r="AJ127" s="1" cm="1">
        <f t="array" ref="AJ127">_xlfn.XLOOKUP(1,('2016 E Maize Soil VWC'!$C$2:$C$4000=$AA127)*('2016 E Maize Soil VWC'!$E$2:$E$4000=$AB127)*('2016 E Maize Soil VWC'!$F$2:$F$4000=AJ$5),'2016 E Maize Soil VWC'!$G$2:$G$4000)</f>
        <v>0.33169042506994217</v>
      </c>
      <c r="AK127" s="1" cm="1">
        <f t="array" ref="AK127">_xlfn.XLOOKUP(1,('2016 E Maize Soil VWC'!$C$2:$C$4000=$AA127)*('2016 E Maize Soil VWC'!$E$2:$E$4000=$AB127)*('2016 E Maize Soil VWC'!$F$2:$F$4000=AK$5),'2016 E Maize Soil VWC'!$G$2:$G$4000)</f>
        <v>0.32601164606484839</v>
      </c>
      <c r="AL127" s="1" cm="1">
        <f t="array" ref="AL127">_xlfn.XLOOKUP(1,('2016 E Maize Soil VWC'!$C$2:$C$4000=$AA127)*('2016 E Maize Soil VWC'!$E$2:$E$4000=$AB127)*('2016 E Maize Soil VWC'!$F$2:$F$4000=AL$5),'2016 E Maize Soil VWC'!$G$2:$G$4000)</f>
        <v>0.33292693340169649</v>
      </c>
      <c r="AM127" s="1" cm="1">
        <f t="array" ref="AM127">_xlfn.XLOOKUP(1,('2016 E Maize Soil VWC'!$C$2:$C$4000=$AA127)*('2016 E Maize Soil VWC'!$E$2:$E$4000=$AB127)*('2016 E Maize Soil VWC'!$F$2:$F$4000=AM$5),'2016 E Maize Soil VWC'!$G$2:$G$4000)</f>
        <v>0.31776825718648644</v>
      </c>
      <c r="AN127" s="1" cm="1">
        <f t="array" ref="AN127">_xlfn.XLOOKUP(1,('2016 E Maize Soil VWC'!$C$2:$C$4000=$AA127)*('2016 E Maize Soil VWC'!$E$2:$E$4000=$AB127)*('2016 E Maize Soil VWC'!$F$2:$F$4000=AN$5),'2016 E Maize Soil VWC'!$G$2:$G$4000)</f>
        <v>0.3307057980650267</v>
      </c>
      <c r="AO127" s="1" cm="1">
        <f t="array" ref="AO127">_xlfn.XLOOKUP(1,('2016 E Maize Soil VWC'!$C$2:$C$4000=$AA127)*('2016 E Maize Soil VWC'!$E$2:$E$4000=$AB127)*('2016 E Maize Soil VWC'!$F$2:$F$4000=AO$5),'2016 E Maize Soil VWC'!$G$2:$G$4000)</f>
        <v>0.32358442600621962</v>
      </c>
      <c r="AP127" s="1" cm="1">
        <f t="array" ref="AP127">_xlfn.XLOOKUP(1,('2016 E Maize Soil VWC'!$C$2:$C$4000=$AA127)*('2016 E Maize Soil VWC'!$E$2:$E$4000=$AB127)*('2016 E Maize Soil VWC'!$F$2:$F$4000=AP$5),'2016 E Maize Soil VWC'!$G$2:$G$4000)</f>
        <v>0.32134039236710993</v>
      </c>
      <c r="AQ127" s="1" cm="1">
        <f t="array" ref="AQ127">_xlfn.XLOOKUP(1,('2016 E Maize Soil VWC'!$C$2:$C$4000=$AA127)*('2016 E Maize Soil VWC'!$E$2:$E$4000=$AB127)*('2016 E Maize Soil VWC'!$F$2:$F$4000=AQ$5),'2016 E Maize Soil VWC'!$G$2:$G$4000)</f>
        <v>0.30840285148856966</v>
      </c>
      <c r="AR127" s="1" cm="1">
        <f t="array" ref="AR127">_xlfn.XLOOKUP(1,('2016 E Maize Soil VWC'!$C$2:$C$4000=$AA127)*('2016 E Maize Soil VWC'!$E$2:$E$4000=$AB127)*('2016 E Maize Soil VWC'!$F$2:$F$4000=AR$5),'2016 E Maize Soil VWC'!$G$2:$G$4000)</f>
        <v>0.31492886768393952</v>
      </c>
      <c r="AS127" s="1" cm="1">
        <f t="array" ref="AS127">_xlfn.XLOOKUP(1,('2016 E Maize Soil VWC'!$C$2:$C$4000=$AA127)*('2016 E Maize Soil VWC'!$E$2:$E$4000=$AB127)*('2016 E Maize Soil VWC'!$F$2:$F$4000=AS$5),'2016 E Maize Soil VWC'!$G$2:$G$4000)</f>
        <v>0.3360182042310822</v>
      </c>
      <c r="AT127" s="1" cm="1">
        <f t="array" ref="AT127">_xlfn.XLOOKUP(1,('2016 E Maize Soil VWC'!$C$2:$C$4000=$AA127)*('2016 E Maize Soil VWC'!$E$2:$E$4000=$AB127)*('2016 E Maize Soil VWC'!$F$2:$F$4000=AT$5),'2016 E Maize Soil VWC'!$G$2:$G$4000)</f>
        <v>0.32770612044540054</v>
      </c>
      <c r="AU127" s="1" cm="1">
        <f t="array" ref="AU127">_xlfn.XLOOKUP(1,('2016 E Maize Soil VWC'!$C$2:$C$4000=$AA127)*('2016 E Maize Soil VWC'!$E$2:$E$4000=$AB127)*('2016 E Maize Soil VWC'!$F$2:$F$4000=AU$5),'2016 E Maize Soil VWC'!$G$2:$G$4000)</f>
        <v>0.31813463002552472</v>
      </c>
      <c r="AV127" s="1" cm="1">
        <f t="array" ref="AV127">_xlfn.XLOOKUP(1,('2016 E Maize Soil VWC'!$C$2:$C$4000=$AA127)*('2016 E Maize Soil VWC'!$E$2:$E$4000=$AB127)*('2016 E Maize Soil VWC'!$F$2:$F$4000=AV$5),'2016 E Maize Soil VWC'!$G$2:$G$4000)</f>
        <v>0.32429427338185629</v>
      </c>
    </row>
    <row r="128" spans="25:64" x14ac:dyDescent="0.25">
      <c r="AA128" s="18">
        <f t="shared" si="21"/>
        <v>42584</v>
      </c>
      <c r="AB128" s="1">
        <f t="shared" si="22"/>
        <v>110</v>
      </c>
      <c r="AC128" s="1" cm="1">
        <f t="array" ref="AC128">_xlfn.XLOOKUP(1,('2016 E Maize Soil VWC'!$C$2:$C$4000=$AA128)*('2016 E Maize Soil VWC'!$E$2:$E$4000=$AB128)*('2016 E Maize Soil VWC'!$F$2:$F$4000=AC$5),'2016 E Maize Soil VWC'!$G$2:$G$4000)</f>
        <v>0.34112452567517859</v>
      </c>
      <c r="AD128" s="1" cm="1">
        <f t="array" ref="AD128">_xlfn.XLOOKUP(1,('2016 E Maize Soil VWC'!$C$2:$C$4000=$AA128)*('2016 E Maize Soil VWC'!$E$2:$E$4000=$AB128)*('2016 E Maize Soil VWC'!$F$2:$F$4000=AD$5),'2016 E Maize Soil VWC'!$G$2:$G$4000)</f>
        <v>0.33846832259215087</v>
      </c>
      <c r="AE128" s="1" cm="1">
        <f t="array" ref="AE128">_xlfn.XLOOKUP(1,('2016 E Maize Soil VWC'!$C$2:$C$4000=$AA128)*('2016 E Maize Soil VWC'!$E$2:$E$4000=$AB128)*('2016 E Maize Soil VWC'!$F$2:$F$4000=AE$5),'2016 E Maize Soil VWC'!$G$2:$G$4000)</f>
        <v>0.32349283279646002</v>
      </c>
      <c r="AF128" s="1" cm="1">
        <f t="array" ref="AF128">_xlfn.XLOOKUP(1,('2016 E Maize Soil VWC'!$C$2:$C$4000=$AA128)*('2016 E Maize Soil VWC'!$E$2:$E$4000=$AB128)*('2016 E Maize Soil VWC'!$F$2:$F$4000=AF$5),'2016 E Maize Soil VWC'!$G$2:$G$4000)</f>
        <v>0.33736920407503596</v>
      </c>
      <c r="AG128" s="1" cm="1">
        <f t="array" ref="AG128">_xlfn.XLOOKUP(1,('2016 E Maize Soil VWC'!$C$2:$C$4000=$AA128)*('2016 E Maize Soil VWC'!$E$2:$E$4000=$AB128)*('2016 E Maize Soil VWC'!$F$2:$F$4000=AG$5),'2016 E Maize Soil VWC'!$G$2:$G$4000)</f>
        <v>0.32853045933323677</v>
      </c>
      <c r="AH128" s="1" cm="1">
        <f t="array" ref="AH128">_xlfn.XLOOKUP(1,('2016 E Maize Soil VWC'!$C$2:$C$4000=$AA128)*('2016 E Maize Soil VWC'!$E$2:$E$4000=$AB128)*('2016 E Maize Soil VWC'!$F$2:$F$4000=AH$5),'2016 E Maize Soil VWC'!$G$2:$G$4000)</f>
        <v>0.3308202895772262</v>
      </c>
      <c r="AI128" s="1" cm="1">
        <f t="array" ref="AI128">_xlfn.XLOOKUP(1,('2016 E Maize Soil VWC'!$C$2:$C$4000=$AA128)*('2016 E Maize Soil VWC'!$E$2:$E$4000=$AB128)*('2016 E Maize Soil VWC'!$F$2:$F$4000=AI$5),'2016 E Maize Soil VWC'!$G$2:$G$4000)</f>
        <v>0.34091844095321955</v>
      </c>
      <c r="AJ128" s="1" cm="1">
        <f t="array" ref="AJ128">_xlfn.XLOOKUP(1,('2016 E Maize Soil VWC'!$C$2:$C$4000=$AA128)*('2016 E Maize Soil VWC'!$E$2:$E$4000=$AB128)*('2016 E Maize Soil VWC'!$F$2:$F$4000=AJ$5),'2016 E Maize Soil VWC'!$G$2:$G$4000)</f>
        <v>0.33684254311891837</v>
      </c>
      <c r="AK128" s="1" cm="1">
        <f t="array" ref="AK128">_xlfn.XLOOKUP(1,('2016 E Maize Soil VWC'!$C$2:$C$4000=$AA128)*('2016 E Maize Soil VWC'!$E$2:$E$4000=$AB128)*('2016 E Maize Soil VWC'!$F$2:$F$4000=AK$5),'2016 E Maize Soil VWC'!$G$2:$G$4000)</f>
        <v>0.32841596782103727</v>
      </c>
      <c r="AL128" s="1" cm="1">
        <f t="array" ref="AL128">_xlfn.XLOOKUP(1,('2016 E Maize Soil VWC'!$C$2:$C$4000=$AA128)*('2016 E Maize Soil VWC'!$E$2:$E$4000=$AB128)*('2016 E Maize Soil VWC'!$F$2:$F$4000=AL$5),'2016 E Maize Soil VWC'!$G$2:$G$4000)</f>
        <v>0.33411764512857095</v>
      </c>
      <c r="AM128" s="1" cm="1">
        <f t="array" ref="AM128">_xlfn.XLOOKUP(1,('2016 E Maize Soil VWC'!$C$2:$C$4000=$AA128)*('2016 E Maize Soil VWC'!$E$2:$E$4000=$AB128)*('2016 E Maize Soil VWC'!$F$2:$F$4000=AM$5),'2016 E Maize Soil VWC'!$G$2:$G$4000)</f>
        <v>0.32770612044540054</v>
      </c>
      <c r="AN128" s="1" cm="1">
        <f t="array" ref="AN128">_xlfn.XLOOKUP(1,('2016 E Maize Soil VWC'!$C$2:$C$4000=$AA128)*('2016 E Maize Soil VWC'!$E$2:$E$4000=$AB128)*('2016 E Maize Soil VWC'!$F$2:$F$4000=AN$5),'2016 E Maize Soil VWC'!$G$2:$G$4000)</f>
        <v>0.33622428895304129</v>
      </c>
      <c r="AO128" s="1" cm="1">
        <f t="array" ref="AO128">_xlfn.XLOOKUP(1,('2016 E Maize Soil VWC'!$C$2:$C$4000=$AA128)*('2016 E Maize Soil VWC'!$E$2:$E$4000=$AB128)*('2016 E Maize Soil VWC'!$F$2:$F$4000=AO$5),'2016 E Maize Soil VWC'!$G$2:$G$4000)</f>
        <v>0.33024783201622882</v>
      </c>
      <c r="AP128" s="1" cm="1">
        <f t="array" ref="AP128">_xlfn.XLOOKUP(1,('2016 E Maize Soil VWC'!$C$2:$C$4000=$AA128)*('2016 E Maize Soil VWC'!$E$2:$E$4000=$AB128)*('2016 E Maize Soil VWC'!$F$2:$F$4000=AP$5),'2016 E Maize Soil VWC'!$G$2:$G$4000)</f>
        <v>0.3221189346500663</v>
      </c>
      <c r="AQ128" s="1" cm="1">
        <f t="array" ref="AQ128">_xlfn.XLOOKUP(1,('2016 E Maize Soil VWC'!$C$2:$C$4000=$AA128)*('2016 E Maize Soil VWC'!$E$2:$E$4000=$AB128)*('2016 E Maize Soil VWC'!$F$2:$F$4000=AQ$5),'2016 E Maize Soil VWC'!$G$2:$G$4000)</f>
        <v>0.31609668110837413</v>
      </c>
      <c r="AR128" s="1" cm="1">
        <f t="array" ref="AR128">_xlfn.XLOOKUP(1,('2016 E Maize Soil VWC'!$C$2:$C$4000=$AA128)*('2016 E Maize Soil VWC'!$E$2:$E$4000=$AB128)*('2016 E Maize Soil VWC'!$F$2:$F$4000=AR$5),'2016 E Maize Soil VWC'!$G$2:$G$4000)</f>
        <v>0.31953142647435828</v>
      </c>
      <c r="AS128" s="1" cm="1">
        <f t="array" ref="AS128">_xlfn.XLOOKUP(1,('2016 E Maize Soil VWC'!$C$2:$C$4000=$AA128)*('2016 E Maize Soil VWC'!$E$2:$E$4000=$AB128)*('2016 E Maize Soil VWC'!$F$2:$F$4000=AS$5),'2016 E Maize Soil VWC'!$G$2:$G$4000)</f>
        <v>0.33684254311891837</v>
      </c>
      <c r="AT128" s="1" cm="1">
        <f t="array" ref="AT128">_xlfn.XLOOKUP(1,('2016 E Maize Soil VWC'!$C$2:$C$4000=$AA128)*('2016 E Maize Soil VWC'!$E$2:$E$4000=$AB128)*('2016 E Maize Soil VWC'!$F$2:$F$4000=AT$5),'2016 E Maize Soil VWC'!$G$2:$G$4000)</f>
        <v>0.33331620454317468</v>
      </c>
      <c r="AU128" s="1" cm="1">
        <f t="array" ref="AU128">_xlfn.XLOOKUP(1,('2016 E Maize Soil VWC'!$C$2:$C$4000=$AA128)*('2016 E Maize Soil VWC'!$E$2:$E$4000=$AB128)*('2016 E Maize Soil VWC'!$F$2:$F$4000=AU$5),'2016 E Maize Soil VWC'!$G$2:$G$4000)</f>
        <v>0.33207969621142036</v>
      </c>
      <c r="AV128" s="1" cm="1">
        <f t="array" ref="AV128">_xlfn.XLOOKUP(1,('2016 E Maize Soil VWC'!$C$2:$C$4000=$AA128)*('2016 E Maize Soil VWC'!$E$2:$E$4000=$AB128)*('2016 E Maize Soil VWC'!$F$2:$F$4000=AV$5),'2016 E Maize Soil VWC'!$G$2:$G$4000)</f>
        <v>0.32940059482595274</v>
      </c>
    </row>
    <row r="129" spans="25:64" x14ac:dyDescent="0.25">
      <c r="AA129" s="18">
        <f t="shared" si="21"/>
        <v>42584</v>
      </c>
      <c r="AB129" s="1">
        <f t="shared" si="22"/>
        <v>130</v>
      </c>
      <c r="AC129" s="1" cm="1">
        <f t="array" ref="AC129">_xlfn.XLOOKUP(1,('2016 E Maize Soil VWC'!$C$2:$C$4000=$AA129)*('2016 E Maize Soil VWC'!$E$2:$E$4000=$AB129)*('2016 E Maize Soil VWC'!$F$2:$F$4000=AC$5),'2016 E Maize Soil VWC'!$G$2:$G$4000)</f>
        <v>0.31229942064491684</v>
      </c>
      <c r="AD129" s="1" cm="1">
        <f t="array" ref="AD129">_xlfn.XLOOKUP(1,('2016 E Maize Soil VWC'!$C$2:$C$4000=$AA129)*('2016 E Maize Soil VWC'!$E$2:$E$4000=$AB129)*('2016 E Maize Soil VWC'!$F$2:$F$4000=AD$5),'2016 E Maize Soil VWC'!$G$2:$G$4000)</f>
        <v>0.31266924624095771</v>
      </c>
      <c r="AE129" s="1" cm="1">
        <f t="array" ref="AE129">_xlfn.XLOOKUP(1,('2016 E Maize Soil VWC'!$C$2:$C$4000=$AA129)*('2016 E Maize Soil VWC'!$E$2:$E$4000=$AB129)*('2016 E Maize Soil VWC'!$F$2:$F$4000=AE$5),'2016 E Maize Soil VWC'!$G$2:$G$4000)</f>
        <v>0.30622649506782446</v>
      </c>
      <c r="AF129" s="1" cm="1">
        <f t="array" ref="AF129">_xlfn.XLOOKUP(1,('2016 E Maize Soil VWC'!$C$2:$C$4000=$AA129)*('2016 E Maize Soil VWC'!$E$2:$E$4000=$AB129)*('2016 E Maize Soil VWC'!$F$2:$F$4000=AF$5),'2016 E Maize Soil VWC'!$G$2:$G$4000)</f>
        <v>0.31025564761416458</v>
      </c>
      <c r="AG129" s="1" cm="1">
        <f t="array" ref="AG129">_xlfn.XLOOKUP(1,('2016 E Maize Soil VWC'!$C$2:$C$4000=$AA129)*('2016 E Maize Soil VWC'!$E$2:$E$4000=$AB129)*('2016 E Maize Soil VWC'!$F$2:$F$4000=AG$5),'2016 E Maize Soil VWC'!$G$2:$G$4000)</f>
        <v>0.31216316910953334</v>
      </c>
      <c r="AH129" s="1" cm="1">
        <f t="array" ref="AH129">_xlfn.XLOOKUP(1,('2016 E Maize Soil VWC'!$C$2:$C$4000=$AA129)*('2016 E Maize Soil VWC'!$E$2:$E$4000=$AB129)*('2016 E Maize Soil VWC'!$F$2:$F$4000=AH$5),'2016 E Maize Soil VWC'!$G$2:$G$4000)</f>
        <v>0.30844544864406975</v>
      </c>
      <c r="AI129" s="1" cm="1">
        <f t="array" ref="AI129">_xlfn.XLOOKUP(1,('2016 E Maize Soil VWC'!$C$2:$C$4000=$AA129)*('2016 E Maize Soil VWC'!$E$2:$E$4000=$AB129)*('2016 E Maize Soil VWC'!$F$2:$F$4000=AI$5),'2016 E Maize Soil VWC'!$G$2:$G$4000)</f>
        <v>0.31082011826075329</v>
      </c>
      <c r="AJ129" s="1" cm="1">
        <f t="array" ref="AJ129">_xlfn.XLOOKUP(1,('2016 E Maize Soil VWC'!$C$2:$C$4000=$AA129)*('2016 E Maize Soil VWC'!$E$2:$E$4000=$AB129)*('2016 E Maize Soil VWC'!$F$2:$F$4000=AJ$5),'2016 E Maize Soil VWC'!$G$2:$G$4000)</f>
        <v>0.34155457174225623</v>
      </c>
      <c r="AK129" s="1" cm="1">
        <f t="array" ref="AK129">_xlfn.XLOOKUP(1,('2016 E Maize Soil VWC'!$C$2:$C$4000=$AA129)*('2016 E Maize Soil VWC'!$E$2:$E$4000=$AB129)*('2016 E Maize Soil VWC'!$F$2:$F$4000=AK$5),'2016 E Maize Soil VWC'!$G$2:$G$4000)</f>
        <v>0.30445522510783912</v>
      </c>
      <c r="AL129" s="1" cm="1">
        <f t="array" ref="AL129">_xlfn.XLOOKUP(1,('2016 E Maize Soil VWC'!$C$2:$C$4000=$AA129)*('2016 E Maize Soil VWC'!$E$2:$E$4000=$AB129)*('2016 E Maize Soil VWC'!$F$2:$F$4000=AL$5),'2016 E Maize Soil VWC'!$G$2:$G$4000)</f>
        <v>0.31981271959606322</v>
      </c>
      <c r="AM129" s="1" cm="1">
        <f t="array" ref="AM129">_xlfn.XLOOKUP(1,('2016 E Maize Soil VWC'!$C$2:$C$4000=$AA129)*('2016 E Maize Soil VWC'!$E$2:$E$4000=$AB129)*('2016 E Maize Soil VWC'!$F$2:$F$4000=AM$5),'2016 E Maize Soil VWC'!$G$2:$G$4000)</f>
        <v>0.30634328209815309</v>
      </c>
      <c r="AN129" s="1" cm="1">
        <f t="array" ref="AN129">_xlfn.XLOOKUP(1,('2016 E Maize Soil VWC'!$C$2:$C$4000=$AA129)*('2016 E Maize Soil VWC'!$E$2:$E$4000=$AB129)*('2016 E Maize Soil VWC'!$F$2:$F$4000=AN$5),'2016 E Maize Soil VWC'!$G$2:$G$4000)</f>
        <v>0.30046500157160855</v>
      </c>
      <c r="AO129" s="1" cm="1">
        <f t="array" ref="AO129">_xlfn.XLOOKUP(1,('2016 E Maize Soil VWC'!$C$2:$C$4000=$AA129)*('2016 E Maize Soil VWC'!$E$2:$E$4000=$AB129)*('2016 E Maize Soil VWC'!$F$2:$F$4000=AO$5),'2016 E Maize Soil VWC'!$G$2:$G$4000)</f>
        <v>0.31545267046379172</v>
      </c>
      <c r="AP129" s="1" cm="1">
        <f t="array" ref="AP129">_xlfn.XLOOKUP(1,('2016 E Maize Soil VWC'!$C$2:$C$4000=$AA129)*('2016 E Maize Soil VWC'!$E$2:$E$4000=$AB129)*('2016 E Maize Soil VWC'!$F$2:$F$4000=AP$5),'2016 E Maize Soil VWC'!$G$2:$G$4000)</f>
        <v>0.31358407797853255</v>
      </c>
      <c r="AQ129" s="1" cm="1">
        <f t="array" ref="AQ129">_xlfn.XLOOKUP(1,('2016 E Maize Soil VWC'!$C$2:$C$4000=$AA129)*('2016 E Maize Soil VWC'!$E$2:$E$4000=$AB129)*('2016 E Maize Soil VWC'!$F$2:$F$4000=AQ$5),'2016 E Maize Soil VWC'!$G$2:$G$4000)</f>
        <v>0.30301485173378517</v>
      </c>
      <c r="AR129" s="1" cm="1">
        <f t="array" ref="AR129">_xlfn.XLOOKUP(1,('2016 E Maize Soil VWC'!$C$2:$C$4000=$AA129)*('2016 E Maize Soil VWC'!$E$2:$E$4000=$AB129)*('2016 E Maize Soil VWC'!$F$2:$F$4000=AR$5),'2016 E Maize Soil VWC'!$G$2:$G$4000)</f>
        <v>0.29980320839974589</v>
      </c>
      <c r="AS129" s="1" cm="1">
        <f t="array" ref="AS129">_xlfn.XLOOKUP(1,('2016 E Maize Soil VWC'!$C$2:$C$4000=$AA129)*('2016 E Maize Soil VWC'!$E$2:$E$4000=$AB129)*('2016 E Maize Soil VWC'!$F$2:$F$4000=AS$5),'2016 E Maize Soil VWC'!$G$2:$G$4000)</f>
        <v>0.31046975716976721</v>
      </c>
      <c r="AT129" s="1" cm="1">
        <f t="array" ref="AT129">_xlfn.XLOOKUP(1,('2016 E Maize Soil VWC'!$C$2:$C$4000=$AA129)*('2016 E Maize Soil VWC'!$E$2:$E$4000=$AB129)*('2016 E Maize Soil VWC'!$F$2:$F$4000=AT$5),'2016 E Maize Soil VWC'!$G$2:$G$4000)</f>
        <v>0.30379343193597652</v>
      </c>
      <c r="AU129" s="1" cm="1">
        <f t="array" ref="AU129">_xlfn.XLOOKUP(1,('2016 E Maize Soil VWC'!$C$2:$C$4000=$AA129)*('2016 E Maize Soil VWC'!$E$2:$E$4000=$AB129)*('2016 E Maize Soil VWC'!$F$2:$F$4000=AU$5),'2016 E Maize Soil VWC'!$G$2:$G$4000)</f>
        <v>0.30365718040059303</v>
      </c>
      <c r="AV129" s="1" cm="1">
        <f t="array" ref="AV129">_xlfn.XLOOKUP(1,('2016 E Maize Soil VWC'!$C$2:$C$4000=$AA129)*('2016 E Maize Soil VWC'!$E$2:$E$4000=$AB129)*('2016 E Maize Soil VWC'!$F$2:$F$4000=AV$5),'2016 E Maize Soil VWC'!$G$2:$G$4000)</f>
        <v>0.29680567462130925</v>
      </c>
    </row>
    <row r="130" spans="25:64" x14ac:dyDescent="0.25">
      <c r="AA130" s="18">
        <f t="shared" si="21"/>
        <v>42584</v>
      </c>
      <c r="AB130" s="1">
        <f t="shared" si="22"/>
        <v>150</v>
      </c>
      <c r="AC130" s="1" cm="1">
        <f t="array" ref="AC130">_xlfn.XLOOKUP(1,('2016 E Maize Soil VWC'!$C$2:$C$4000=$AA130)*('2016 E Maize Soil VWC'!$E$2:$E$4000=$AB130)*('2016 E Maize Soil VWC'!$F$2:$F$4000=AC$5),'2016 E Maize Soil VWC'!$G$2:$G$4000)</f>
        <v>0.34250833248994067</v>
      </c>
      <c r="AD130" s="1" cm="1">
        <f t="array" ref="AD130">_xlfn.XLOOKUP(1,('2016 E Maize Soil VWC'!$C$2:$C$4000=$AA130)*('2016 E Maize Soil VWC'!$E$2:$E$4000=$AB130)*('2016 E Maize Soil VWC'!$F$2:$F$4000=AD$5),'2016 E Maize Soil VWC'!$G$2:$G$4000)</f>
        <v>0.33055712638630363</v>
      </c>
      <c r="AE130" s="1" cm="1">
        <f t="array" ref="AE130">_xlfn.XLOOKUP(1,('2016 E Maize Soil VWC'!$C$2:$C$4000=$AA130)*('2016 E Maize Soil VWC'!$E$2:$E$4000=$AB130)*('2016 E Maize Soil VWC'!$F$2:$F$4000=AE$5),'2016 E Maize Soil VWC'!$G$2:$G$4000)</f>
        <v>0.31284442678645075</v>
      </c>
      <c r="AF130" s="1" cm="1">
        <f t="array" ref="AF130">_xlfn.XLOOKUP(1,('2016 E Maize Soil VWC'!$C$2:$C$4000=$AA130)*('2016 E Maize Soil VWC'!$E$2:$E$4000=$AB130)*('2016 E Maize Soil VWC'!$F$2:$F$4000=AF$5),'2016 E Maize Soil VWC'!$G$2:$G$4000)</f>
        <v>0.30011464048062242</v>
      </c>
      <c r="AG130" s="1" cm="1">
        <f t="array" ref="AG130">_xlfn.XLOOKUP(1,('2016 E Maize Soil VWC'!$C$2:$C$4000=$AA130)*('2016 E Maize Soil VWC'!$E$2:$E$4000=$AB130)*('2016 E Maize Soil VWC'!$F$2:$F$4000=AG$5),'2016 E Maize Soil VWC'!$G$2:$G$4000)</f>
        <v>0.36722825390951552</v>
      </c>
      <c r="AH130" s="1" cm="1">
        <f t="array" ref="AH130">_xlfn.XLOOKUP(1,('2016 E Maize Soil VWC'!$C$2:$C$4000=$AA130)*('2016 E Maize Soil VWC'!$E$2:$E$4000=$AB130)*('2016 E Maize Soil VWC'!$F$2:$F$4000=AH$5),'2016 E Maize Soil VWC'!$G$2:$G$4000)</f>
        <v>0.3529607717043593</v>
      </c>
      <c r="AI130" s="1" cm="1">
        <f t="array" ref="AI130">_xlfn.XLOOKUP(1,('2016 E Maize Soil VWC'!$C$2:$C$4000=$AA130)*('2016 E Maize Soil VWC'!$E$2:$E$4000=$AB130)*('2016 E Maize Soil VWC'!$F$2:$F$4000=AI$5),'2016 E Maize Soil VWC'!$G$2:$G$4000)</f>
        <v>0.3295060431133453</v>
      </c>
      <c r="AJ130" s="1" cm="1">
        <f t="array" ref="AJ130">_xlfn.XLOOKUP(1,('2016 E Maize Soil VWC'!$C$2:$C$4000=$AA130)*('2016 E Maize Soil VWC'!$E$2:$E$4000=$AB130)*('2016 E Maize Soil VWC'!$F$2:$F$4000=AJ$5),'2016 E Maize Soil VWC'!$G$2:$G$4000)</f>
        <v>0.34272244204554325</v>
      </c>
      <c r="AK130" s="1" cm="1">
        <f t="array" ref="AK130">_xlfn.XLOOKUP(1,('2016 E Maize Soil VWC'!$C$2:$C$4000=$AA130)*('2016 E Maize Soil VWC'!$E$2:$E$4000=$AB130)*('2016 E Maize Soil VWC'!$F$2:$F$4000=AK$5),'2016 E Maize Soil VWC'!$G$2:$G$4000)</f>
        <v>0.33034301683070105</v>
      </c>
      <c r="AL130" s="1" cm="1">
        <f t="array" ref="AL130">_xlfn.XLOOKUP(1,('2016 E Maize Soil VWC'!$C$2:$C$4000=$AA130)*('2016 E Maize Soil VWC'!$E$2:$E$4000=$AB130)*('2016 E Maize Soil VWC'!$F$2:$F$4000=AL$5),'2016 E Maize Soil VWC'!$G$2:$G$4000)</f>
        <v>0.34169082327763972</v>
      </c>
      <c r="AM130" s="1" cm="1">
        <f t="array" ref="AM130">_xlfn.XLOOKUP(1,('2016 E Maize Soil VWC'!$C$2:$C$4000=$AA130)*('2016 E Maize Soil VWC'!$E$2:$E$4000=$AB130)*('2016 E Maize Soil VWC'!$F$2:$F$4000=AM$5),'2016 E Maize Soil VWC'!$G$2:$G$4000)</f>
        <v>0.3369414840442726</v>
      </c>
      <c r="AN130" s="1" cm="1">
        <f t="array" ref="AN130">_xlfn.XLOOKUP(1,('2016 E Maize Soil VWC'!$C$2:$C$4000=$AA130)*('2016 E Maize Soil VWC'!$E$2:$E$4000=$AB130)*('2016 E Maize Soil VWC'!$F$2:$F$4000=AN$5),'2016 E Maize Soil VWC'!$G$2:$G$4000)</f>
        <v>0.33452788541747946</v>
      </c>
      <c r="AO130" s="1" cm="1">
        <f t="array" ref="AO130">_xlfn.XLOOKUP(1,('2016 E Maize Soil VWC'!$C$2:$C$4000=$AA130)*('2016 E Maize Soil VWC'!$E$2:$E$4000=$AB130)*('2016 E Maize Soil VWC'!$F$2:$F$4000=AO$5),'2016 E Maize Soil VWC'!$G$2:$G$4000)</f>
        <v>0.30749168789638537</v>
      </c>
      <c r="AP130" s="1" cm="1">
        <f t="array" ref="AP130">_xlfn.XLOOKUP(1,('2016 E Maize Soil VWC'!$C$2:$C$4000=$AA130)*('2016 E Maize Soil VWC'!$E$2:$E$4000=$AB130)*('2016 E Maize Soil VWC'!$F$2:$F$4000=AP$5),'2016 E Maize Soil VWC'!$G$2:$G$4000)</f>
        <v>0.30167180088500511</v>
      </c>
      <c r="AQ130" s="1" cm="1">
        <f t="array" ref="AQ130">_xlfn.XLOOKUP(1,('2016 E Maize Soil VWC'!$C$2:$C$4000=$AA130)*('2016 E Maize Soil VWC'!$E$2:$E$4000=$AB130)*('2016 E Maize Soil VWC'!$F$2:$F$4000=AQ$5),'2016 E Maize Soil VWC'!$G$2:$G$4000)</f>
        <v>0.34698516865254081</v>
      </c>
      <c r="AR130" s="1" cm="1">
        <f t="array" ref="AR130">_xlfn.XLOOKUP(1,('2016 E Maize Soil VWC'!$C$2:$C$4000=$AA130)*('2016 E Maize Soil VWC'!$E$2:$E$4000=$AB130)*('2016 E Maize Soil VWC'!$F$2:$F$4000=AR$5),'2016 E Maize Soil VWC'!$G$2:$G$4000)</f>
        <v>0.32987586870938623</v>
      </c>
      <c r="AS130" s="1" cm="1">
        <f t="array" ref="AS130">_xlfn.XLOOKUP(1,('2016 E Maize Soil VWC'!$C$2:$C$4000=$AA130)*('2016 E Maize Soil VWC'!$E$2:$E$4000=$AB130)*('2016 E Maize Soil VWC'!$F$2:$F$4000=AS$5),'2016 E Maize Soil VWC'!$G$2:$G$4000)</f>
        <v>0.31991004212133717</v>
      </c>
      <c r="AT130" s="1" cm="1">
        <f t="array" ref="AT130">_xlfn.XLOOKUP(1,('2016 E Maize Soil VWC'!$C$2:$C$4000=$AA130)*('2016 E Maize Soil VWC'!$E$2:$E$4000=$AB130)*('2016 E Maize Soil VWC'!$F$2:$F$4000=AT$5),'2016 E Maize Soil VWC'!$G$2:$G$4000)</f>
        <v>0.32861067588082532</v>
      </c>
      <c r="AU130" s="1" cm="1">
        <f t="array" ref="AU130">_xlfn.XLOOKUP(1,('2016 E Maize Soil VWC'!$C$2:$C$4000=$AA130)*('2016 E Maize Soil VWC'!$E$2:$E$4000=$AB130)*('2016 E Maize Soil VWC'!$F$2:$F$4000=AU$5),'2016 E Maize Soil VWC'!$G$2:$G$4000)</f>
        <v>0.32876639192126361</v>
      </c>
      <c r="AV130" s="1" cm="1">
        <f t="array" ref="AV130">_xlfn.XLOOKUP(1,('2016 E Maize Soil VWC'!$C$2:$C$4000=$AA130)*('2016 E Maize Soil VWC'!$E$2:$E$4000=$AB130)*('2016 E Maize Soil VWC'!$F$2:$F$4000=AV$5),'2016 E Maize Soil VWC'!$G$2:$G$4000)</f>
        <v>0.34548640176332246</v>
      </c>
    </row>
    <row r="131" spans="25:64" x14ac:dyDescent="0.25">
      <c r="AA131" s="18">
        <f t="shared" si="21"/>
        <v>42584</v>
      </c>
      <c r="AB131" s="1">
        <f t="shared" si="22"/>
        <v>170</v>
      </c>
      <c r="AC131" s="1" cm="1">
        <f t="array" ref="AC131">_xlfn.XLOOKUP(1,('2016 E Maize Soil VWC'!$C$2:$C$4000=$AA131)*('2016 E Maize Soil VWC'!$E$2:$E$4000=$AB131)*('2016 E Maize Soil VWC'!$F$2:$F$4000=AC$5),'2016 E Maize Soil VWC'!$G$2:$G$4000)</f>
        <v>0.28557465520469927</v>
      </c>
      <c r="AD131" s="1" cm="1">
        <f t="array" ref="AD131">_xlfn.XLOOKUP(1,('2016 E Maize Soil VWC'!$C$2:$C$4000=$AA131)*('2016 E Maize Soil VWC'!$E$2:$E$4000=$AB131)*('2016 E Maize Soil VWC'!$F$2:$F$4000=AD$5),'2016 E Maize Soil VWC'!$G$2:$G$4000)</f>
        <v>0.27704920199070415</v>
      </c>
      <c r="AE131" s="1" cm="1">
        <f t="array" ref="AE131">_xlfn.XLOOKUP(1,('2016 E Maize Soil VWC'!$C$2:$C$4000=$AA131)*('2016 E Maize Soil VWC'!$E$2:$E$4000=$AB131)*('2016 E Maize Soil VWC'!$F$2:$F$4000=AE$5),'2016 E Maize Soil VWC'!$G$2:$G$4000)</f>
        <v>0.28828022140731413</v>
      </c>
      <c r="AF131" s="1" cm="1">
        <f t="array" ref="AF131">_xlfn.XLOOKUP(1,('2016 E Maize Soil VWC'!$C$2:$C$4000=$AA131)*('2016 E Maize Soil VWC'!$E$2:$E$4000=$AB131)*('2016 E Maize Soil VWC'!$F$2:$F$4000=AF$5),'2016 E Maize Soil VWC'!$G$2:$G$4000)</f>
        <v>0.29618281045955619</v>
      </c>
      <c r="AG131" s="1" cm="1">
        <f t="array" ref="AG131">_xlfn.XLOOKUP(1,('2016 E Maize Soil VWC'!$C$2:$C$4000=$AA131)*('2016 E Maize Soil VWC'!$E$2:$E$4000=$AB131)*('2016 E Maize Soil VWC'!$F$2:$F$4000=AG$5),'2016 E Maize Soil VWC'!$G$2:$G$4000)</f>
        <v>0.32936979157796187</v>
      </c>
      <c r="AH131" s="1" cm="1">
        <f t="array" ref="AH131">_xlfn.XLOOKUP(1,('2016 E Maize Soil VWC'!$C$2:$C$4000=$AA131)*('2016 E Maize Soil VWC'!$E$2:$E$4000=$AB131)*('2016 E Maize Soil VWC'!$F$2:$F$4000=AH$5),'2016 E Maize Soil VWC'!$G$2:$G$4000)</f>
        <v>0.35152039833030529</v>
      </c>
      <c r="AI131" s="1" cm="1">
        <f t="array" ref="AI131">_xlfn.XLOOKUP(1,('2016 E Maize Soil VWC'!$C$2:$C$4000=$AA131)*('2016 E Maize Soil VWC'!$E$2:$E$4000=$AB131)*('2016 E Maize Soil VWC'!$F$2:$F$4000=AI$5),'2016 E Maize Soil VWC'!$G$2:$G$4000)</f>
        <v>0.30937974488669934</v>
      </c>
      <c r="AJ131" s="1" cm="1">
        <f t="array" ref="AJ131">_xlfn.XLOOKUP(1,('2016 E Maize Soil VWC'!$C$2:$C$4000=$AA131)*('2016 E Maize Soil VWC'!$E$2:$E$4000=$AB131)*('2016 E Maize Soil VWC'!$F$2:$F$4000=AJ$5),'2016 E Maize Soil VWC'!$G$2:$G$4000)</f>
        <v>0.30743329438122097</v>
      </c>
      <c r="AK131" s="1" cm="1">
        <f t="array" ref="AK131">_xlfn.XLOOKUP(1,('2016 E Maize Soil VWC'!$C$2:$C$4000=$AA131)*('2016 E Maize Soil VWC'!$E$2:$E$4000=$AB131)*('2016 E Maize Soil VWC'!$F$2:$F$4000=AK$5),'2016 E Maize Soil VWC'!$G$2:$G$4000)</f>
        <v>0.3012241172687451</v>
      </c>
      <c r="AL131" s="1" cm="1">
        <f t="array" ref="AL131">_xlfn.XLOOKUP(1,('2016 E Maize Soil VWC'!$C$2:$C$4000=$AA131)*('2016 E Maize Soil VWC'!$E$2:$E$4000=$AB131)*('2016 E Maize Soil VWC'!$F$2:$F$4000=AL$5),'2016 E Maize Soil VWC'!$G$2:$G$4000)</f>
        <v>0.30610970803749571</v>
      </c>
      <c r="AM131" s="1" cm="1">
        <f t="array" ref="AM131">_xlfn.XLOOKUP(1,('2016 E Maize Soil VWC'!$C$2:$C$4000=$AA131)*('2016 E Maize Soil VWC'!$E$2:$E$4000=$AB131)*('2016 E Maize Soil VWC'!$F$2:$F$4000=AM$5),'2016 E Maize Soil VWC'!$G$2:$G$4000)</f>
        <v>0.3209027318791311</v>
      </c>
      <c r="AN131" s="1" cm="1">
        <f t="array" ref="AN131">_xlfn.XLOOKUP(1,('2016 E Maize Soil VWC'!$C$2:$C$4000=$AA131)*('2016 E Maize Soil VWC'!$E$2:$E$4000=$AB131)*('2016 E Maize Soil VWC'!$F$2:$F$4000=AN$5),'2016 E Maize Soil VWC'!$G$2:$G$4000)</f>
        <v>0.33452788541747946</v>
      </c>
      <c r="AO131" s="1" cm="1">
        <f t="array" ref="AO131">_xlfn.XLOOKUP(1,('2016 E Maize Soil VWC'!$C$2:$C$4000=$AA131)*('2016 E Maize Soil VWC'!$E$2:$E$4000=$AB131)*('2016 E Maize Soil VWC'!$F$2:$F$4000=AO$5),'2016 E Maize Soil VWC'!$G$2:$G$4000)</f>
        <v>0.30803669403791928</v>
      </c>
      <c r="AP131" s="1" cm="1">
        <f t="array" ref="AP131">_xlfn.XLOOKUP(1,('2016 E Maize Soil VWC'!$C$2:$C$4000=$AA131)*('2016 E Maize Soil VWC'!$E$2:$E$4000=$AB131)*('2016 E Maize Soil VWC'!$F$2:$F$4000=AP$5),'2016 E Maize Soil VWC'!$G$2:$G$4000)</f>
        <v>0.31695143735301007</v>
      </c>
      <c r="AQ131" s="1" cm="1">
        <f t="array" ref="AQ131">_xlfn.XLOOKUP(1,('2016 E Maize Soil VWC'!$C$2:$C$4000=$AA131)*('2016 E Maize Soil VWC'!$E$2:$E$4000=$AB131)*('2016 E Maize Soil VWC'!$F$2:$F$4000=AQ$5),'2016 E Maize Soil VWC'!$G$2:$G$4000)</f>
        <v>0.33590986527636907</v>
      </c>
      <c r="AR131" s="1" cm="1">
        <f t="array" ref="AR131">_xlfn.XLOOKUP(1,('2016 E Maize Soil VWC'!$C$2:$C$4000=$AA131)*('2016 E Maize Soil VWC'!$E$2:$E$4000=$AB131)*('2016 E Maize Soil VWC'!$F$2:$F$4000=AR$5),'2016 E Maize Soil VWC'!$G$2:$G$4000)</f>
        <v>0.33020676529531756</v>
      </c>
      <c r="AS131" s="1" cm="1">
        <f t="array" ref="AS131">_xlfn.XLOOKUP(1,('2016 E Maize Soil VWC'!$C$2:$C$4000=$AA131)*('2016 E Maize Soil VWC'!$E$2:$E$4000=$AB131)*('2016 E Maize Soil VWC'!$F$2:$F$4000=AS$5),'2016 E Maize Soil VWC'!$G$2:$G$4000)</f>
        <v>0.31652321824180485</v>
      </c>
      <c r="AT131" s="1" cm="1">
        <f t="array" ref="AT131">_xlfn.XLOOKUP(1,('2016 E Maize Soil VWC'!$C$2:$C$4000=$AA131)*('2016 E Maize Soil VWC'!$E$2:$E$4000=$AB131)*('2016 E Maize Soil VWC'!$F$2:$F$4000=AT$5),'2016 E Maize Soil VWC'!$G$2:$G$4000)</f>
        <v>0.33018730079026276</v>
      </c>
      <c r="AU131" s="1" cm="1">
        <f t="array" ref="AU131">_xlfn.XLOOKUP(1,('2016 E Maize Soil VWC'!$C$2:$C$4000=$AA131)*('2016 E Maize Soil VWC'!$E$2:$E$4000=$AB131)*('2016 E Maize Soil VWC'!$F$2:$F$4000=AU$5),'2016 E Maize Soil VWC'!$G$2:$G$4000)</f>
        <v>0.31087851177591769</v>
      </c>
      <c r="AV131" s="1" cm="1">
        <f t="array" ref="AV131">_xlfn.XLOOKUP(1,('2016 E Maize Soil VWC'!$C$2:$C$4000=$AA131)*('2016 E Maize Soil VWC'!$E$2:$E$4000=$AB131)*('2016 E Maize Soil VWC'!$F$2:$F$4000=AV$5),'2016 E Maize Soil VWC'!$G$2:$G$4000)</f>
        <v>0.31632857319125701</v>
      </c>
    </row>
    <row r="132" spans="25:64" x14ac:dyDescent="0.25">
      <c r="AA132" s="18">
        <f t="shared" si="21"/>
        <v>42584</v>
      </c>
      <c r="AB132" s="1">
        <f t="shared" si="22"/>
        <v>190</v>
      </c>
      <c r="AC132" s="1" cm="1">
        <f t="array" ref="AC132">_xlfn.XLOOKUP(1,('2016 E Maize Soil VWC'!$C$2:$C$4000=$AA132)*('2016 E Maize Soil VWC'!$E$2:$E$4000=$AB132)*('2016 E Maize Soil VWC'!$F$2:$F$4000=AC$5),'2016 E Maize Soil VWC'!$G$2:$G$4000)</f>
        <v>0.29573512684329617</v>
      </c>
      <c r="AD132" s="1" cm="1">
        <f t="array" ref="AD132">_xlfn.XLOOKUP(1,('2016 E Maize Soil VWC'!$C$2:$C$4000=$AA132)*('2016 E Maize Soil VWC'!$E$2:$E$4000=$AB132)*('2016 E Maize Soil VWC'!$F$2:$F$4000=AD$5),'2016 E Maize Soil VWC'!$G$2:$G$4000)</f>
        <v>0.29612441694439184</v>
      </c>
      <c r="AE132" s="1" cm="1">
        <f t="array" ref="AE132">_xlfn.XLOOKUP(1,('2016 E Maize Soil VWC'!$C$2:$C$4000=$AA132)*('2016 E Maize Soil VWC'!$E$2:$E$4000=$AB132)*('2016 E Maize Soil VWC'!$F$2:$F$4000=AE$5),'2016 E Maize Soil VWC'!$G$2:$G$4000)</f>
        <v>0.29079114255938115</v>
      </c>
      <c r="AF132" s="1" cm="1">
        <f t="array" ref="AF132">_xlfn.XLOOKUP(1,('2016 E Maize Soil VWC'!$C$2:$C$4000=$AA132)*('2016 E Maize Soil VWC'!$E$2:$E$4000=$AB132)*('2016 E Maize Soil VWC'!$F$2:$F$4000=AF$5),'2016 E Maize Soil VWC'!$G$2:$G$4000)</f>
        <v>0.29466457906528309</v>
      </c>
      <c r="AG132" s="1" cm="1">
        <f t="array" ref="AG132">_xlfn.XLOOKUP(1,('2016 E Maize Soil VWC'!$C$2:$C$4000=$AA132)*('2016 E Maize Soil VWC'!$E$2:$E$4000=$AB132)*('2016 E Maize Soil VWC'!$F$2:$F$4000=AG$5),'2016 E Maize Soil VWC'!$G$2:$G$4000)</f>
        <v>0.34533068572288428</v>
      </c>
      <c r="AH132" s="1" cm="1">
        <f t="array" ref="AH132">_xlfn.XLOOKUP(1,('2016 E Maize Soil VWC'!$C$2:$C$4000=$AA132)*('2016 E Maize Soil VWC'!$E$2:$E$4000=$AB132)*('2016 E Maize Soil VWC'!$F$2:$F$4000=AH$5),'2016 E Maize Soil VWC'!$G$2:$G$4000)</f>
        <v>0.36006531604935527</v>
      </c>
      <c r="AI132" s="1" cm="1">
        <f t="array" ref="AI132">_xlfn.XLOOKUP(1,('2016 E Maize Soil VWC'!$C$2:$C$4000=$AA132)*('2016 E Maize Soil VWC'!$E$2:$E$4000=$AB132)*('2016 E Maize Soil VWC'!$F$2:$F$4000=AI$5),'2016 E Maize Soil VWC'!$G$2:$G$4000)</f>
        <v>0.28578876476030185</v>
      </c>
      <c r="AJ132" s="1" cm="1">
        <f t="array" ref="AJ132">_xlfn.XLOOKUP(1,('2016 E Maize Soil VWC'!$C$2:$C$4000=$AA132)*('2016 E Maize Soil VWC'!$E$2:$E$4000=$AB132)*('2016 E Maize Soil VWC'!$F$2:$F$4000=AJ$5),'2016 E Maize Soil VWC'!$G$2:$G$4000)</f>
        <v>0.30106840122830686</v>
      </c>
      <c r="AK132" s="1" cm="1">
        <f t="array" ref="AK132">_xlfn.XLOOKUP(1,('2016 E Maize Soil VWC'!$C$2:$C$4000=$AA132)*('2016 E Maize Soil VWC'!$E$2:$E$4000=$AB132)*('2016 E Maize Soil VWC'!$F$2:$F$4000=AK$5),'2016 E Maize Soil VWC'!$G$2:$G$4000)</f>
        <v>0.28962327225609419</v>
      </c>
      <c r="AL132" s="1" cm="1">
        <f t="array" ref="AL132">_xlfn.XLOOKUP(1,('2016 E Maize Soil VWC'!$C$2:$C$4000=$AA132)*('2016 E Maize Soil VWC'!$E$2:$E$4000=$AB132)*('2016 E Maize Soil VWC'!$F$2:$F$4000=AL$5),'2016 E Maize Soil VWC'!$G$2:$G$4000)</f>
        <v>0.29143347122618907</v>
      </c>
      <c r="AM132" s="1" cm="1">
        <f t="array" ref="AM132">_xlfn.XLOOKUP(1,('2016 E Maize Soil VWC'!$C$2:$C$4000=$AA132)*('2016 E Maize Soil VWC'!$E$2:$E$4000=$AB132)*('2016 E Maize Soil VWC'!$F$2:$F$4000=AM$5),'2016 E Maize Soil VWC'!$G$2:$G$4000)</f>
        <v>0.30784204898737144</v>
      </c>
      <c r="AN132" s="1" cm="1">
        <f t="array" ref="AN132">_xlfn.XLOOKUP(1,('2016 E Maize Soil VWC'!$C$2:$C$4000=$AA132)*('2016 E Maize Soil VWC'!$E$2:$E$4000=$AB132)*('2016 E Maize Soil VWC'!$F$2:$F$4000=AN$5),'2016 E Maize Soil VWC'!$G$2:$G$4000)</f>
        <v>0.3128054977763412</v>
      </c>
      <c r="AO132" s="1" cm="1">
        <f t="array" ref="AO132">_xlfn.XLOOKUP(1,('2016 E Maize Soil VWC'!$C$2:$C$4000=$AA132)*('2016 E Maize Soil VWC'!$E$2:$E$4000=$AB132)*('2016 E Maize Soil VWC'!$F$2:$F$4000=AO$5),'2016 E Maize Soil VWC'!$G$2:$G$4000)</f>
        <v>0.29289330910529782</v>
      </c>
      <c r="AP132" s="1" cm="1">
        <f t="array" ref="AP132">_xlfn.XLOOKUP(1,('2016 E Maize Soil VWC'!$C$2:$C$4000=$AA132)*('2016 E Maize Soil VWC'!$E$2:$E$4000=$AB132)*('2016 E Maize Soil VWC'!$F$2:$F$4000=AP$5),'2016 E Maize Soil VWC'!$G$2:$G$4000)</f>
        <v>0.30239198757203212</v>
      </c>
      <c r="AQ132" s="1" cm="1">
        <f t="array" ref="AQ132">_xlfn.XLOOKUP(1,('2016 E Maize Soil VWC'!$C$2:$C$4000=$AA132)*('2016 E Maize Soil VWC'!$E$2:$E$4000=$AB132)*('2016 E Maize Soil VWC'!$F$2:$F$4000=AQ$5),'2016 E Maize Soil VWC'!$G$2:$G$4000)</f>
        <v>0.35368095839138625</v>
      </c>
      <c r="AR132" s="1" cm="1">
        <f t="array" ref="AR132">_xlfn.XLOOKUP(1,('2016 E Maize Soil VWC'!$C$2:$C$4000=$AA132)*('2016 E Maize Soil VWC'!$E$2:$E$4000=$AB132)*('2016 E Maize Soil VWC'!$F$2:$F$4000=AR$5),'2016 E Maize Soil VWC'!$G$2:$G$4000)</f>
        <v>0.34324798368202242</v>
      </c>
      <c r="AS132" s="1" cm="1">
        <f t="array" ref="AS132">_xlfn.XLOOKUP(1,('2016 E Maize Soil VWC'!$C$2:$C$4000=$AA132)*('2016 E Maize Soil VWC'!$E$2:$E$4000=$AB132)*('2016 E Maize Soil VWC'!$F$2:$F$4000=AS$5),'2016 E Maize Soil VWC'!$G$2:$G$4000)</f>
        <v>0.31917039092925537</v>
      </c>
      <c r="AT132" s="1" cm="1">
        <f t="array" ref="AT132">_xlfn.XLOOKUP(1,('2016 E Maize Soil VWC'!$C$2:$C$4000=$AA132)*('2016 E Maize Soil VWC'!$E$2:$E$4000=$AB132)*('2016 E Maize Soil VWC'!$F$2:$F$4000=AT$5),'2016 E Maize Soil VWC'!$G$2:$G$4000)</f>
        <v>0.31132619539217771</v>
      </c>
      <c r="AU132" s="1" cm="1">
        <f t="array" ref="AU132">_xlfn.XLOOKUP(1,('2016 E Maize Soil VWC'!$C$2:$C$4000=$AA132)*('2016 E Maize Soil VWC'!$E$2:$E$4000=$AB132)*('2016 E Maize Soil VWC'!$F$2:$F$4000=AU$5),'2016 E Maize Soil VWC'!$G$2:$G$4000)</f>
        <v>0.2982849770054728</v>
      </c>
      <c r="AV132" s="1" cm="1">
        <f t="array" ref="AV132">_xlfn.XLOOKUP(1,('2016 E Maize Soil VWC'!$C$2:$C$4000=$AA132)*('2016 E Maize Soil VWC'!$E$2:$E$4000=$AB132)*('2016 E Maize Soil VWC'!$F$2:$F$4000=AV$5),'2016 E Maize Soil VWC'!$G$2:$G$4000)</f>
        <v>0.3055257728858522</v>
      </c>
    </row>
    <row r="133" spans="25:64" x14ac:dyDescent="0.25">
      <c r="AA133" s="18">
        <f t="shared" si="21"/>
        <v>42584</v>
      </c>
      <c r="AB133" s="1">
        <f t="shared" si="22"/>
        <v>210</v>
      </c>
      <c r="AC133" s="1" cm="1">
        <f t="array" ref="AC133">_xlfn.XLOOKUP(1,('2016 E Maize Soil VWC'!$C$2:$C$4000=$AA133)*('2016 E Maize Soil VWC'!$E$2:$E$4000=$AB133)*('2016 E Maize Soil VWC'!$F$2:$F$4000=AC$5),'2016 E Maize Soil VWC'!$G$2:$G$4000)</f>
        <v>0.30636274660320795</v>
      </c>
      <c r="AD133" s="1" cm="1">
        <f t="array" ref="AD133">_xlfn.XLOOKUP(1,('2016 E Maize Soil VWC'!$C$2:$C$4000=$AA133)*('2016 E Maize Soil VWC'!$E$2:$E$4000=$AB133)*('2016 E Maize Soil VWC'!$F$2:$F$4000=AD$5),'2016 E Maize Soil VWC'!$G$2:$G$4000)</f>
        <v>0.29960856334919805</v>
      </c>
      <c r="AE133" s="1" cm="1">
        <f t="array" ref="AE133">_xlfn.XLOOKUP(1,('2016 E Maize Soil VWC'!$C$2:$C$4000=$AA133)*('2016 E Maize Soil VWC'!$E$2:$E$4000=$AB133)*('2016 E Maize Soil VWC'!$F$2:$F$4000=AE$5),'2016 E Maize Soil VWC'!$G$2:$G$4000)</f>
        <v>0.28028030982979818</v>
      </c>
      <c r="AF133" s="1" cm="1">
        <f t="array" ref="AF133">_xlfn.XLOOKUP(1,('2016 E Maize Soil VWC'!$C$2:$C$4000=$AA133)*('2016 E Maize Soil VWC'!$E$2:$E$4000=$AB133)*('2016 E Maize Soil VWC'!$F$2:$F$4000=AF$5),'2016 E Maize Soil VWC'!$G$2:$G$4000)</f>
        <v>0.29238723197387345</v>
      </c>
      <c r="AG133" s="1" t="e" cm="1">
        <f t="array" ref="AG133">_xlfn.XLOOKUP(1,('2016 E Maize Soil VWC'!$C$2:$C$4000=$AA133)*('2016 E Maize Soil VWC'!$E$2:$E$4000=$AB133)*('2016 E Maize Soil VWC'!$F$2:$F$4000=AG$5),'2016 E Maize Soil VWC'!$G$2:$G$4000)</f>
        <v>#N/A</v>
      </c>
      <c r="AH133" s="1" t="e" cm="1">
        <f t="array" ref="AH133">_xlfn.XLOOKUP(1,('2016 E Maize Soil VWC'!$C$2:$C$4000=$AA133)*('2016 E Maize Soil VWC'!$E$2:$E$4000=$AB133)*('2016 E Maize Soil VWC'!$F$2:$F$4000=AH$5),'2016 E Maize Soil VWC'!$G$2:$G$4000)</f>
        <v>#N/A</v>
      </c>
      <c r="AI133" s="1" cm="1">
        <f t="array" ref="AI133">_xlfn.XLOOKUP(1,('2016 E Maize Soil VWC'!$C$2:$C$4000=$AA133)*('2016 E Maize Soil VWC'!$E$2:$E$4000=$AB133)*('2016 E Maize Soil VWC'!$F$2:$F$4000=AI$5),'2016 E Maize Soil VWC'!$G$2:$G$4000)</f>
        <v>0.28767682175061582</v>
      </c>
      <c r="AJ133" s="1" cm="1">
        <f t="array" ref="AJ133">_xlfn.XLOOKUP(1,('2016 E Maize Soil VWC'!$C$2:$C$4000=$AA133)*('2016 E Maize Soil VWC'!$E$2:$E$4000=$AB133)*('2016 E Maize Soil VWC'!$F$2:$F$4000=AJ$5),'2016 E Maize Soil VWC'!$G$2:$G$4000)</f>
        <v>0.30470826367355131</v>
      </c>
      <c r="AK133" s="1" cm="1">
        <f t="array" ref="AK133">_xlfn.XLOOKUP(1,('2016 E Maize Soil VWC'!$C$2:$C$4000=$AA133)*('2016 E Maize Soil VWC'!$E$2:$E$4000=$AB133)*('2016 E Maize Soil VWC'!$F$2:$F$4000=AK$5),'2016 E Maize Soil VWC'!$G$2:$G$4000)</f>
        <v>0.29690299714658319</v>
      </c>
      <c r="AL133" s="1" cm="1">
        <f t="array" ref="AL133">_xlfn.XLOOKUP(1,('2016 E Maize Soil VWC'!$C$2:$C$4000=$AA133)*('2016 E Maize Soil VWC'!$E$2:$E$4000=$AB133)*('2016 E Maize Soil VWC'!$F$2:$F$4000=AL$5),'2016 E Maize Soil VWC'!$G$2:$G$4000)</f>
        <v>0.26486442182640973</v>
      </c>
      <c r="AM133" s="1" cm="1">
        <f t="array" ref="AM133">_xlfn.XLOOKUP(1,('2016 E Maize Soil VWC'!$C$2:$C$4000=$AA133)*('2016 E Maize Soil VWC'!$E$2:$E$4000=$AB133)*('2016 E Maize Soil VWC'!$F$2:$F$4000=AM$5),'2016 E Maize Soil VWC'!$G$2:$G$4000)</f>
        <v>0.30731650735089228</v>
      </c>
      <c r="AN133" s="1" cm="1">
        <f t="array" ref="AN133">_xlfn.XLOOKUP(1,('2016 E Maize Soil VWC'!$C$2:$C$4000=$AA133)*('2016 E Maize Soil VWC'!$E$2:$E$4000=$AB133)*('2016 E Maize Soil VWC'!$F$2:$F$4000=AN$5),'2016 E Maize Soil VWC'!$G$2:$G$4000)</f>
        <v>0.30791990700759059</v>
      </c>
      <c r="AO133" s="1" cm="1">
        <f t="array" ref="AO133">_xlfn.XLOOKUP(1,('2016 E Maize Soil VWC'!$C$2:$C$4000=$AA133)*('2016 E Maize Soil VWC'!$E$2:$E$4000=$AB133)*('2016 E Maize Soil VWC'!$F$2:$F$4000=AO$5),'2016 E Maize Soil VWC'!$G$2:$G$4000)</f>
        <v>0.30106840122830686</v>
      </c>
      <c r="AP133" s="1" cm="1">
        <f t="array" ref="AP133">_xlfn.XLOOKUP(1,('2016 E Maize Soil VWC'!$C$2:$C$4000=$AA133)*('2016 E Maize Soil VWC'!$E$2:$E$4000=$AB133)*('2016 E Maize Soil VWC'!$F$2:$F$4000=AP$5),'2016 E Maize Soil VWC'!$G$2:$G$4000)</f>
        <v>0.27664044738455368</v>
      </c>
      <c r="AQ133" s="1" t="e" cm="1">
        <f t="array" ref="AQ133">_xlfn.XLOOKUP(1,('2016 E Maize Soil VWC'!$C$2:$C$4000=$AA133)*('2016 E Maize Soil VWC'!$E$2:$E$4000=$AB133)*('2016 E Maize Soil VWC'!$F$2:$F$4000=AQ$5),'2016 E Maize Soil VWC'!$G$2:$G$4000)</f>
        <v>#N/A</v>
      </c>
      <c r="AR133" s="1" t="e" cm="1">
        <f t="array" ref="AR133">_xlfn.XLOOKUP(1,('2016 E Maize Soil VWC'!$C$2:$C$4000=$AA133)*('2016 E Maize Soil VWC'!$E$2:$E$4000=$AB133)*('2016 E Maize Soil VWC'!$F$2:$F$4000=AR$5),'2016 E Maize Soil VWC'!$G$2:$G$4000)</f>
        <v>#N/A</v>
      </c>
      <c r="AS133" s="1" cm="1">
        <f t="array" ref="AS133">_xlfn.XLOOKUP(1,('2016 E Maize Soil VWC'!$C$2:$C$4000=$AA133)*('2016 E Maize Soil VWC'!$E$2:$E$4000=$AB133)*('2016 E Maize Soil VWC'!$F$2:$F$4000=AS$5),'2016 E Maize Soil VWC'!$G$2:$G$4000)</f>
        <v>0.30291752920851123</v>
      </c>
      <c r="AT133" s="1" cm="1">
        <f t="array" ref="AT133">_xlfn.XLOOKUP(1,('2016 E Maize Soil VWC'!$C$2:$C$4000=$AA133)*('2016 E Maize Soil VWC'!$E$2:$E$4000=$AB133)*('2016 E Maize Soil VWC'!$F$2:$F$4000=AT$5),'2016 E Maize Soil VWC'!$G$2:$G$4000)</f>
        <v>0.3012241172687451</v>
      </c>
      <c r="AU133" s="1" cm="1">
        <f t="array" ref="AU133">_xlfn.XLOOKUP(1,('2016 E Maize Soil VWC'!$C$2:$C$4000=$AA133)*('2016 E Maize Soil VWC'!$E$2:$E$4000=$AB133)*('2016 E Maize Soil VWC'!$F$2:$F$4000=AU$5),'2016 E Maize Soil VWC'!$G$2:$G$4000)</f>
        <v>0.29546262377252924</v>
      </c>
      <c r="AV133" s="1" cm="1">
        <f t="array" ref="AV133">_xlfn.XLOOKUP(1,('2016 E Maize Soil VWC'!$C$2:$C$4000=$AA133)*('2016 E Maize Soil VWC'!$E$2:$E$4000=$AB133)*('2016 E Maize Soil VWC'!$F$2:$F$4000=AV$5),'2016 E Maize Soil VWC'!$G$2:$G$4000)</f>
        <v>0.30305378074389472</v>
      </c>
    </row>
    <row r="134" spans="25:64" x14ac:dyDescent="0.25">
      <c r="AA134" s="18">
        <f t="shared" si="21"/>
        <v>42584</v>
      </c>
      <c r="AB134" s="1">
        <f t="shared" si="22"/>
        <v>230</v>
      </c>
      <c r="AC134" s="1" cm="1">
        <f t="array" ref="AC134">_xlfn.XLOOKUP(1,('2016 E Maize Soil VWC'!$C$2:$C$4000=$AA134)*('2016 E Maize Soil VWC'!$E$2:$E$4000=$AB134)*('2016 E Maize Soil VWC'!$F$2:$F$4000=AC$5),'2016 E Maize Soil VWC'!$G$2:$G$4000)</f>
        <v>0.30459147664322261</v>
      </c>
      <c r="AD134" s="1" cm="1">
        <f t="array" ref="AD134">_xlfn.XLOOKUP(1,('2016 E Maize Soil VWC'!$C$2:$C$4000=$AA134)*('2016 E Maize Soil VWC'!$E$2:$E$4000=$AB134)*('2016 E Maize Soil VWC'!$F$2:$F$4000=AD$5),'2016 E Maize Soil VWC'!$G$2:$G$4000)</f>
        <v>0.30079589815753988</v>
      </c>
      <c r="AE134" s="1" cm="1">
        <f t="array" ref="AE134">_xlfn.XLOOKUP(1,('2016 E Maize Soil VWC'!$C$2:$C$4000=$AA134)*('2016 E Maize Soil VWC'!$E$2:$E$4000=$AB134)*('2016 E Maize Soil VWC'!$F$2:$F$4000=AE$5),'2016 E Maize Soil VWC'!$G$2:$G$4000)</f>
        <v>0.27971583918320947</v>
      </c>
      <c r="AF134" s="1" cm="1">
        <f t="array" ref="AF134">_xlfn.XLOOKUP(1,('2016 E Maize Soil VWC'!$C$2:$C$4000=$AA134)*('2016 E Maize Soil VWC'!$E$2:$E$4000=$AB134)*('2016 E Maize Soil VWC'!$F$2:$F$4000=AF$5),'2016 E Maize Soil VWC'!$G$2:$G$4000)</f>
        <v>0.28218783132516695</v>
      </c>
      <c r="AG134" s="1" t="e" cm="1">
        <f t="array" ref="AG134">_xlfn.XLOOKUP(1,('2016 E Maize Soil VWC'!$C$2:$C$4000=$AA134)*('2016 E Maize Soil VWC'!$E$2:$E$4000=$AB134)*('2016 E Maize Soil VWC'!$F$2:$F$4000=AG$5),'2016 E Maize Soil VWC'!$G$2:$G$4000)</f>
        <v>#N/A</v>
      </c>
      <c r="AH134" s="1" t="e" cm="1">
        <f t="array" ref="AH134">_xlfn.XLOOKUP(1,('2016 E Maize Soil VWC'!$C$2:$C$4000=$AA134)*('2016 E Maize Soil VWC'!$E$2:$E$4000=$AB134)*('2016 E Maize Soil VWC'!$F$2:$F$4000=AH$5),'2016 E Maize Soil VWC'!$G$2:$G$4000)</f>
        <v>#N/A</v>
      </c>
      <c r="AI134" s="1" cm="1">
        <f t="array" ref="AI134">_xlfn.XLOOKUP(1,('2016 E Maize Soil VWC'!$C$2:$C$4000=$AA134)*('2016 E Maize Soil VWC'!$E$2:$E$4000=$AB134)*('2016 E Maize Soil VWC'!$F$2:$F$4000=AI$5),'2016 E Maize Soil VWC'!$G$2:$G$4000)</f>
        <v>0.28024138081968863</v>
      </c>
      <c r="AJ134" s="1" cm="1">
        <f t="array" ref="AJ134">_xlfn.XLOOKUP(1,('2016 E Maize Soil VWC'!$C$2:$C$4000=$AA134)*('2016 E Maize Soil VWC'!$E$2:$E$4000=$AB134)*('2016 E Maize Soil VWC'!$F$2:$F$4000=AJ$5),'2016 E Maize Soil VWC'!$G$2:$G$4000)</f>
        <v>0.30897099028054886</v>
      </c>
      <c r="AK134" s="1" cm="1">
        <f t="array" ref="AK134">_xlfn.XLOOKUP(1,('2016 E Maize Soil VWC'!$C$2:$C$4000=$AA134)*('2016 E Maize Soil VWC'!$E$2:$E$4000=$AB134)*('2016 E Maize Soil VWC'!$F$2:$F$4000=AK$5),'2016 E Maize Soil VWC'!$G$2:$G$4000)</f>
        <v>0.30414379302696259</v>
      </c>
      <c r="AL134" s="1" cm="1">
        <f t="array" ref="AL134">_xlfn.XLOOKUP(1,('2016 E Maize Soil VWC'!$C$2:$C$4000=$AA134)*('2016 E Maize Soil VWC'!$E$2:$E$4000=$AB134)*('2016 E Maize Soil VWC'!$F$2:$F$4000=AL$5),'2016 E Maize Soil VWC'!$G$2:$G$4000)</f>
        <v>0.26936072249406473</v>
      </c>
      <c r="AM134" s="1" cm="1">
        <f t="array" ref="AM134">_xlfn.XLOOKUP(1,('2016 E Maize Soil VWC'!$C$2:$C$4000=$AA134)*('2016 E Maize Soil VWC'!$E$2:$E$4000=$AB134)*('2016 E Maize Soil VWC'!$F$2:$F$4000=AM$5),'2016 E Maize Soil VWC'!$G$2:$G$4000)</f>
        <v>0.2880077183365472</v>
      </c>
      <c r="AN134" s="1" cm="1">
        <f t="array" ref="AN134">_xlfn.XLOOKUP(1,('2016 E Maize Soil VWC'!$C$2:$C$4000=$AA134)*('2016 E Maize Soil VWC'!$E$2:$E$4000=$AB134)*('2016 E Maize Soil VWC'!$F$2:$F$4000=AN$5),'2016 E Maize Soil VWC'!$G$2:$G$4000)</f>
        <v>0.30011464048062242</v>
      </c>
      <c r="AO134" s="1" cm="1">
        <f t="array" ref="AO134">_xlfn.XLOOKUP(1,('2016 E Maize Soil VWC'!$C$2:$C$4000=$AA134)*('2016 E Maize Soil VWC'!$E$2:$E$4000=$AB134)*('2016 E Maize Soil VWC'!$F$2:$F$4000=AO$5),'2016 E Maize Soil VWC'!$G$2:$G$4000)</f>
        <v>0.28903933710445068</v>
      </c>
      <c r="AP134" s="1" cm="1">
        <f t="array" ref="AP134">_xlfn.XLOOKUP(1,('2016 E Maize Soil VWC'!$C$2:$C$4000=$AA134)*('2016 E Maize Soil VWC'!$E$2:$E$4000=$AB134)*('2016 E Maize Soil VWC'!$F$2:$F$4000=AP$5),'2016 E Maize Soil VWC'!$G$2:$G$4000)</f>
        <v>0.28485446851767227</v>
      </c>
      <c r="AQ134" s="1" t="e" cm="1">
        <f t="array" ref="AQ134">_xlfn.XLOOKUP(1,('2016 E Maize Soil VWC'!$C$2:$C$4000=$AA134)*('2016 E Maize Soil VWC'!$E$2:$E$4000=$AB134)*('2016 E Maize Soil VWC'!$F$2:$F$4000=AQ$5),'2016 E Maize Soil VWC'!$G$2:$G$4000)</f>
        <v>#N/A</v>
      </c>
      <c r="AR134" s="1" t="e" cm="1">
        <f t="array" ref="AR134">_xlfn.XLOOKUP(1,('2016 E Maize Soil VWC'!$C$2:$C$4000=$AA134)*('2016 E Maize Soil VWC'!$E$2:$E$4000=$AB134)*('2016 E Maize Soil VWC'!$F$2:$F$4000=AR$5),'2016 E Maize Soil VWC'!$G$2:$G$4000)</f>
        <v>#N/A</v>
      </c>
      <c r="AS134" s="1" cm="1">
        <f t="array" ref="AS134">_xlfn.XLOOKUP(1,('2016 E Maize Soil VWC'!$C$2:$C$4000=$AA134)*('2016 E Maize Soil VWC'!$E$2:$E$4000=$AB134)*('2016 E Maize Soil VWC'!$F$2:$F$4000=AS$5),'2016 E Maize Soil VWC'!$G$2:$G$4000)</f>
        <v>0.29980320839974589</v>
      </c>
      <c r="AT134" s="1" cm="1">
        <f t="array" ref="AT134">_xlfn.XLOOKUP(1,('2016 E Maize Soil VWC'!$C$2:$C$4000=$AA134)*('2016 E Maize Soil VWC'!$E$2:$E$4000=$AB134)*('2016 E Maize Soil VWC'!$F$2:$F$4000=AT$5),'2016 E Maize Soil VWC'!$G$2:$G$4000)</f>
        <v>0.3019053749456625</v>
      </c>
      <c r="AU134" s="1" cm="1">
        <f t="array" ref="AU134">_xlfn.XLOOKUP(1,('2016 E Maize Soil VWC'!$C$2:$C$4000=$AA134)*('2016 E Maize Soil VWC'!$E$2:$E$4000=$AB134)*('2016 E Maize Soil VWC'!$F$2:$F$4000=AU$5),'2016 E Maize Soil VWC'!$G$2:$G$4000)</f>
        <v>0.28915612413477942</v>
      </c>
      <c r="AV134" s="1" cm="1">
        <f t="array" ref="AV134">_xlfn.XLOOKUP(1,('2016 E Maize Soil VWC'!$C$2:$C$4000=$AA134)*('2016 E Maize Soil VWC'!$E$2:$E$4000=$AB134)*('2016 E Maize Soil VWC'!$F$2:$F$4000=AV$5),'2016 E Maize Soil VWC'!$G$2:$G$4000)</f>
        <v>0.30155501385467642</v>
      </c>
    </row>
    <row r="135" spans="25:64" x14ac:dyDescent="0.25">
      <c r="AA135" s="18"/>
    </row>
    <row r="136" spans="25:64" x14ac:dyDescent="0.25">
      <c r="Y136" s="1">
        <v>2016</v>
      </c>
      <c r="Z136" s="1">
        <v>224</v>
      </c>
      <c r="AA136" s="18">
        <f>DATE(Y136,1,Z136)</f>
        <v>42593</v>
      </c>
      <c r="AB136" s="1">
        <v>10</v>
      </c>
      <c r="AC136" s="1" cm="1">
        <f t="array" ref="AC136">_xlfn.XLOOKUP(1,('2016 E Maize Soil VWC'!$C$2:$C$4000=$AA136)*('2016 E Maize Soil VWC'!$E$2:$E$4000=$AB136)*('2016 E Maize Soil VWC'!$F$2:$F$4000=AC$5),'2016 E Maize Soil VWC'!$G$2:$G$4000)</f>
        <v>0.27828354421124202</v>
      </c>
      <c r="AD136" s="1" cm="1">
        <f t="array" ref="AD136">_xlfn.XLOOKUP(1,('2016 E Maize Soil VWC'!$C$2:$C$4000=$AA136)*('2016 E Maize Soil VWC'!$E$2:$E$4000=$AB136)*('2016 E Maize Soil VWC'!$F$2:$F$4000=AD$5),'2016 E Maize Soil VWC'!$G$2:$G$4000)</f>
        <v>0.27398690727509839</v>
      </c>
      <c r="AE136" s="1" cm="1">
        <f t="array" ref="AE136">_xlfn.XLOOKUP(1,('2016 E Maize Soil VWC'!$C$2:$C$4000=$AA136)*('2016 E Maize Soil VWC'!$E$2:$E$4000=$AB136)*('2016 E Maize Soil VWC'!$F$2:$F$4000=AE$5),'2016 E Maize Soil VWC'!$G$2:$G$4000)</f>
        <v>0.25474794813691942</v>
      </c>
      <c r="AF136" s="1" cm="1">
        <f t="array" ref="AF136">_xlfn.XLOOKUP(1,('2016 E Maize Soil VWC'!$C$2:$C$4000=$AA136)*('2016 E Maize Soil VWC'!$E$2:$E$4000=$AB136)*('2016 E Maize Soil VWC'!$F$2:$F$4000=AF$5),'2016 E Maize Soil VWC'!$G$2:$G$4000)</f>
        <v>0.24688356803058509</v>
      </c>
      <c r="AG136" s="1" cm="1">
        <f t="array" ref="AG136">_xlfn.XLOOKUP(1,('2016 E Maize Soil VWC'!$C$2:$C$4000=$AA136)*('2016 E Maize Soil VWC'!$E$2:$E$4000=$AB136)*('2016 E Maize Soil VWC'!$F$2:$F$4000=AG$5),'2016 E Maize Soil VWC'!$G$2:$G$4000)</f>
        <v>0.29182562312605193</v>
      </c>
      <c r="AH136" s="1" cm="1">
        <f t="array" ref="AH136">_xlfn.XLOOKUP(1,('2016 E Maize Soil VWC'!$C$2:$C$4000=$AA136)*('2016 E Maize Soil VWC'!$E$2:$E$4000=$AB136)*('2016 E Maize Soil VWC'!$F$2:$F$4000=AH$5),'2016 E Maize Soil VWC'!$G$2:$G$4000)</f>
        <v>0.29031029134946557</v>
      </c>
      <c r="AI136" s="1" cm="1">
        <f t="array" ref="AI136">_xlfn.XLOOKUP(1,('2016 E Maize Soil VWC'!$C$2:$C$4000=$AA136)*('2016 E Maize Soil VWC'!$E$2:$E$4000=$AB136)*('2016 E Maize Soil VWC'!$F$2:$F$4000=AI$5),'2016 E Maize Soil VWC'!$G$2:$G$4000)</f>
        <v>0.27563650895593922</v>
      </c>
      <c r="AJ136" s="1" cm="1">
        <f t="array" ref="AJ136">_xlfn.XLOOKUP(1,('2016 E Maize Soil VWC'!$C$2:$C$4000=$AA136)*('2016 E Maize Soil VWC'!$E$2:$E$4000=$AB136)*('2016 E Maize Soil VWC'!$F$2:$F$4000=AJ$5),'2016 E Maize Soil VWC'!$G$2:$G$4000)</f>
        <v>0.25599474010499684</v>
      </c>
      <c r="AK136" s="1" cm="1">
        <f t="array" ref="AK136">_xlfn.XLOOKUP(1,('2016 E Maize Soil VWC'!$C$2:$C$4000=$AA136)*('2016 E Maize Soil VWC'!$E$2:$E$4000=$AB136)*('2016 E Maize Soil VWC'!$F$2:$F$4000=AK$5),'2016 E Maize Soil VWC'!$G$2:$G$4000)</f>
        <v>0.2713206906049021</v>
      </c>
      <c r="AL136" s="1" cm="1">
        <f t="array" ref="AL136">_xlfn.XLOOKUP(1,('2016 E Maize Soil VWC'!$C$2:$C$4000=$AA136)*('2016 E Maize Soil VWC'!$E$2:$E$4000=$AB136)*('2016 E Maize Soil VWC'!$F$2:$F$4000=AL$5),'2016 E Maize Soil VWC'!$G$2:$G$4000)</f>
        <v>0.29583453883879313</v>
      </c>
      <c r="AM136" s="1" cm="1">
        <f t="array" ref="AM136">_xlfn.XLOOKUP(1,('2016 E Maize Soil VWC'!$C$2:$C$4000=$AA136)*('2016 E Maize Soil VWC'!$E$2:$E$4000=$AB136)*('2016 E Maize Soil VWC'!$F$2:$F$4000=AM$5),'2016 E Maize Soil VWC'!$G$2:$G$4000)</f>
        <v>0.19658989817983213</v>
      </c>
      <c r="AN136" s="1" cm="1">
        <f t="array" ref="AN136">_xlfn.XLOOKUP(1,('2016 E Maize Soil VWC'!$C$2:$C$4000=$AA136)*('2016 E Maize Soil VWC'!$E$2:$E$4000=$AB136)*('2016 E Maize Soil VWC'!$F$2:$F$4000=AN$5),'2016 E Maize Soil VWC'!$G$2:$G$4000)</f>
        <v>0.21872525096692935</v>
      </c>
      <c r="AO136" s="1" cm="1">
        <f t="array" ref="AO136">_xlfn.XLOOKUP(1,('2016 E Maize Soil VWC'!$C$2:$C$4000=$AA136)*('2016 E Maize Soil VWC'!$E$2:$E$4000=$AB136)*('2016 E Maize Soil VWC'!$F$2:$F$4000=AO$5),'2016 E Maize Soil VWC'!$G$2:$G$4000)</f>
        <v>0.22643617975411573</v>
      </c>
      <c r="AP136" s="1" cm="1">
        <f t="array" ref="AP136">_xlfn.XLOOKUP(1,('2016 E Maize Soil VWC'!$C$2:$C$4000=$AA136)*('2016 E Maize Soil VWC'!$E$2:$E$4000=$AB136)*('2016 E Maize Soil VWC'!$F$2:$F$4000=AP$5),'2016 E Maize Soil VWC'!$G$2:$G$4000)</f>
        <v>0.20740821617976524</v>
      </c>
      <c r="AQ136" s="1" cm="1">
        <f t="array" ref="AQ136">_xlfn.XLOOKUP(1,('2016 E Maize Soil VWC'!$C$2:$C$4000=$AA136)*('2016 E Maize Soil VWC'!$E$2:$E$4000=$AB136)*('2016 E Maize Soil VWC'!$F$2:$F$4000=AQ$5),'2016 E Maize Soil VWC'!$G$2:$G$4000)</f>
        <v>0.27887816807294047</v>
      </c>
      <c r="AR136" s="1" cm="1">
        <f t="array" ref="AR136">_xlfn.XLOOKUP(1,('2016 E Maize Soil VWC'!$C$2:$C$4000=$AA136)*('2016 E Maize Soil VWC'!$E$2:$E$4000=$AB136)*('2016 E Maize Soil VWC'!$F$2:$F$4000=AR$5),'2016 E Maize Soil VWC'!$G$2:$G$4000)</f>
        <v>0.27797664157294605</v>
      </c>
      <c r="AS136" s="1" cm="1">
        <f t="array" ref="AS136">_xlfn.XLOOKUP(1,('2016 E Maize Soil VWC'!$C$2:$C$4000=$AA136)*('2016 E Maize Soil VWC'!$E$2:$E$4000=$AB136)*('2016 E Maize Soil VWC'!$F$2:$F$4000=AS$5),'2016 E Maize Soil VWC'!$G$2:$G$4000)</f>
        <v>0.26560462896663956</v>
      </c>
      <c r="AT136" s="1" cm="1">
        <f t="array" ref="AT136">_xlfn.XLOOKUP(1,('2016 E Maize Soil VWC'!$C$2:$C$4000=$AA136)*('2016 E Maize Soil VWC'!$E$2:$E$4000=$AB136)*('2016 E Maize Soil VWC'!$F$2:$F$4000=AT$5),'2016 E Maize Soil VWC'!$G$2:$G$4000)</f>
        <v>0.24028516130722161</v>
      </c>
      <c r="AU136" s="1" cm="1">
        <f t="array" ref="AU136">_xlfn.XLOOKUP(1,('2016 E Maize Soil VWC'!$C$2:$C$4000=$AA136)*('2016 E Maize Soil VWC'!$E$2:$E$4000=$AB136)*('2016 E Maize Soil VWC'!$F$2:$F$4000=AU$5),'2016 E Maize Soil VWC'!$G$2:$G$4000)</f>
        <v>0.25426841276458195</v>
      </c>
      <c r="AV136" s="1" cm="1">
        <f t="array" ref="AV136">_xlfn.XLOOKUP(1,('2016 E Maize Soil VWC'!$C$2:$C$4000=$AA136)*('2016 E Maize Soil VWC'!$E$2:$E$4000=$AB136)*('2016 E Maize Soil VWC'!$F$2:$F$4000=AV$5),'2016 E Maize Soil VWC'!$G$2:$G$4000)</f>
        <v>0.22045157830734419</v>
      </c>
      <c r="AW136" s="1">
        <f>Z136</f>
        <v>224</v>
      </c>
      <c r="AX136" s="15">
        <f>AA136</f>
        <v>42593</v>
      </c>
      <c r="AY136" s="1">
        <f>1400*AVERAGE(AG136:AH142)+100*AVERAGE(AG143:AH143)</f>
        <v>480.73658022281177</v>
      </c>
      <c r="AZ136" s="1">
        <f>1400*AVERAGE(AC136:AF142,AI136:AL142)+100*AVERAGE(AC143:AF143,AI143:AL143)</f>
        <v>477.94907941387925</v>
      </c>
      <c r="BA136" s="1">
        <f>1400*AVERAGE(AQ136:AR142)+100*AVERAGE(AQ143:AR143)</f>
        <v>473.85544939420618</v>
      </c>
      <c r="BB136" s="1">
        <f>1400*AVERAGE(AM136:AP142,AS136:AV142)+100*AVERAGE(AM143:AP143,AS143:AV143)</f>
        <v>452.18308211431503</v>
      </c>
      <c r="BC136" s="1">
        <f>AVERAGE(AC136:AD147)*2400</f>
        <v>754.10088992275701</v>
      </c>
      <c r="BD136" s="1">
        <f>AVERAGE(AE136:AF147)*2400</f>
        <v>731.0768791198991</v>
      </c>
      <c r="BE136" s="1">
        <f>AVERAGE(AG136:AH145)*2000</f>
        <v>655.91187101106823</v>
      </c>
      <c r="BF136" s="1">
        <f>AVERAGE(AI136:AJ147)*2400</f>
        <v>748.86807585964755</v>
      </c>
      <c r="BG136" s="1">
        <f>AVERAGE(AK136:AL147)*2400</f>
        <v>751.59390802746418</v>
      </c>
      <c r="BH136" s="1">
        <f>AVERAGE(AM136:AN147)*2400</f>
        <v>734.29122032725127</v>
      </c>
      <c r="BI136" s="1">
        <f>AVERAGE(AO136:AP147)*2400</f>
        <v>696.67056061281585</v>
      </c>
      <c r="BJ136" s="1">
        <f>AVERAGE(AQ136:AR145)*2000</f>
        <v>647.96505853071312</v>
      </c>
      <c r="BK136" s="1">
        <f>AVERAGE(AS136:AT147)*2400</f>
        <v>759.42945462844261</v>
      </c>
      <c r="BL136" s="1">
        <f>AVERAGE(AU136:AV147)*2400</f>
        <v>740.60053803626977</v>
      </c>
    </row>
    <row r="137" spans="25:64" x14ac:dyDescent="0.25">
      <c r="AA137" s="18">
        <f t="shared" ref="AA137:AA147" si="23">AA136</f>
        <v>42593</v>
      </c>
      <c r="AB137" s="1">
        <f t="shared" ref="AB137:AB147" si="24">AB136+20</f>
        <v>30</v>
      </c>
      <c r="AC137" s="1" cm="1">
        <f t="array" ref="AC137">_xlfn.XLOOKUP(1,('2016 E Maize Soil VWC'!$C$2:$C$4000=$AA137)*('2016 E Maize Soil VWC'!$E$2:$E$4000=$AB137)*('2016 E Maize Soil VWC'!$F$2:$F$4000=AC$5),'2016 E Maize Soil VWC'!$G$2:$G$4000)</f>
        <v>0.32177546011346791</v>
      </c>
      <c r="AD137" s="1" cm="1">
        <f t="array" ref="AD137">_xlfn.XLOOKUP(1,('2016 E Maize Soil VWC'!$C$2:$C$4000=$AA137)*('2016 E Maize Soil VWC'!$E$2:$E$4000=$AB137)*('2016 E Maize Soil VWC'!$F$2:$F$4000=AD$5),'2016 E Maize Soil VWC'!$G$2:$G$4000)</f>
        <v>0.3308202895772262</v>
      </c>
      <c r="AE137" s="1" cm="1">
        <f t="array" ref="AE137">_xlfn.XLOOKUP(1,('2016 E Maize Soil VWC'!$C$2:$C$4000=$AA137)*('2016 E Maize Soil VWC'!$E$2:$E$4000=$AB137)*('2016 E Maize Soil VWC'!$F$2:$F$4000=AE$5),'2016 E Maize Soil VWC'!$G$2:$G$4000)</f>
        <v>0.2849778880925577</v>
      </c>
      <c r="AF137" s="1" cm="1">
        <f t="array" ref="AF137">_xlfn.XLOOKUP(1,('2016 E Maize Soil VWC'!$C$2:$C$4000=$AA137)*('2016 E Maize Soil VWC'!$E$2:$E$4000=$AB137)*('2016 E Maize Soil VWC'!$F$2:$F$4000=AF$5),'2016 E Maize Soil VWC'!$G$2:$G$4000)</f>
        <v>0.30123568282488267</v>
      </c>
      <c r="AG137" s="1" cm="1">
        <f t="array" ref="AG137">_xlfn.XLOOKUP(1,('2016 E Maize Soil VWC'!$C$2:$C$4000=$AA137)*('2016 E Maize Soil VWC'!$E$2:$E$4000=$AB137)*('2016 E Maize Soil VWC'!$F$2:$F$4000=AG$5),'2016 E Maize Soil VWC'!$G$2:$G$4000)</f>
        <v>0.33480459420176778</v>
      </c>
      <c r="AH137" s="1" cm="1">
        <f t="array" ref="AH137">_xlfn.XLOOKUP(1,('2016 E Maize Soil VWC'!$C$2:$C$4000=$AA137)*('2016 E Maize Soil VWC'!$E$2:$E$4000=$AB137)*('2016 E Maize Soil VWC'!$F$2:$F$4000=AH$5),'2016 E Maize Soil VWC'!$G$2:$G$4000)</f>
        <v>0.31795144360600558</v>
      </c>
      <c r="AI137" s="1" cm="1">
        <f t="array" ref="AI137">_xlfn.XLOOKUP(1,('2016 E Maize Soil VWC'!$C$2:$C$4000=$AA137)*('2016 E Maize Soil VWC'!$E$2:$E$4000=$AB137)*('2016 E Maize Soil VWC'!$F$2:$F$4000=AI$5),'2016 E Maize Soil VWC'!$G$2:$G$4000)</f>
        <v>0.30004497109800821</v>
      </c>
      <c r="AJ137" s="1" cm="1">
        <f t="array" ref="AJ137">_xlfn.XLOOKUP(1,('2016 E Maize Soil VWC'!$C$2:$C$4000=$AA137)*('2016 E Maize Soil VWC'!$E$2:$E$4000=$AB137)*('2016 E Maize Soil VWC'!$F$2:$F$4000=AJ$5),'2016 E Maize Soil VWC'!$G$2:$G$4000)</f>
        <v>0.29983888637604916</v>
      </c>
      <c r="AK137" s="1" cm="1">
        <f t="array" ref="AK137">_xlfn.XLOOKUP(1,('2016 E Maize Soil VWC'!$C$2:$C$4000=$AA137)*('2016 E Maize Soil VWC'!$E$2:$E$4000=$AB137)*('2016 E Maize Soil VWC'!$F$2:$F$4000=AK$5),'2016 E Maize Soil VWC'!$G$2:$G$4000)</f>
        <v>0.32555368001605045</v>
      </c>
      <c r="AL137" s="1" cm="1">
        <f t="array" ref="AL137">_xlfn.XLOOKUP(1,('2016 E Maize Soil VWC'!$C$2:$C$4000=$AA137)*('2016 E Maize Soil VWC'!$E$2:$E$4000=$AB137)*('2016 E Maize Soil VWC'!$F$2:$F$4000=AL$5),'2016 E Maize Soil VWC'!$G$2:$G$4000)</f>
        <v>0.31987490101095667</v>
      </c>
      <c r="AM137" s="1" cm="1">
        <f t="array" ref="AM137">_xlfn.XLOOKUP(1,('2016 E Maize Soil VWC'!$C$2:$C$4000=$AA137)*('2016 E Maize Soil VWC'!$E$2:$E$4000=$AB137)*('2016 E Maize Soil VWC'!$F$2:$F$4000=AM$5),'2016 E Maize Soil VWC'!$G$2:$G$4000)</f>
        <v>0.27210904212133707</v>
      </c>
      <c r="AN137" s="1" cm="1">
        <f t="array" ref="AN137">_xlfn.XLOOKUP(1,('2016 E Maize Soil VWC'!$C$2:$C$4000=$AA137)*('2016 E Maize Soil VWC'!$E$2:$E$4000=$AB137)*('2016 E Maize Soil VWC'!$F$2:$F$4000=AN$5),'2016 E Maize Soil VWC'!$G$2:$G$4000)</f>
        <v>0.25081362085223541</v>
      </c>
      <c r="AO137" s="1" cm="1">
        <f t="array" ref="AO137">_xlfn.XLOOKUP(1,('2016 E Maize Soil VWC'!$C$2:$C$4000=$AA137)*('2016 E Maize Soil VWC'!$E$2:$E$4000=$AB137)*('2016 E Maize Soil VWC'!$F$2:$F$4000=AO$5),'2016 E Maize Soil VWC'!$G$2:$G$4000)</f>
        <v>0.20263559251869767</v>
      </c>
      <c r="AP137" s="1" cm="1">
        <f t="array" ref="AP137">_xlfn.XLOOKUP(1,('2016 E Maize Soil VWC'!$C$2:$C$4000=$AA137)*('2016 E Maize Soil VWC'!$E$2:$E$4000=$AB137)*('2016 E Maize Soil VWC'!$F$2:$F$4000=AP$5),'2016 E Maize Soil VWC'!$G$2:$G$4000)</f>
        <v>0.19910925394295398</v>
      </c>
      <c r="AQ137" s="1" cm="1">
        <f t="array" ref="AQ137">_xlfn.XLOOKUP(1,('2016 E Maize Soil VWC'!$C$2:$C$4000=$AA137)*('2016 E Maize Soil VWC'!$E$2:$E$4000=$AB137)*('2016 E Maize Soil VWC'!$F$2:$F$4000=AQ$5),'2016 E Maize Soil VWC'!$G$2:$G$4000)</f>
        <v>0.33494198401640718</v>
      </c>
      <c r="AR137" s="1" cm="1">
        <f t="array" ref="AR137">_xlfn.XLOOKUP(1,('2016 E Maize Soil VWC'!$C$2:$C$4000=$AA137)*('2016 E Maize Soil VWC'!$E$2:$E$4000=$AB137)*('2016 E Maize Soil VWC'!$F$2:$F$4000=AR$5),'2016 E Maize Soil VWC'!$G$2:$G$4000)</f>
        <v>0.34146800021177703</v>
      </c>
      <c r="AS137" s="1" cm="1">
        <f t="array" ref="AS137">_xlfn.XLOOKUP(1,('2016 E Maize Soil VWC'!$C$2:$C$4000=$AA137)*('2016 E Maize Soil VWC'!$E$2:$E$4000=$AB137)*('2016 E Maize Soil VWC'!$F$2:$F$4000=AS$5),'2016 E Maize Soil VWC'!$G$2:$G$4000)</f>
        <v>0.31923374854263964</v>
      </c>
      <c r="AT137" s="1" cm="1">
        <f t="array" ref="AT137">_xlfn.XLOOKUP(1,('2016 E Maize Soil VWC'!$C$2:$C$4000=$AA137)*('2016 E Maize Soil VWC'!$E$2:$E$4000=$AB137)*('2016 E Maize Soil VWC'!$F$2:$F$4000=AT$5),'2016 E Maize Soil VWC'!$G$2:$G$4000)</f>
        <v>0.28445122713644017</v>
      </c>
      <c r="AU137" s="1" cm="1">
        <f t="array" ref="AU137">_xlfn.XLOOKUP(1,('2016 E Maize Soil VWC'!$C$2:$C$4000=$AA137)*('2016 E Maize Soil VWC'!$E$2:$E$4000=$AB137)*('2016 E Maize Soil VWC'!$F$2:$F$4000=AU$5),'2016 E Maize Soil VWC'!$G$2:$G$4000)</f>
        <v>0.28392456618032258</v>
      </c>
      <c r="AV137" s="1" cm="1">
        <f t="array" ref="AV137">_xlfn.XLOOKUP(1,('2016 E Maize Soil VWC'!$C$2:$C$4000=$AA137)*('2016 E Maize Soil VWC'!$E$2:$E$4000=$AB137)*('2016 E Maize Soil VWC'!$F$2:$F$4000=AV$5),'2016 E Maize Soil VWC'!$G$2:$G$4000)</f>
        <v>0.25946917917451545</v>
      </c>
    </row>
    <row r="138" spans="25:64" x14ac:dyDescent="0.25">
      <c r="AA138" s="18">
        <f t="shared" si="23"/>
        <v>42593</v>
      </c>
      <c r="AB138" s="1">
        <f t="shared" si="24"/>
        <v>50</v>
      </c>
      <c r="AC138" s="1" cm="1">
        <f t="array" ref="AC138">_xlfn.XLOOKUP(1,('2016 E Maize Soil VWC'!$C$2:$C$4000=$AA138)*('2016 E Maize Soil VWC'!$E$2:$E$4000=$AB138)*('2016 E Maize Soil VWC'!$F$2:$F$4000=AC$5),'2016 E Maize Soil VWC'!$G$2:$G$4000)</f>
        <v>0.33615559404572154</v>
      </c>
      <c r="AD138" s="1" cm="1">
        <f t="array" ref="AD138">_xlfn.XLOOKUP(1,('2016 E Maize Soil VWC'!$C$2:$C$4000=$AA138)*('2016 E Maize Soil VWC'!$E$2:$E$4000=$AB138)*('2016 E Maize Soil VWC'!$F$2:$F$4000=AD$5),'2016 E Maize Soil VWC'!$G$2:$G$4000)</f>
        <v>0.34355174573380748</v>
      </c>
      <c r="AE138" s="1" cm="1">
        <f t="array" ref="AE138">_xlfn.XLOOKUP(1,('2016 E Maize Soil VWC'!$C$2:$C$4000=$AA138)*('2016 E Maize Soil VWC'!$E$2:$E$4000=$AB138)*('2016 E Maize Soil VWC'!$F$2:$F$4000=AE$5),'2016 E Maize Soil VWC'!$G$2:$G$4000)</f>
        <v>0.34666591486563308</v>
      </c>
      <c r="AF138" s="1" cm="1">
        <f t="array" ref="AF138">_xlfn.XLOOKUP(1,('2016 E Maize Soil VWC'!$C$2:$C$4000=$AA138)*('2016 E Maize Soil VWC'!$E$2:$E$4000=$AB138)*('2016 E Maize Soil VWC'!$F$2:$F$4000=AF$5),'2016 E Maize Soil VWC'!$G$2:$G$4000)</f>
        <v>0.33457561117736889</v>
      </c>
      <c r="AG138" s="1" cm="1">
        <f t="array" ref="AG138">_xlfn.XLOOKUP(1,('2016 E Maize Soil VWC'!$C$2:$C$4000=$AA138)*('2016 E Maize Soil VWC'!$E$2:$E$4000=$AB138)*('2016 E Maize Soil VWC'!$F$2:$F$4000=AG$5),'2016 E Maize Soil VWC'!$G$2:$G$4000)</f>
        <v>0.32866784914787611</v>
      </c>
      <c r="AH138" s="1" cm="1">
        <f t="array" ref="AH138">_xlfn.XLOOKUP(1,('2016 E Maize Soil VWC'!$C$2:$C$4000=$AA138)*('2016 E Maize Soil VWC'!$E$2:$E$4000=$AB138)*('2016 E Maize Soil VWC'!$F$2:$F$4000=AH$5),'2016 E Maize Soil VWC'!$G$2:$G$4000)</f>
        <v>0.33556023818228431</v>
      </c>
      <c r="AI138" s="1" cm="1">
        <f t="array" ref="AI138">_xlfn.XLOOKUP(1,('2016 E Maize Soil VWC'!$C$2:$C$4000=$AA138)*('2016 E Maize Soil VWC'!$E$2:$E$4000=$AB138)*('2016 E Maize Soil VWC'!$F$2:$F$4000=AI$5),'2016 E Maize Soil VWC'!$G$2:$G$4000)</f>
        <v>0.33636167876768058</v>
      </c>
      <c r="AJ138" s="1" cm="1">
        <f t="array" ref="AJ138">_xlfn.XLOOKUP(1,('2016 E Maize Soil VWC'!$C$2:$C$4000=$AA138)*('2016 E Maize Soil VWC'!$E$2:$E$4000=$AB138)*('2016 E Maize Soil VWC'!$F$2:$F$4000=AJ$5),'2016 E Maize Soil VWC'!$G$2:$G$4000)</f>
        <v>0.32005808743047581</v>
      </c>
      <c r="AK138" s="1" cm="1">
        <f t="array" ref="AK138">_xlfn.XLOOKUP(1,('2016 E Maize Soil VWC'!$C$2:$C$4000=$AA138)*('2016 E Maize Soil VWC'!$E$2:$E$4000=$AB138)*('2016 E Maize Soil VWC'!$F$2:$F$4000=AK$5),'2016 E Maize Soil VWC'!$G$2:$G$4000)</f>
        <v>0.31293671537166867</v>
      </c>
      <c r="AL138" s="1" cm="1">
        <f t="array" ref="AL138">_xlfn.XLOOKUP(1,('2016 E Maize Soil VWC'!$C$2:$C$4000=$AA138)*('2016 E Maize Soil VWC'!$E$2:$E$4000=$AB138)*('2016 E Maize Soil VWC'!$F$2:$F$4000=AL$5),'2016 E Maize Soil VWC'!$G$2:$G$4000)</f>
        <v>0.3531232361536833</v>
      </c>
      <c r="AM138" s="1" cm="1">
        <f t="array" ref="AM138">_xlfn.XLOOKUP(1,('2016 E Maize Soil VWC'!$C$2:$C$4000=$AA138)*('2016 E Maize Soil VWC'!$E$2:$E$4000=$AB138)*('2016 E Maize Soil VWC'!$F$2:$F$4000=AM$5),'2016 E Maize Soil VWC'!$G$2:$G$4000)</f>
        <v>0.32626352739168718</v>
      </c>
      <c r="AN138" s="1" cm="1">
        <f t="array" ref="AN138">_xlfn.XLOOKUP(1,('2016 E Maize Soil VWC'!$C$2:$C$4000=$AA138)*('2016 E Maize Soil VWC'!$E$2:$E$4000=$AB138)*('2016 E Maize Soil VWC'!$F$2:$F$4000=AN$5),'2016 E Maize Soil VWC'!$G$2:$G$4000)</f>
        <v>0.3190963587280003</v>
      </c>
      <c r="AO138" s="1" cm="1">
        <f t="array" ref="AO138">_xlfn.XLOOKUP(1,('2016 E Maize Soil VWC'!$C$2:$C$4000=$AA138)*('2016 E Maize Soil VWC'!$E$2:$E$4000=$AB138)*('2016 E Maize Soil VWC'!$F$2:$F$4000=AO$5),'2016 E Maize Soil VWC'!$G$2:$G$4000)</f>
        <v>0.29029029425861325</v>
      </c>
      <c r="AP138" s="1" cm="1">
        <f t="array" ref="AP138">_xlfn.XLOOKUP(1,('2016 E Maize Soil VWC'!$C$2:$C$4000=$AA138)*('2016 E Maize Soil VWC'!$E$2:$E$4000=$AB138)*('2016 E Maize Soil VWC'!$F$2:$F$4000=AP$5),'2016 E Maize Soil VWC'!$G$2:$G$4000)</f>
        <v>0.28078749874605707</v>
      </c>
      <c r="AQ138" s="1" cm="1">
        <f t="array" ref="AQ138">_xlfn.XLOOKUP(1,('2016 E Maize Soil VWC'!$C$2:$C$4000=$AA138)*('2016 E Maize Soil VWC'!$E$2:$E$4000=$AB138)*('2016 E Maize Soil VWC'!$F$2:$F$4000=AQ$5),'2016 E Maize Soil VWC'!$G$2:$G$4000)</f>
        <v>0.32985856087475063</v>
      </c>
      <c r="AR138" s="1" cm="1">
        <f t="array" ref="AR138">_xlfn.XLOOKUP(1,('2016 E Maize Soil VWC'!$C$2:$C$4000=$AA138)*('2016 E Maize Soil VWC'!$E$2:$E$4000=$AB138)*('2016 E Maize Soil VWC'!$F$2:$F$4000=AR$5),'2016 E Maize Soil VWC'!$G$2:$G$4000)</f>
        <v>0.32953798464059209</v>
      </c>
      <c r="AS138" s="1" cm="1">
        <f t="array" ref="AS138">_xlfn.XLOOKUP(1,('2016 E Maize Soil VWC'!$C$2:$C$4000=$AA138)*('2016 E Maize Soil VWC'!$E$2:$E$4000=$AB138)*('2016 E Maize Soil VWC'!$F$2:$F$4000=AS$5),'2016 E Maize Soil VWC'!$G$2:$G$4000)</f>
        <v>0.3530545412463636</v>
      </c>
      <c r="AT138" s="1" cm="1">
        <f t="array" ref="AT138">_xlfn.XLOOKUP(1,('2016 E Maize Soil VWC'!$C$2:$C$4000=$AA138)*('2016 E Maize Soil VWC'!$E$2:$E$4000=$AB138)*('2016 E Maize Soil VWC'!$F$2:$F$4000=AT$5),'2016 E Maize Soil VWC'!$G$2:$G$4000)</f>
        <v>0.33787296672871364</v>
      </c>
      <c r="AU138" s="1" cm="1">
        <f t="array" ref="AU138">_xlfn.XLOOKUP(1,('2016 E Maize Soil VWC'!$C$2:$C$4000=$AA138)*('2016 E Maize Soil VWC'!$E$2:$E$4000=$AB138)*('2016 E Maize Soil VWC'!$F$2:$F$4000=AU$5),'2016 E Maize Soil VWC'!$G$2:$G$4000)</f>
        <v>0.33125535732358413</v>
      </c>
      <c r="AV138" s="1" cm="1">
        <f t="array" ref="AV138">_xlfn.XLOOKUP(1,('2016 E Maize Soil VWC'!$C$2:$C$4000=$AA138)*('2016 E Maize Soil VWC'!$E$2:$E$4000=$AB138)*('2016 E Maize Soil VWC'!$F$2:$F$4000=AV$5),'2016 E Maize Soil VWC'!$G$2:$G$4000)</f>
        <v>0.34105583076785895</v>
      </c>
    </row>
    <row r="139" spans="25:64" x14ac:dyDescent="0.25">
      <c r="AA139" s="18">
        <f t="shared" si="23"/>
        <v>42593</v>
      </c>
      <c r="AB139" s="1">
        <f t="shared" si="24"/>
        <v>70</v>
      </c>
      <c r="AC139" s="1" cm="1">
        <f t="array" ref="AC139">_xlfn.XLOOKUP(1,('2016 E Maize Soil VWC'!$C$2:$C$4000=$AA139)*('2016 E Maize Soil VWC'!$E$2:$E$4000=$AB139)*('2016 E Maize Soil VWC'!$F$2:$F$4000=AC$5),'2016 E Maize Soil VWC'!$G$2:$G$4000)</f>
        <v>0.32573686643556965</v>
      </c>
      <c r="AD139" s="1" cm="1">
        <f t="array" ref="AD139">_xlfn.XLOOKUP(1,('2016 E Maize Soil VWC'!$C$2:$C$4000=$AA139)*('2016 E Maize Soil VWC'!$E$2:$E$4000=$AB139)*('2016 E Maize Soil VWC'!$F$2:$F$4000=AD$5),'2016 E Maize Soil VWC'!$G$2:$G$4000)</f>
        <v>0.33812484805555248</v>
      </c>
      <c r="AE139" s="1" cm="1">
        <f t="array" ref="AE139">_xlfn.XLOOKUP(1,('2016 E Maize Soil VWC'!$C$2:$C$4000=$AA139)*('2016 E Maize Soil VWC'!$E$2:$E$4000=$AB139)*('2016 E Maize Soil VWC'!$F$2:$F$4000=AE$5),'2016 E Maize Soil VWC'!$G$2:$G$4000)</f>
        <v>0.33670515330427903</v>
      </c>
      <c r="AF139" s="1" cm="1">
        <f t="array" ref="AF139">_xlfn.XLOOKUP(1,('2016 E Maize Soil VWC'!$C$2:$C$4000=$AA139)*('2016 E Maize Soil VWC'!$E$2:$E$4000=$AB139)*('2016 E Maize Soil VWC'!$F$2:$F$4000=AF$5),'2016 E Maize Soil VWC'!$G$2:$G$4000)</f>
        <v>0.31792854530356568</v>
      </c>
      <c r="AG139" s="1" cm="1">
        <f t="array" ref="AG139">_xlfn.XLOOKUP(1,('2016 E Maize Soil VWC'!$C$2:$C$4000=$AA139)*('2016 E Maize Soil VWC'!$E$2:$E$4000=$AB139)*('2016 E Maize Soil VWC'!$F$2:$F$4000=AG$5),'2016 E Maize Soil VWC'!$G$2:$G$4000)</f>
        <v>0.31666913866937152</v>
      </c>
      <c r="AH139" s="1" cm="1">
        <f t="array" ref="AH139">_xlfn.XLOOKUP(1,('2016 E Maize Soil VWC'!$C$2:$C$4000=$AA139)*('2016 E Maize Soil VWC'!$E$2:$E$4000=$AB139)*('2016 E Maize Soil VWC'!$F$2:$F$4000=AH$5),'2016 E Maize Soil VWC'!$G$2:$G$4000)</f>
        <v>0.32857625593811657</v>
      </c>
      <c r="AI139" s="1" cm="1">
        <f t="array" ref="AI139">_xlfn.XLOOKUP(1,('2016 E Maize Soil VWC'!$C$2:$C$4000=$AA139)*('2016 E Maize Soil VWC'!$E$2:$E$4000=$AB139)*('2016 E Maize Soil VWC'!$F$2:$F$4000=AI$5),'2016 E Maize Soil VWC'!$G$2:$G$4000)</f>
        <v>0.3291487134991139</v>
      </c>
      <c r="AJ139" s="1" cm="1">
        <f t="array" ref="AJ139">_xlfn.XLOOKUP(1,('2016 E Maize Soil VWC'!$C$2:$C$4000=$AA139)*('2016 E Maize Soil VWC'!$E$2:$E$4000=$AB139)*('2016 E Maize Soil VWC'!$F$2:$F$4000=AJ$5),'2016 E Maize Soil VWC'!$G$2:$G$4000)</f>
        <v>0.31394424067902404</v>
      </c>
      <c r="AK139" s="1" cm="1">
        <f t="array" ref="AK139">_xlfn.XLOOKUP(1,('2016 E Maize Soil VWC'!$C$2:$C$4000=$AA139)*('2016 E Maize Soil VWC'!$E$2:$E$4000=$AB139)*('2016 E Maize Soil VWC'!$F$2:$F$4000=AK$5),'2016 E Maize Soil VWC'!$G$2:$G$4000)</f>
        <v>0.32042446026951416</v>
      </c>
      <c r="AL139" s="1" cm="1">
        <f t="array" ref="AL139">_xlfn.XLOOKUP(1,('2016 E Maize Soil VWC'!$C$2:$C$4000=$AA139)*('2016 E Maize Soil VWC'!$E$2:$E$4000=$AB139)*('2016 E Maize Soil VWC'!$F$2:$F$4000=AL$5),'2016 E Maize Soil VWC'!$G$2:$G$4000)</f>
        <v>0.3408497460458999</v>
      </c>
      <c r="AM139" s="1" cm="1">
        <f t="array" ref="AM139">_xlfn.XLOOKUP(1,('2016 E Maize Soil VWC'!$C$2:$C$4000=$AA139)*('2016 E Maize Soil VWC'!$E$2:$E$4000=$AB139)*('2016 E Maize Soil VWC'!$F$2:$F$4000=AM$5),'2016 E Maize Soil VWC'!$G$2:$G$4000)</f>
        <v>0.33253766226021825</v>
      </c>
      <c r="AN139" s="1" cm="1">
        <f t="array" ref="AN139">_xlfn.XLOOKUP(1,('2016 E Maize Soil VWC'!$C$2:$C$4000=$AA139)*('2016 E Maize Soil VWC'!$E$2:$E$4000=$AB139)*('2016 E Maize Soil VWC'!$F$2:$F$4000=AN$5),'2016 E Maize Soil VWC'!$G$2:$G$4000)</f>
        <v>0.31257034253263039</v>
      </c>
      <c r="AO139" s="1" cm="1">
        <f t="array" ref="AO139">_xlfn.XLOOKUP(1,('2016 E Maize Soil VWC'!$C$2:$C$4000=$AA139)*('2016 E Maize Soil VWC'!$E$2:$E$4000=$AB139)*('2016 E Maize Soil VWC'!$F$2:$F$4000=AO$5),'2016 E Maize Soil VWC'!$G$2:$G$4000)</f>
        <v>0.3136694610497453</v>
      </c>
      <c r="AP139" s="1" cm="1">
        <f t="array" ref="AP139">_xlfn.XLOOKUP(1,('2016 E Maize Soil VWC'!$C$2:$C$4000=$AA139)*('2016 E Maize Soil VWC'!$E$2:$E$4000=$AB139)*('2016 E Maize Soil VWC'!$F$2:$F$4000=AP$5),'2016 E Maize Soil VWC'!$G$2:$G$4000)</f>
        <v>0.3223479176744653</v>
      </c>
      <c r="AQ139" s="1" cm="1">
        <f t="array" ref="AQ139">_xlfn.XLOOKUP(1,('2016 E Maize Soil VWC'!$C$2:$C$4000=$AA139)*('2016 E Maize Soil VWC'!$E$2:$E$4000=$AB139)*('2016 E Maize Soil VWC'!$F$2:$F$4000=AQ$5),'2016 E Maize Soil VWC'!$G$2:$G$4000)</f>
        <v>0.31142542741063567</v>
      </c>
      <c r="AR139" s="1" cm="1">
        <f t="array" ref="AR139">_xlfn.XLOOKUP(1,('2016 E Maize Soil VWC'!$C$2:$C$4000=$AA139)*('2016 E Maize Soil VWC'!$E$2:$E$4000=$AB139)*('2016 E Maize Soil VWC'!$F$2:$F$4000=AR$5),'2016 E Maize Soil VWC'!$G$2:$G$4000)</f>
        <v>0.3122497662984719</v>
      </c>
      <c r="AS139" s="1" cm="1">
        <f t="array" ref="AS139">_xlfn.XLOOKUP(1,('2016 E Maize Soil VWC'!$C$2:$C$4000=$AA139)*('2016 E Maize Soil VWC'!$E$2:$E$4000=$AB139)*('2016 E Maize Soil VWC'!$F$2:$F$4000=AS$5),'2016 E Maize Soil VWC'!$G$2:$G$4000)</f>
        <v>0.33551444157740451</v>
      </c>
      <c r="AT139" s="1" cm="1">
        <f t="array" ref="AT139">_xlfn.XLOOKUP(1,('2016 E Maize Soil VWC'!$C$2:$C$4000=$AA139)*('2016 E Maize Soil VWC'!$E$2:$E$4000=$AB139)*('2016 E Maize Soil VWC'!$F$2:$F$4000=AT$5),'2016 E Maize Soil VWC'!$G$2:$G$4000)</f>
        <v>0.31884447740116145</v>
      </c>
      <c r="AU139" s="1" cm="1">
        <f t="array" ref="AU139">_xlfn.XLOOKUP(1,('2016 E Maize Soil VWC'!$C$2:$C$4000=$AA139)*('2016 E Maize Soil VWC'!$E$2:$E$4000=$AB139)*('2016 E Maize Soil VWC'!$F$2:$F$4000=AU$5),'2016 E Maize Soil VWC'!$G$2:$G$4000)</f>
        <v>0.30977674963496327</v>
      </c>
      <c r="AV139" s="1" cm="1">
        <f t="array" ref="AV139">_xlfn.XLOOKUP(1,('2016 E Maize Soil VWC'!$C$2:$C$4000=$AA139)*('2016 E Maize Soil VWC'!$E$2:$E$4000=$AB139)*('2016 E Maize Soil VWC'!$F$2:$F$4000=AV$5),'2016 E Maize Soil VWC'!$G$2:$G$4000)</f>
        <v>0.32882813726495536</v>
      </c>
    </row>
    <row r="140" spans="25:64" x14ac:dyDescent="0.25">
      <c r="AA140" s="18">
        <f t="shared" si="23"/>
        <v>42593</v>
      </c>
      <c r="AB140" s="1">
        <f t="shared" si="24"/>
        <v>90</v>
      </c>
      <c r="AC140" s="1" cm="1">
        <f t="array" ref="AC140">_xlfn.XLOOKUP(1,('2016 E Maize Soil VWC'!$C$2:$C$4000=$AA140)*('2016 E Maize Soil VWC'!$E$2:$E$4000=$AB140)*('2016 E Maize Soil VWC'!$F$2:$F$4000=AC$5),'2016 E Maize Soil VWC'!$G$2:$G$4000)</f>
        <v>0.3154326303376172</v>
      </c>
      <c r="AD140" s="1" cm="1">
        <f t="array" ref="AD140">_xlfn.XLOOKUP(1,('2016 E Maize Soil VWC'!$C$2:$C$4000=$AA140)*('2016 E Maize Soil VWC'!$E$2:$E$4000=$AB140)*('2016 E Maize Soil VWC'!$F$2:$F$4000=AD$5),'2016 E Maize Soil VWC'!$G$2:$G$4000)</f>
        <v>0.34018569527514297</v>
      </c>
      <c r="AE140" s="1" cm="1">
        <f t="array" ref="AE140">_xlfn.XLOOKUP(1,('2016 E Maize Soil VWC'!$C$2:$C$4000=$AA140)*('2016 E Maize Soil VWC'!$E$2:$E$4000=$AB140)*('2016 E Maize Soil VWC'!$F$2:$F$4000=AE$5),'2016 E Maize Soil VWC'!$G$2:$G$4000)</f>
        <v>0.32688178155756437</v>
      </c>
      <c r="AF140" s="1" cm="1">
        <f t="array" ref="AF140">_xlfn.XLOOKUP(1,('2016 E Maize Soil VWC'!$C$2:$C$4000=$AA140)*('2016 E Maize Soil VWC'!$E$2:$E$4000=$AB140)*('2016 E Maize Soil VWC'!$F$2:$F$4000=AF$5),'2016 E Maize Soil VWC'!$G$2:$G$4000)</f>
        <v>0.33061420485526716</v>
      </c>
      <c r="AG140" s="1" cm="1">
        <f t="array" ref="AG140">_xlfn.XLOOKUP(1,('2016 E Maize Soil VWC'!$C$2:$C$4000=$AA140)*('2016 E Maize Soil VWC'!$E$2:$E$4000=$AB140)*('2016 E Maize Soil VWC'!$F$2:$F$4000=AG$5),'2016 E Maize Soil VWC'!$G$2:$G$4000)</f>
        <v>0.31279932555702938</v>
      </c>
      <c r="AH140" s="1" cm="1">
        <f t="array" ref="AH140">_xlfn.XLOOKUP(1,('2016 E Maize Soil VWC'!$C$2:$C$4000=$AA140)*('2016 E Maize Soil VWC'!$E$2:$E$4000=$AB140)*('2016 E Maize Soil VWC'!$F$2:$F$4000=AH$5),'2016 E Maize Soil VWC'!$G$2:$G$4000)</f>
        <v>0.30549476707870304</v>
      </c>
      <c r="AI140" s="1" cm="1">
        <f t="array" ref="AI140">_xlfn.XLOOKUP(1,('2016 E Maize Soil VWC'!$C$2:$C$4000=$AA140)*('2016 E Maize Soil VWC'!$E$2:$E$4000=$AB140)*('2016 E Maize Soil VWC'!$F$2:$F$4000=AI$5),'2016 E Maize Soil VWC'!$G$2:$G$4000)</f>
        <v>0.3321712894211799</v>
      </c>
      <c r="AJ140" s="1" cm="1">
        <f t="array" ref="AJ140">_xlfn.XLOOKUP(1,('2016 E Maize Soil VWC'!$C$2:$C$4000=$AA140)*('2016 E Maize Soil VWC'!$E$2:$E$4000=$AB140)*('2016 E Maize Soil VWC'!$F$2:$F$4000=AJ$5),'2016 E Maize Soil VWC'!$G$2:$G$4000)</f>
        <v>0.3189818672158008</v>
      </c>
      <c r="AK140" s="1" cm="1">
        <f t="array" ref="AK140">_xlfn.XLOOKUP(1,('2016 E Maize Soil VWC'!$C$2:$C$4000=$AA140)*('2016 E Maize Soil VWC'!$E$2:$E$4000=$AB140)*('2016 E Maize Soil VWC'!$F$2:$F$4000=AK$5),'2016 E Maize Soil VWC'!$G$2:$G$4000)</f>
        <v>0.31666913866937152</v>
      </c>
      <c r="AL140" s="1" cm="1">
        <f t="array" ref="AL140">_xlfn.XLOOKUP(1,('2016 E Maize Soil VWC'!$C$2:$C$4000=$AA140)*('2016 E Maize Soil VWC'!$E$2:$E$4000=$AB140)*('2016 E Maize Soil VWC'!$F$2:$F$4000=AL$5),'2016 E Maize Soil VWC'!$G$2:$G$4000)</f>
        <v>0.33542284836764491</v>
      </c>
      <c r="AM140" s="1" cm="1">
        <f t="array" ref="AM140">_xlfn.XLOOKUP(1,('2016 E Maize Soil VWC'!$C$2:$C$4000=$AA140)*('2016 E Maize Soil VWC'!$E$2:$E$4000=$AB140)*('2016 E Maize Soil VWC'!$F$2:$F$4000=AM$5),'2016 E Maize Soil VWC'!$G$2:$G$4000)</f>
        <v>0.32424847677697649</v>
      </c>
      <c r="AN140" s="1" cm="1">
        <f t="array" ref="AN140">_xlfn.XLOOKUP(1,('2016 E Maize Soil VWC'!$C$2:$C$4000=$AA140)*('2016 E Maize Soil VWC'!$E$2:$E$4000=$AB140)*('2016 E Maize Soil VWC'!$F$2:$F$4000=AN$5),'2016 E Maize Soil VWC'!$G$2:$G$4000)</f>
        <v>0.31973751119631733</v>
      </c>
      <c r="AO140" s="1" cm="1">
        <f t="array" ref="AO140">_xlfn.XLOOKUP(1,('2016 E Maize Soil VWC'!$C$2:$C$4000=$AA140)*('2016 E Maize Soil VWC'!$E$2:$E$4000=$AB140)*('2016 E Maize Soil VWC'!$F$2:$F$4000=AO$5),'2016 E Maize Soil VWC'!$G$2:$G$4000)</f>
        <v>0.31799724021088538</v>
      </c>
      <c r="AP140" s="1" cm="1">
        <f t="array" ref="AP140">_xlfn.XLOOKUP(1,('2016 E Maize Soil VWC'!$C$2:$C$4000=$AA140)*('2016 E Maize Soil VWC'!$E$2:$E$4000=$AB140)*('2016 E Maize Soil VWC'!$F$2:$F$4000=AP$5),'2016 E Maize Soil VWC'!$G$2:$G$4000)</f>
        <v>0.30496810612258551</v>
      </c>
      <c r="AQ140" s="1" cm="1">
        <f t="array" ref="AQ140">_xlfn.XLOOKUP(1,('2016 E Maize Soil VWC'!$C$2:$C$4000=$AA140)*('2016 E Maize Soil VWC'!$E$2:$E$4000=$AB140)*('2016 E Maize Soil VWC'!$F$2:$F$4000=AQ$5),'2016 E Maize Soil VWC'!$G$2:$G$4000)</f>
        <v>0.31078427494231864</v>
      </c>
      <c r="AR140" s="1" cm="1">
        <f t="array" ref="AR140">_xlfn.XLOOKUP(1,('2016 E Maize Soil VWC'!$C$2:$C$4000=$AA140)*('2016 E Maize Soil VWC'!$E$2:$E$4000=$AB140)*('2016 E Maize Soil VWC'!$F$2:$F$4000=AR$5),'2016 E Maize Soil VWC'!$G$2:$G$4000)</f>
        <v>0.29759485273693947</v>
      </c>
      <c r="AS140" s="1" cm="1">
        <f t="array" ref="AS140">_xlfn.XLOOKUP(1,('2016 E Maize Soil VWC'!$C$2:$C$4000=$AA140)*('2016 E Maize Soil VWC'!$E$2:$E$4000=$AB140)*('2016 E Maize Soil VWC'!$F$2:$F$4000=AS$5),'2016 E Maize Soil VWC'!$G$2:$G$4000)</f>
        <v>0.33029362862110861</v>
      </c>
      <c r="AT140" s="1" cm="1">
        <f t="array" ref="AT140">_xlfn.XLOOKUP(1,('2016 E Maize Soil VWC'!$C$2:$C$4000=$AA140)*('2016 E Maize Soil VWC'!$E$2:$E$4000=$AB140)*('2016 E Maize Soil VWC'!$F$2:$F$4000=AT$5),'2016 E Maize Soil VWC'!$G$2:$G$4000)</f>
        <v>0.32521020547945206</v>
      </c>
      <c r="AU140" s="1" cm="1">
        <f t="array" ref="AU140">_xlfn.XLOOKUP(1,('2016 E Maize Soil VWC'!$C$2:$C$4000=$AA140)*('2016 E Maize Soil VWC'!$E$2:$E$4000=$AB140)*('2016 E Maize Soil VWC'!$F$2:$F$4000=AU$5),'2016 E Maize Soil VWC'!$G$2:$G$4000)</f>
        <v>0.31291381706922883</v>
      </c>
      <c r="AV140" s="1" cm="1">
        <f t="array" ref="AV140">_xlfn.XLOOKUP(1,('2016 E Maize Soil VWC'!$C$2:$C$4000=$AA140)*('2016 E Maize Soil VWC'!$E$2:$E$4000=$AB140)*('2016 E Maize Soil VWC'!$F$2:$F$4000=AV$5),'2016 E Maize Soil VWC'!$G$2:$G$4000)</f>
        <v>0.32257690069886424</v>
      </c>
    </row>
    <row r="141" spans="25:64" x14ac:dyDescent="0.25">
      <c r="AA141" s="18">
        <f t="shared" si="23"/>
        <v>42593</v>
      </c>
      <c r="AB141" s="1">
        <f t="shared" si="24"/>
        <v>110</v>
      </c>
      <c r="AC141" s="1" cm="1">
        <f t="array" ref="AC141">_xlfn.XLOOKUP(1,('2016 E Maize Soil VWC'!$C$2:$C$4000=$AA141)*('2016 E Maize Soil VWC'!$E$2:$E$4000=$AB141)*('2016 E Maize Soil VWC'!$F$2:$F$4000=AC$5),'2016 E Maize Soil VWC'!$G$2:$G$4000)</f>
        <v>0.33649906858231998</v>
      </c>
      <c r="AD141" s="1" cm="1">
        <f t="array" ref="AD141">_xlfn.XLOOKUP(1,('2016 E Maize Soil VWC'!$C$2:$C$4000=$AA141)*('2016 E Maize Soil VWC'!$E$2:$E$4000=$AB141)*('2016 E Maize Soil VWC'!$F$2:$F$4000=AD$5),'2016 E Maize Soil VWC'!$G$2:$G$4000)</f>
        <v>0.34313957628988934</v>
      </c>
      <c r="AE141" s="1" cm="1">
        <f t="array" ref="AE141">_xlfn.XLOOKUP(1,('2016 E Maize Soil VWC'!$C$2:$C$4000=$AA141)*('2016 E Maize Soil VWC'!$E$2:$E$4000=$AB141)*('2016 E Maize Soil VWC'!$F$2:$F$4000=AE$5),'2016 E Maize Soil VWC'!$G$2:$G$4000)</f>
        <v>0.32642381550876648</v>
      </c>
      <c r="AF141" s="1" cm="1">
        <f t="array" ref="AF141">_xlfn.XLOOKUP(1,('2016 E Maize Soil VWC'!$C$2:$C$4000=$AA141)*('2016 E Maize Soil VWC'!$E$2:$E$4000=$AB141)*('2016 E Maize Soil VWC'!$F$2:$F$4000=AF$5),'2016 E Maize Soil VWC'!$G$2:$G$4000)</f>
        <v>0.32921740840643354</v>
      </c>
      <c r="AG141" s="1" cm="1">
        <f t="array" ref="AG141">_xlfn.XLOOKUP(1,('2016 E Maize Soil VWC'!$C$2:$C$4000=$AA141)*('2016 E Maize Soil VWC'!$E$2:$E$4000=$AB141)*('2016 E Maize Soil VWC'!$F$2:$F$4000=AG$5),'2016 E Maize Soil VWC'!$G$2:$G$4000)</f>
        <v>0.33173622167482197</v>
      </c>
      <c r="AH141" s="1" cm="1">
        <f t="array" ref="AH141">_xlfn.XLOOKUP(1,('2016 E Maize Soil VWC'!$C$2:$C$4000=$AA141)*('2016 E Maize Soil VWC'!$E$2:$E$4000=$AB141)*('2016 E Maize Soil VWC'!$F$2:$F$4000=AH$5),'2016 E Maize Soil VWC'!$G$2:$G$4000)</f>
        <v>0.31982910440607693</v>
      </c>
      <c r="AI141" s="1" cm="1">
        <f t="array" ref="AI141">_xlfn.XLOOKUP(1,('2016 E Maize Soil VWC'!$C$2:$C$4000=$AA141)*('2016 E Maize Soil VWC'!$E$2:$E$4000=$AB141)*('2016 E Maize Soil VWC'!$F$2:$F$4000=AI$5),'2016 E Maize Soil VWC'!$G$2:$G$4000)</f>
        <v>0.34423869480700425</v>
      </c>
      <c r="AJ141" s="1" cm="1">
        <f t="array" ref="AJ141">_xlfn.XLOOKUP(1,('2016 E Maize Soil VWC'!$C$2:$C$4000=$AA141)*('2016 E Maize Soil VWC'!$E$2:$E$4000=$AB141)*('2016 E Maize Soil VWC'!$F$2:$F$4000=AJ$5),'2016 E Maize Soil VWC'!$G$2:$G$4000)</f>
        <v>0.33395735701149171</v>
      </c>
      <c r="AK141" s="1" cm="1">
        <f t="array" ref="AK141">_xlfn.XLOOKUP(1,('2016 E Maize Soil VWC'!$C$2:$C$4000=$AA141)*('2016 E Maize Soil VWC'!$E$2:$E$4000=$AB141)*('2016 E Maize Soil VWC'!$F$2:$F$4000=AK$5),'2016 E Maize Soil VWC'!$G$2:$G$4000)</f>
        <v>0.33478169589932794</v>
      </c>
      <c r="AL141" s="1" cm="1">
        <f t="array" ref="AL141">_xlfn.XLOOKUP(1,('2016 E Maize Soil VWC'!$C$2:$C$4000=$AA141)*('2016 E Maize Soil VWC'!$E$2:$E$4000=$AB141)*('2016 E Maize Soil VWC'!$F$2:$F$4000=AL$5),'2016 E Maize Soil VWC'!$G$2:$G$4000)</f>
        <v>0.34197176286545472</v>
      </c>
      <c r="AM141" s="1" cm="1">
        <f t="array" ref="AM141">_xlfn.XLOOKUP(1,('2016 E Maize Soil VWC'!$C$2:$C$4000=$AA141)*('2016 E Maize Soil VWC'!$E$2:$E$4000=$AB141)*('2016 E Maize Soil VWC'!$F$2:$F$4000=AM$5),'2016 E Maize Soil VWC'!$G$2:$G$4000)</f>
        <v>0.3207450365036727</v>
      </c>
      <c r="AN141" s="1" cm="1">
        <f t="array" ref="AN141">_xlfn.XLOOKUP(1,('2016 E Maize Soil VWC'!$C$2:$C$4000=$AA141)*('2016 E Maize Soil VWC'!$E$2:$E$4000=$AB141)*('2016 E Maize Soil VWC'!$F$2:$F$4000=AN$5),'2016 E Maize Soil VWC'!$G$2:$G$4000)</f>
        <v>0.34066655962638076</v>
      </c>
      <c r="AO141" s="1" cm="1">
        <f t="array" ref="AO141">_xlfn.XLOOKUP(1,('2016 E Maize Soil VWC'!$C$2:$C$4000=$AA141)*('2016 E Maize Soil VWC'!$E$2:$E$4000=$AB141)*('2016 E Maize Soil VWC'!$F$2:$F$4000=AO$5),'2016 E Maize Soil VWC'!$G$2:$G$4000)</f>
        <v>0.34206335607521432</v>
      </c>
      <c r="AP141" s="1" cm="1">
        <f t="array" ref="AP141">_xlfn.XLOOKUP(1,('2016 E Maize Soil VWC'!$C$2:$C$4000=$AA141)*('2016 E Maize Soil VWC'!$E$2:$E$4000=$AB141)*('2016 E Maize Soil VWC'!$F$2:$F$4000=AP$5),'2016 E Maize Soil VWC'!$G$2:$G$4000)</f>
        <v>0.31520364731321826</v>
      </c>
      <c r="AQ141" s="1" cm="1">
        <f t="array" ref="AQ141">_xlfn.XLOOKUP(1,('2016 E Maize Soil VWC'!$C$2:$C$4000=$AA141)*('2016 E Maize Soil VWC'!$E$2:$E$4000=$AB141)*('2016 E Maize Soil VWC'!$F$2:$F$4000=AQ$5),'2016 E Maize Soil VWC'!$G$2:$G$4000)</f>
        <v>0.32124879915735038</v>
      </c>
      <c r="AR141" s="1" cm="1">
        <f t="array" ref="AR141">_xlfn.XLOOKUP(1,('2016 E Maize Soil VWC'!$C$2:$C$4000=$AA141)*('2016 E Maize Soil VWC'!$E$2:$E$4000=$AB141)*('2016 E Maize Soil VWC'!$F$2:$F$4000=AR$5),'2016 E Maize Soil VWC'!$G$2:$G$4000)</f>
        <v>0.3220960363476264</v>
      </c>
      <c r="AS141" s="1" cm="1">
        <f t="array" ref="AS141">_xlfn.XLOOKUP(1,('2016 E Maize Soil VWC'!$C$2:$C$4000=$AA141)*('2016 E Maize Soil VWC'!$E$2:$E$4000=$AB141)*('2016 E Maize Soil VWC'!$F$2:$F$4000=AS$5),'2016 E Maize Soil VWC'!$G$2:$G$4000)</f>
        <v>0.34364333894356702</v>
      </c>
      <c r="AT141" s="1" cm="1">
        <f t="array" ref="AT141">_xlfn.XLOOKUP(1,('2016 E Maize Soil VWC'!$C$2:$C$4000=$AA141)*('2016 E Maize Soil VWC'!$E$2:$E$4000=$AB141)*('2016 E Maize Soil VWC'!$F$2:$F$4000=AT$5),'2016 E Maize Soil VWC'!$G$2:$G$4000)</f>
        <v>0.33572052629936355</v>
      </c>
      <c r="AU141" s="1" cm="1">
        <f t="array" ref="AU141">_xlfn.XLOOKUP(1,('2016 E Maize Soil VWC'!$C$2:$C$4000=$AA141)*('2016 E Maize Soil VWC'!$E$2:$E$4000=$AB141)*('2016 E Maize Soil VWC'!$F$2:$F$4000=AU$5),'2016 E Maize Soil VWC'!$G$2:$G$4000)</f>
        <v>0.33730050916771626</v>
      </c>
      <c r="AV141" s="1" cm="1">
        <f t="array" ref="AV141">_xlfn.XLOOKUP(1,('2016 E Maize Soil VWC'!$C$2:$C$4000=$AA141)*('2016 E Maize Soil VWC'!$E$2:$E$4000=$AB141)*('2016 E Maize Soil VWC'!$F$2:$F$4000=AV$5),'2016 E Maize Soil VWC'!$G$2:$G$4000)</f>
        <v>0.3308202895772262</v>
      </c>
    </row>
    <row r="142" spans="25:64" x14ac:dyDescent="0.25">
      <c r="AA142" s="18">
        <f t="shared" si="23"/>
        <v>42593</v>
      </c>
      <c r="AB142" s="1">
        <f t="shared" si="24"/>
        <v>130</v>
      </c>
      <c r="AC142" s="1" cm="1">
        <f t="array" ref="AC142">_xlfn.XLOOKUP(1,('2016 E Maize Soil VWC'!$C$2:$C$4000=$AA142)*('2016 E Maize Soil VWC'!$E$2:$E$4000=$AB142)*('2016 E Maize Soil VWC'!$F$2:$F$4000=AC$5),'2016 E Maize Soil VWC'!$G$2:$G$4000)</f>
        <v>0.31895628137365278</v>
      </c>
      <c r="AD142" s="1" cm="1">
        <f t="array" ref="AD142">_xlfn.XLOOKUP(1,('2016 E Maize Soil VWC'!$C$2:$C$4000=$AA142)*('2016 E Maize Soil VWC'!$E$2:$E$4000=$AB142)*('2016 E Maize Soil VWC'!$F$2:$F$4000=AD$5),'2016 E Maize Soil VWC'!$G$2:$G$4000)</f>
        <v>0.31430426466555955</v>
      </c>
      <c r="AE142" s="1" cm="1">
        <f t="array" ref="AE142">_xlfn.XLOOKUP(1,('2016 E Maize Soil VWC'!$C$2:$C$4000=$AA142)*('2016 E Maize Soil VWC'!$E$2:$E$4000=$AB142)*('2016 E Maize Soil VWC'!$F$2:$F$4000=AE$5),'2016 E Maize Soil VWC'!$G$2:$G$4000)</f>
        <v>0.3136814005038065</v>
      </c>
      <c r="AF142" s="1" cm="1">
        <f t="array" ref="AF142">_xlfn.XLOOKUP(1,('2016 E Maize Soil VWC'!$C$2:$C$4000=$AA142)*('2016 E Maize Soil VWC'!$E$2:$E$4000=$AB142)*('2016 E Maize Soil VWC'!$F$2:$F$4000=AF$5),'2016 E Maize Soil VWC'!$G$2:$G$4000)</f>
        <v>0.3171266178985031</v>
      </c>
      <c r="AG142" s="1" cm="1">
        <f t="array" ref="AG142">_xlfn.XLOOKUP(1,('2016 E Maize Soil VWC'!$C$2:$C$4000=$AA142)*('2016 E Maize Soil VWC'!$E$2:$E$4000=$AB142)*('2016 E Maize Soil VWC'!$F$2:$F$4000=AG$5),'2016 E Maize Soil VWC'!$G$2:$G$4000)</f>
        <v>0.31259138822073862</v>
      </c>
      <c r="AH142" s="1" cm="1">
        <f t="array" ref="AH142">_xlfn.XLOOKUP(1,('2016 E Maize Soil VWC'!$C$2:$C$4000=$AA142)*('2016 E Maize Soil VWC'!$E$2:$E$4000=$AB142)*('2016 E Maize Soil VWC'!$F$2:$F$4000=AH$5),'2016 E Maize Soil VWC'!$G$2:$G$4000)</f>
        <v>0.3150049868475317</v>
      </c>
      <c r="AI142" s="1" cm="1">
        <f t="array" ref="AI142">_xlfn.XLOOKUP(1,('2016 E Maize Soil VWC'!$C$2:$C$4000=$AA142)*('2016 E Maize Soil VWC'!$E$2:$E$4000=$AB142)*('2016 E Maize Soil VWC'!$F$2:$F$4000=AI$5),'2016 E Maize Soil VWC'!$G$2:$G$4000)</f>
        <v>0.31482980630203866</v>
      </c>
      <c r="AJ142" s="1" cm="1">
        <f t="array" ref="AJ142">_xlfn.XLOOKUP(1,('2016 E Maize Soil VWC'!$C$2:$C$4000=$AA142)*('2016 E Maize Soil VWC'!$E$2:$E$4000=$AB142)*('2016 E Maize Soil VWC'!$F$2:$F$4000=AJ$5),'2016 E Maize Soil VWC'!$G$2:$G$4000)</f>
        <v>0.33951079871150402</v>
      </c>
      <c r="AK142" s="1" cm="1">
        <f t="array" ref="AK142">_xlfn.XLOOKUP(1,('2016 E Maize Soil VWC'!$C$2:$C$4000=$AA142)*('2016 E Maize Soil VWC'!$E$2:$E$4000=$AB142)*('2016 E Maize Soil VWC'!$F$2:$F$4000=AK$5),'2016 E Maize Soil VWC'!$G$2:$G$4000)</f>
        <v>0.30681043021946791</v>
      </c>
      <c r="AL142" s="1" cm="1">
        <f t="array" ref="AL142">_xlfn.XLOOKUP(1,('2016 E Maize Soil VWC'!$C$2:$C$4000=$AA142)*('2016 E Maize Soil VWC'!$E$2:$E$4000=$AB142)*('2016 E Maize Soil VWC'!$F$2:$F$4000=AL$5),'2016 E Maize Soil VWC'!$G$2:$G$4000)</f>
        <v>0.31611446363565437</v>
      </c>
      <c r="AM142" s="1" cm="1">
        <f t="array" ref="AM142">_xlfn.XLOOKUP(1,('2016 E Maize Soil VWC'!$C$2:$C$4000=$AA142)*('2016 E Maize Soil VWC'!$E$2:$E$4000=$AB142)*('2016 E Maize Soil VWC'!$F$2:$F$4000=AM$5),'2016 E Maize Soil VWC'!$G$2:$G$4000)</f>
        <v>0.31344782644314906</v>
      </c>
      <c r="AN142" s="1" cm="1">
        <f t="array" ref="AN142">_xlfn.XLOOKUP(1,('2016 E Maize Soil VWC'!$C$2:$C$4000=$AA142)*('2016 E Maize Soil VWC'!$E$2:$E$4000=$AB142)*('2016 E Maize Soil VWC'!$F$2:$F$4000=AN$5),'2016 E Maize Soil VWC'!$G$2:$G$4000)</f>
        <v>0.30173019440016946</v>
      </c>
      <c r="AO142" s="1" cm="1">
        <f t="array" ref="AO142">_xlfn.XLOOKUP(1,('2016 E Maize Soil VWC'!$C$2:$C$4000=$AA142)*('2016 E Maize Soil VWC'!$E$2:$E$4000=$AB142)*('2016 E Maize Soil VWC'!$F$2:$F$4000=AO$5),'2016 E Maize Soil VWC'!$G$2:$G$4000)</f>
        <v>0.31952075202024144</v>
      </c>
      <c r="AP142" s="1" cm="1">
        <f t="array" ref="AP142">_xlfn.XLOOKUP(1,('2016 E Maize Soil VWC'!$C$2:$C$4000=$AA142)*('2016 E Maize Soil VWC'!$E$2:$E$4000=$AB142)*('2016 E Maize Soil VWC'!$F$2:$F$4000=AP$5),'2016 E Maize Soil VWC'!$G$2:$G$4000)</f>
        <v>0.31691250834290047</v>
      </c>
      <c r="AQ142" s="1" cm="1">
        <f t="array" ref="AQ142">_xlfn.XLOOKUP(1,('2016 E Maize Soil VWC'!$C$2:$C$4000=$AA142)*('2016 E Maize Soil VWC'!$E$2:$E$4000=$AB142)*('2016 E Maize Soil VWC'!$F$2:$F$4000=AQ$5),'2016 E Maize Soil VWC'!$G$2:$G$4000)</f>
        <v>0.31590035408005174</v>
      </c>
      <c r="AR142" s="1" cm="1">
        <f t="array" ref="AR142">_xlfn.XLOOKUP(1,('2016 E Maize Soil VWC'!$C$2:$C$4000=$AA142)*('2016 E Maize Soil VWC'!$E$2:$E$4000=$AB142)*('2016 E Maize Soil VWC'!$F$2:$F$4000=AR$5),'2016 E Maize Soil VWC'!$G$2:$G$4000)</f>
        <v>0.30729704284583753</v>
      </c>
      <c r="AS142" s="1" cm="1">
        <f t="array" ref="AS142">_xlfn.XLOOKUP(1,('2016 E Maize Soil VWC'!$C$2:$C$4000=$AA142)*('2016 E Maize Soil VWC'!$E$2:$E$4000=$AB142)*('2016 E Maize Soil VWC'!$F$2:$F$4000=AS$5),'2016 E Maize Soil VWC'!$G$2:$G$4000)</f>
        <v>0.31031404112932892</v>
      </c>
      <c r="AT142" s="1" cm="1">
        <f t="array" ref="AT142">_xlfn.XLOOKUP(1,('2016 E Maize Soil VWC'!$C$2:$C$4000=$AA142)*('2016 E Maize Soil VWC'!$E$2:$E$4000=$AB142)*('2016 E Maize Soil VWC'!$F$2:$F$4000=AT$5),'2016 E Maize Soil VWC'!$G$2:$G$4000)</f>
        <v>0.31393443906951862</v>
      </c>
      <c r="AU142" s="1" cm="1">
        <f t="array" ref="AU142">_xlfn.XLOOKUP(1,('2016 E Maize Soil VWC'!$C$2:$C$4000=$AA142)*('2016 E Maize Soil VWC'!$E$2:$E$4000=$AB142)*('2016 E Maize Soil VWC'!$F$2:$F$4000=AU$5),'2016 E Maize Soil VWC'!$G$2:$G$4000)</f>
        <v>0.30924349335131585</v>
      </c>
      <c r="AV142" s="1" cm="1">
        <f t="array" ref="AV142">_xlfn.XLOOKUP(1,('2016 E Maize Soil VWC'!$C$2:$C$4000=$AA142)*('2016 E Maize Soil VWC'!$E$2:$E$4000=$AB142)*('2016 E Maize Soil VWC'!$F$2:$F$4000=AV$5),'2016 E Maize Soil VWC'!$G$2:$G$4000)</f>
        <v>0.29993945993512938</v>
      </c>
    </row>
    <row r="143" spans="25:64" x14ac:dyDescent="0.25">
      <c r="AA143" s="18">
        <f t="shared" si="23"/>
        <v>42593</v>
      </c>
      <c r="AB143" s="1">
        <f t="shared" si="24"/>
        <v>150</v>
      </c>
      <c r="AC143" s="1" cm="1">
        <f t="array" ref="AC143">_xlfn.XLOOKUP(1,('2016 E Maize Soil VWC'!$C$2:$C$4000=$AA143)*('2016 E Maize Soil VWC'!$E$2:$E$4000=$AB143)*('2016 E Maize Soil VWC'!$F$2:$F$4000=AC$5),'2016 E Maize Soil VWC'!$G$2:$G$4000)</f>
        <v>0.33454734992253427</v>
      </c>
      <c r="AD143" s="1" cm="1">
        <f t="array" ref="AD143">_xlfn.XLOOKUP(1,('2016 E Maize Soil VWC'!$C$2:$C$4000=$AA143)*('2016 E Maize Soil VWC'!$E$2:$E$4000=$AB143)*('2016 E Maize Soil VWC'!$F$2:$F$4000=AD$5),'2016 E Maize Soil VWC'!$G$2:$G$4000)</f>
        <v>0.32755959260786699</v>
      </c>
      <c r="AE143" s="1" cm="1">
        <f t="array" ref="AE143">_xlfn.XLOOKUP(1,('2016 E Maize Soil VWC'!$C$2:$C$4000=$AA143)*('2016 E Maize Soil VWC'!$E$2:$E$4000=$AB143)*('2016 E Maize Soil VWC'!$F$2:$F$4000=AE$5),'2016 E Maize Soil VWC'!$G$2:$G$4000)</f>
        <v>0.32417276872833467</v>
      </c>
      <c r="AF143" s="1" cm="1">
        <f t="array" ref="AF143">_xlfn.XLOOKUP(1,('2016 E Maize Soil VWC'!$C$2:$C$4000=$AA143)*('2016 E Maize Soil VWC'!$E$2:$E$4000=$AB143)*('2016 E Maize Soil VWC'!$F$2:$F$4000=AF$5),'2016 E Maize Soil VWC'!$G$2:$G$4000)</f>
        <v>0.30058178860193724</v>
      </c>
      <c r="AG143" s="1" cm="1">
        <f t="array" ref="AG143">_xlfn.XLOOKUP(1,('2016 E Maize Soil VWC'!$C$2:$C$4000=$AA143)*('2016 E Maize Soil VWC'!$E$2:$E$4000=$AB143)*('2016 E Maize Soil VWC'!$F$2:$F$4000=AG$5),'2016 E Maize Soil VWC'!$G$2:$G$4000)</f>
        <v>0.37059561328399304</v>
      </c>
      <c r="AH143" s="1" cm="1">
        <f t="array" ref="AH143">_xlfn.XLOOKUP(1,('2016 E Maize Soil VWC'!$C$2:$C$4000=$AA143)*('2016 E Maize Soil VWC'!$E$2:$E$4000=$AB143)*('2016 E Maize Soil VWC'!$F$2:$F$4000=AH$5),'2016 E Maize Soil VWC'!$G$2:$G$4000)</f>
        <v>0.36049353516056043</v>
      </c>
      <c r="AI143" s="1" cm="1">
        <f t="array" ref="AI143">_xlfn.XLOOKUP(1,('2016 E Maize Soil VWC'!$C$2:$C$4000=$AA143)*('2016 E Maize Soil VWC'!$E$2:$E$4000=$AB143)*('2016 E Maize Soil VWC'!$F$2:$F$4000=AI$5),'2016 E Maize Soil VWC'!$G$2:$G$4000)</f>
        <v>0.33302911852826111</v>
      </c>
      <c r="AJ143" s="1" cm="1">
        <f t="array" ref="AJ143">_xlfn.XLOOKUP(1,('2016 E Maize Soil VWC'!$C$2:$C$4000=$AA143)*('2016 E Maize Soil VWC'!$E$2:$E$4000=$AB143)*('2016 E Maize Soil VWC'!$F$2:$F$4000=AJ$5),'2016 E Maize Soil VWC'!$G$2:$G$4000)</f>
        <v>0.34490246661167895</v>
      </c>
      <c r="AK143" s="1" cm="1">
        <f t="array" ref="AK143">_xlfn.XLOOKUP(1,('2016 E Maize Soil VWC'!$C$2:$C$4000=$AA143)*('2016 E Maize Soil VWC'!$E$2:$E$4000=$AB143)*('2016 E Maize Soil VWC'!$F$2:$F$4000=AK$5),'2016 E Maize Soil VWC'!$G$2:$G$4000)</f>
        <v>0.33853757345876478</v>
      </c>
      <c r="AL143" s="1" cm="1">
        <f t="array" ref="AL143">_xlfn.XLOOKUP(1,('2016 E Maize Soil VWC'!$C$2:$C$4000=$AA143)*('2016 E Maize Soil VWC'!$E$2:$E$4000=$AB143)*('2016 E Maize Soil VWC'!$F$2:$F$4000=AL$5),'2016 E Maize Soil VWC'!$G$2:$G$4000)</f>
        <v>0.35054717307756617</v>
      </c>
      <c r="AM143" s="1" cm="1">
        <f t="array" ref="AM143">_xlfn.XLOOKUP(1,('2016 E Maize Soil VWC'!$C$2:$C$4000=$AA143)*('2016 E Maize Soil VWC'!$E$2:$E$4000=$AB143)*('2016 E Maize Soil VWC'!$F$2:$F$4000=AM$5),'2016 E Maize Soil VWC'!$G$2:$G$4000)</f>
        <v>0.34099010109566757</v>
      </c>
      <c r="AN143" s="1" cm="1">
        <f t="array" ref="AN143">_xlfn.XLOOKUP(1,('2016 E Maize Soil VWC'!$C$2:$C$4000=$AA143)*('2016 E Maize Soil VWC'!$E$2:$E$4000=$AB143)*('2016 E Maize Soil VWC'!$F$2:$F$4000=AN$5),'2016 E Maize Soil VWC'!$G$2:$G$4000)</f>
        <v>0.33380769873045246</v>
      </c>
      <c r="AO143" s="1" cm="1">
        <f t="array" ref="AO143">_xlfn.XLOOKUP(1,('2016 E Maize Soil VWC'!$C$2:$C$4000=$AA143)*('2016 E Maize Soil VWC'!$E$2:$E$4000=$AB143)*('2016 E Maize Soil VWC'!$F$2:$F$4000=AO$5),'2016 E Maize Soil VWC'!$G$2:$G$4000)</f>
        <v>0.31048922167482196</v>
      </c>
      <c r="AP143" s="1" cm="1">
        <f t="array" ref="AP143">_xlfn.XLOOKUP(1,('2016 E Maize Soil VWC'!$C$2:$C$4000=$AA143)*('2016 E Maize Soil VWC'!$E$2:$E$4000=$AB143)*('2016 E Maize Soil VWC'!$F$2:$F$4000=AP$5),'2016 E Maize Soil VWC'!$G$2:$G$4000)</f>
        <v>0.31253299470557422</v>
      </c>
      <c r="AQ143" s="1" cm="1">
        <f t="array" ref="AQ143">_xlfn.XLOOKUP(1,('2016 E Maize Soil VWC'!$C$2:$C$4000=$AA143)*('2016 E Maize Soil VWC'!$E$2:$E$4000=$AB143)*('2016 E Maize Soil VWC'!$F$2:$F$4000=AQ$5),'2016 E Maize Soil VWC'!$G$2:$G$4000)</f>
        <v>0.35916994881683517</v>
      </c>
      <c r="AR143" s="1" cm="1">
        <f t="array" ref="AR143">_xlfn.XLOOKUP(1,('2016 E Maize Soil VWC'!$C$2:$C$4000=$AA143)*('2016 E Maize Soil VWC'!$E$2:$E$4000=$AB143)*('2016 E Maize Soil VWC'!$F$2:$F$4000=AR$5),'2016 E Maize Soil VWC'!$G$2:$G$4000)</f>
        <v>0.33542325264999945</v>
      </c>
      <c r="AS143" s="1" cm="1">
        <f t="array" ref="AS143">_xlfn.XLOOKUP(1,('2016 E Maize Soil VWC'!$C$2:$C$4000=$AA143)*('2016 E Maize Soil VWC'!$E$2:$E$4000=$AB143)*('2016 E Maize Soil VWC'!$F$2:$F$4000=AS$5),'2016 E Maize Soil VWC'!$G$2:$G$4000)</f>
        <v>0.33028462331553665</v>
      </c>
      <c r="AT143" s="1" cm="1">
        <f t="array" ref="AT143">_xlfn.XLOOKUP(1,('2016 E Maize Soil VWC'!$C$2:$C$4000=$AA143)*('2016 E Maize Soil VWC'!$E$2:$E$4000=$AB143)*('2016 E Maize Soil VWC'!$F$2:$F$4000=AT$5),'2016 E Maize Soil VWC'!$G$2:$G$4000)</f>
        <v>0.33376876972034292</v>
      </c>
      <c r="AU143" s="1" cm="1">
        <f t="array" ref="AU143">_xlfn.XLOOKUP(1,('2016 E Maize Soil VWC'!$C$2:$C$4000=$AA143)*('2016 E Maize Soil VWC'!$E$2:$E$4000=$AB143)*('2016 E Maize Soil VWC'!$F$2:$F$4000=AU$5),'2016 E Maize Soil VWC'!$G$2:$G$4000)</f>
        <v>0.33672737448866996</v>
      </c>
      <c r="AV143" s="1" cm="1">
        <f t="array" ref="AV143">_xlfn.XLOOKUP(1,('2016 E Maize Soil VWC'!$C$2:$C$4000=$AA143)*('2016 E Maize Soil VWC'!$E$2:$E$4000=$AB143)*('2016 E Maize Soil VWC'!$F$2:$F$4000=AV$5),'2016 E Maize Soil VWC'!$G$2:$G$4000)</f>
        <v>0.3471798137030887</v>
      </c>
    </row>
    <row r="144" spans="25:64" x14ac:dyDescent="0.25">
      <c r="AA144" s="18">
        <f t="shared" si="23"/>
        <v>42593</v>
      </c>
      <c r="AB144" s="1">
        <f t="shared" si="24"/>
        <v>170</v>
      </c>
      <c r="AC144" s="1" cm="1">
        <f t="array" ref="AC144">_xlfn.XLOOKUP(1,('2016 E Maize Soil VWC'!$C$2:$C$4000=$AA144)*('2016 E Maize Soil VWC'!$E$2:$E$4000=$AB144)*('2016 E Maize Soil VWC'!$F$2:$F$4000=AC$5),'2016 E Maize Soil VWC'!$G$2:$G$4000)</f>
        <v>0.28701502857875322</v>
      </c>
      <c r="AD144" s="1" cm="1">
        <f t="array" ref="AD144">_xlfn.XLOOKUP(1,('2016 E Maize Soil VWC'!$C$2:$C$4000=$AA144)*('2016 E Maize Soil VWC'!$E$2:$E$4000=$AB144)*('2016 E Maize Soil VWC'!$F$2:$F$4000=AD$5),'2016 E Maize Soil VWC'!$G$2:$G$4000)</f>
        <v>0.28004673576914074</v>
      </c>
      <c r="AE144" s="1" cm="1">
        <f t="array" ref="AE144">_xlfn.XLOOKUP(1,('2016 E Maize Soil VWC'!$C$2:$C$4000=$AA144)*('2016 E Maize Soil VWC'!$E$2:$E$4000=$AB144)*('2016 E Maize Soil VWC'!$F$2:$F$4000=AE$5),'2016 E Maize Soil VWC'!$G$2:$G$4000)</f>
        <v>0.29258187702442129</v>
      </c>
      <c r="AF144" s="1" cm="1">
        <f t="array" ref="AF144">_xlfn.XLOOKUP(1,('2016 E Maize Soil VWC'!$C$2:$C$4000=$AA144)*('2016 E Maize Soil VWC'!$E$2:$E$4000=$AB144)*('2016 E Maize Soil VWC'!$F$2:$F$4000=AF$5),'2016 E Maize Soil VWC'!$G$2:$G$4000)</f>
        <v>0.28831915041742373</v>
      </c>
      <c r="AG144" s="1" cm="1">
        <f t="array" ref="AG144">_xlfn.XLOOKUP(1,('2016 E Maize Soil VWC'!$C$2:$C$4000=$AA144)*('2016 E Maize Soil VWC'!$E$2:$E$4000=$AB144)*('2016 E Maize Soil VWC'!$F$2:$F$4000=AG$5),'2016 E Maize Soil VWC'!$G$2:$G$4000)</f>
        <v>0.3376422062262448</v>
      </c>
      <c r="AH144" s="1" cm="1">
        <f t="array" ref="AH144">_xlfn.XLOOKUP(1,('2016 E Maize Soil VWC'!$C$2:$C$4000=$AA144)*('2016 E Maize Soil VWC'!$E$2:$E$4000=$AB144)*('2016 E Maize Soil VWC'!$F$2:$F$4000=AH$5),'2016 E Maize Soil VWC'!$G$2:$G$4000)</f>
        <v>0.35247415907798973</v>
      </c>
      <c r="AI144" s="1" cm="1">
        <f t="array" ref="AI144">_xlfn.XLOOKUP(1,('2016 E Maize Soil VWC'!$C$2:$C$4000=$AA144)*('2016 E Maize Soil VWC'!$E$2:$E$4000=$AB144)*('2016 E Maize Soil VWC'!$F$2:$F$4000=AI$5),'2016 E Maize Soil VWC'!$G$2:$G$4000)</f>
        <v>0.30840651963396015</v>
      </c>
      <c r="AJ144" s="1" cm="1">
        <f t="array" ref="AJ144">_xlfn.XLOOKUP(1,('2016 E Maize Soil VWC'!$C$2:$C$4000=$AA144)*('2016 E Maize Soil VWC'!$E$2:$E$4000=$AB144)*('2016 E Maize Soil VWC'!$F$2:$F$4000=AJ$5),'2016 E Maize Soil VWC'!$G$2:$G$4000)</f>
        <v>0.31416801313017606</v>
      </c>
      <c r="AK144" s="1" cm="1">
        <f t="array" ref="AK144">_xlfn.XLOOKUP(1,('2016 E Maize Soil VWC'!$C$2:$C$4000=$AA144)*('2016 E Maize Soil VWC'!$E$2:$E$4000=$AB144)*('2016 E Maize Soil VWC'!$F$2:$F$4000=AK$5),'2016 E Maize Soil VWC'!$G$2:$G$4000)</f>
        <v>0.30525326981508522</v>
      </c>
      <c r="AL144" s="1" cm="1">
        <f t="array" ref="AL144">_xlfn.XLOOKUP(1,('2016 E Maize Soil VWC'!$C$2:$C$4000=$AA144)*('2016 E Maize Soil VWC'!$E$2:$E$4000=$AB144)*('2016 E Maize Soil VWC'!$F$2:$F$4000=AL$5),'2016 E Maize Soil VWC'!$G$2:$G$4000)</f>
        <v>0.30850384215923404</v>
      </c>
      <c r="AM144" s="1" cm="1">
        <f t="array" ref="AM144">_xlfn.XLOOKUP(1,('2016 E Maize Soil VWC'!$C$2:$C$4000=$AA144)*('2016 E Maize Soil VWC'!$E$2:$E$4000=$AB144)*('2016 E Maize Soil VWC'!$F$2:$F$4000=AM$5),'2016 E Maize Soil VWC'!$G$2:$G$4000)</f>
        <v>0.3288637144465375</v>
      </c>
      <c r="AN144" s="1" cm="1">
        <f t="array" ref="AN144">_xlfn.XLOOKUP(1,('2016 E Maize Soil VWC'!$C$2:$C$4000=$AA144)*('2016 E Maize Soil VWC'!$E$2:$E$4000=$AB144)*('2016 E Maize Soil VWC'!$F$2:$F$4000=AN$5),'2016 E Maize Soil VWC'!$G$2:$G$4000)</f>
        <v>0.34250833248994067</v>
      </c>
      <c r="AO144" s="1" cm="1">
        <f t="array" ref="AO144">_xlfn.XLOOKUP(1,('2016 E Maize Soil VWC'!$C$2:$C$4000=$AA144)*('2016 E Maize Soil VWC'!$E$2:$E$4000=$AB144)*('2016 E Maize Soil VWC'!$F$2:$F$4000=AO$5),'2016 E Maize Soil VWC'!$G$2:$G$4000)</f>
        <v>0.30823133908846712</v>
      </c>
      <c r="AP144" s="1" cm="1">
        <f t="array" ref="AP144">_xlfn.XLOOKUP(1,('2016 E Maize Soil VWC'!$C$2:$C$4000=$AA144)*('2016 E Maize Soil VWC'!$E$2:$E$4000=$AB144)*('2016 E Maize Soil VWC'!$F$2:$F$4000=AP$5),'2016 E Maize Soil VWC'!$G$2:$G$4000)</f>
        <v>0.32789048919379832</v>
      </c>
      <c r="AQ144" s="1" cm="1">
        <f t="array" ref="AQ144">_xlfn.XLOOKUP(1,('2016 E Maize Soil VWC'!$C$2:$C$4000=$AA144)*('2016 E Maize Soil VWC'!$E$2:$E$4000=$AB144)*('2016 E Maize Soil VWC'!$F$2:$F$4000=AQ$5),'2016 E Maize Soil VWC'!$G$2:$G$4000)</f>
        <v>0.34887322564285478</v>
      </c>
      <c r="AR144" s="1" cm="1">
        <f t="array" ref="AR144">_xlfn.XLOOKUP(1,('2016 E Maize Soil VWC'!$C$2:$C$4000=$AA144)*('2016 E Maize Soil VWC'!$E$2:$E$4000=$AB144)*('2016 E Maize Soil VWC'!$F$2:$F$4000=AR$5),'2016 E Maize Soil VWC'!$G$2:$G$4000)</f>
        <v>0.34102903010577712</v>
      </c>
      <c r="AS144" s="1" cm="1">
        <f t="array" ref="AS144">_xlfn.XLOOKUP(1,('2016 E Maize Soil VWC'!$C$2:$C$4000=$AA144)*('2016 E Maize Soil VWC'!$E$2:$E$4000=$AB144)*('2016 E Maize Soil VWC'!$F$2:$F$4000=AS$5),'2016 E Maize Soil VWC'!$G$2:$G$4000)</f>
        <v>0.31185173702865682</v>
      </c>
      <c r="AT144" s="1" cm="1">
        <f t="array" ref="AT144">_xlfn.XLOOKUP(1,('2016 E Maize Soil VWC'!$C$2:$C$4000=$AA144)*('2016 E Maize Soil VWC'!$E$2:$E$4000=$AB144)*('2016 E Maize Soil VWC'!$F$2:$F$4000=AT$5),'2016 E Maize Soil VWC'!$G$2:$G$4000)</f>
        <v>0.33355466016474028</v>
      </c>
      <c r="AU144" s="1" cm="1">
        <f t="array" ref="AU144">_xlfn.XLOOKUP(1,('2016 E Maize Soil VWC'!$C$2:$C$4000=$AA144)*('2016 E Maize Soil VWC'!$E$2:$E$4000=$AB144)*('2016 E Maize Soil VWC'!$F$2:$F$4000=AU$5),'2016 E Maize Soil VWC'!$G$2:$G$4000)</f>
        <v>0.31745751448443443</v>
      </c>
      <c r="AV144" s="1" cm="1">
        <f t="array" ref="AV144">_xlfn.XLOOKUP(1,('2016 E Maize Soil VWC'!$C$2:$C$4000=$AA144)*('2016 E Maize Soil VWC'!$E$2:$E$4000=$AB144)*('2016 E Maize Soil VWC'!$F$2:$F$4000=AV$5),'2016 E Maize Soil VWC'!$G$2:$G$4000)</f>
        <v>0.32267400183911638</v>
      </c>
    </row>
    <row r="145" spans="25:64" x14ac:dyDescent="0.25">
      <c r="AA145" s="18">
        <f t="shared" si="23"/>
        <v>42593</v>
      </c>
      <c r="AB145" s="1">
        <f t="shared" si="24"/>
        <v>190</v>
      </c>
      <c r="AC145" s="1" cm="1">
        <f t="array" ref="AC145">_xlfn.XLOOKUP(1,('2016 E Maize Soil VWC'!$C$2:$C$4000=$AA145)*('2016 E Maize Soil VWC'!$E$2:$E$4000=$AB145)*('2016 E Maize Soil VWC'!$F$2:$F$4000=AC$5),'2016 E Maize Soil VWC'!$G$2:$G$4000)</f>
        <v>0.29760371932855539</v>
      </c>
      <c r="AD145" s="1" cm="1">
        <f t="array" ref="AD145">_xlfn.XLOOKUP(1,('2016 E Maize Soil VWC'!$C$2:$C$4000=$AA145)*('2016 E Maize Soil VWC'!$E$2:$E$4000=$AB145)*('2016 E Maize Soil VWC'!$F$2:$F$4000=AD$5),'2016 E Maize Soil VWC'!$G$2:$G$4000)</f>
        <v>0.28917558863983417</v>
      </c>
      <c r="AE145" s="1" cm="1">
        <f t="array" ref="AE145">_xlfn.XLOOKUP(1,('2016 E Maize Soil VWC'!$C$2:$C$4000=$AA145)*('2016 E Maize Soil VWC'!$E$2:$E$4000=$AB145)*('2016 E Maize Soil VWC'!$F$2:$F$4000=AE$5),'2016 E Maize Soil VWC'!$G$2:$G$4000)</f>
        <v>0.30391021896630521</v>
      </c>
      <c r="AF145" s="1" cm="1">
        <f t="array" ref="AF145">_xlfn.XLOOKUP(1,('2016 E Maize Soil VWC'!$C$2:$C$4000=$AA145)*('2016 E Maize Soil VWC'!$E$2:$E$4000=$AB145)*('2016 E Maize Soil VWC'!$F$2:$F$4000=AF$5),'2016 E Maize Soil VWC'!$G$2:$G$4000)</f>
        <v>0.30194430395577204</v>
      </c>
      <c r="AG145" s="1" cm="1">
        <f t="array" ref="AG145">_xlfn.XLOOKUP(1,('2016 E Maize Soil VWC'!$C$2:$C$4000=$AA145)*('2016 E Maize Soil VWC'!$E$2:$E$4000=$AB145)*('2016 E Maize Soil VWC'!$F$2:$F$4000=AG$5),'2016 E Maize Soil VWC'!$G$2:$G$4000)</f>
        <v>0.33929668915590139</v>
      </c>
      <c r="AH145" s="1" cm="1">
        <f t="array" ref="AH145">_xlfn.XLOOKUP(1,('2016 E Maize Soil VWC'!$C$2:$C$4000=$AA145)*('2016 E Maize Soil VWC'!$E$2:$E$4000=$AB145)*('2016 E Maize Soil VWC'!$F$2:$F$4000=AH$5),'2016 E Maize Soil VWC'!$G$2:$G$4000)</f>
        <v>0.35679527920015158</v>
      </c>
      <c r="AI145" s="1" cm="1">
        <f t="array" ref="AI145">_xlfn.XLOOKUP(1,('2016 E Maize Soil VWC'!$C$2:$C$4000=$AA145)*('2016 E Maize Soil VWC'!$E$2:$E$4000=$AB145)*('2016 E Maize Soil VWC'!$F$2:$F$4000=AI$5),'2016 E Maize Soil VWC'!$G$2:$G$4000)</f>
        <v>0.29690299714658319</v>
      </c>
      <c r="AJ145" s="1" cm="1">
        <f t="array" ref="AJ145">_xlfn.XLOOKUP(1,('2016 E Maize Soil VWC'!$C$2:$C$4000=$AA145)*('2016 E Maize Soil VWC'!$E$2:$E$4000=$AB145)*('2016 E Maize Soil VWC'!$F$2:$F$4000=AJ$5),'2016 E Maize Soil VWC'!$G$2:$G$4000)</f>
        <v>0.30248931009730601</v>
      </c>
      <c r="AK145" s="1" cm="1">
        <f t="array" ref="AK145">_xlfn.XLOOKUP(1,('2016 E Maize Soil VWC'!$C$2:$C$4000=$AA145)*('2016 E Maize Soil VWC'!$E$2:$E$4000=$AB145)*('2016 E Maize Soil VWC'!$F$2:$F$4000=AK$5),'2016 E Maize Soil VWC'!$G$2:$G$4000)</f>
        <v>0.29180329682222994</v>
      </c>
      <c r="AL145" s="1" cm="1">
        <f t="array" ref="AL145">_xlfn.XLOOKUP(1,('2016 E Maize Soil VWC'!$C$2:$C$4000=$AA145)*('2016 E Maize Soil VWC'!$E$2:$E$4000=$AB145)*('2016 E Maize Soil VWC'!$F$2:$F$4000=AL$5),'2016 E Maize Soil VWC'!$G$2:$G$4000)</f>
        <v>0.29805140294481541</v>
      </c>
      <c r="AM145" s="1" cm="1">
        <f t="array" ref="AM145">_xlfn.XLOOKUP(1,('2016 E Maize Soil VWC'!$C$2:$C$4000=$AA145)*('2016 E Maize Soil VWC'!$E$2:$E$4000=$AB145)*('2016 E Maize Soil VWC'!$F$2:$F$4000=AM$5),'2016 E Maize Soil VWC'!$G$2:$G$4000)</f>
        <v>0.31588088957499699</v>
      </c>
      <c r="AN145" s="1" cm="1">
        <f t="array" ref="AN145">_xlfn.XLOOKUP(1,('2016 E Maize Soil VWC'!$C$2:$C$4000=$AA145)*('2016 E Maize Soil VWC'!$E$2:$E$4000=$AB145)*('2016 E Maize Soil VWC'!$F$2:$F$4000=AN$5),'2016 E Maize Soil VWC'!$G$2:$G$4000)</f>
        <v>0.31175441450338287</v>
      </c>
      <c r="AO145" s="1" cm="1">
        <f t="array" ref="AO145">_xlfn.XLOOKUP(1,('2016 E Maize Soil VWC'!$C$2:$C$4000=$AA145)*('2016 E Maize Soil VWC'!$E$2:$E$4000=$AB145)*('2016 E Maize Soil VWC'!$F$2:$F$4000=AO$5),'2016 E Maize Soil VWC'!$G$2:$G$4000)</f>
        <v>0.29591030738878921</v>
      </c>
      <c r="AP145" s="1" cm="1">
        <f t="array" ref="AP145">_xlfn.XLOOKUP(1,('2016 E Maize Soil VWC'!$C$2:$C$4000=$AA145)*('2016 E Maize Soil VWC'!$E$2:$E$4000=$AB145)*('2016 E Maize Soil VWC'!$F$2:$F$4000=AP$5),'2016 E Maize Soil VWC'!$G$2:$G$4000)</f>
        <v>0.30089322068281377</v>
      </c>
      <c r="AQ145" s="1" cm="1">
        <f t="array" ref="AQ145">_xlfn.XLOOKUP(1,('2016 E Maize Soil VWC'!$C$2:$C$4000=$AA145)*('2016 E Maize Soil VWC'!$E$2:$E$4000=$AB145)*('2016 E Maize Soil VWC'!$F$2:$F$4000=AQ$5),'2016 E Maize Soil VWC'!$G$2:$G$4000)</f>
        <v>0.35208486897689401</v>
      </c>
      <c r="AR145" s="1" cm="1">
        <f t="array" ref="AR145">_xlfn.XLOOKUP(1,('2016 E Maize Soil VWC'!$C$2:$C$4000=$AA145)*('2016 E Maize Soil VWC'!$E$2:$E$4000=$AB145)*('2016 E Maize Soil VWC'!$F$2:$F$4000=AR$5),'2016 E Maize Soil VWC'!$G$2:$G$4000)</f>
        <v>0.35181236590612708</v>
      </c>
      <c r="AS145" s="1" cm="1">
        <f t="array" ref="AS145">_xlfn.XLOOKUP(1,('2016 E Maize Soil VWC'!$C$2:$C$4000=$AA145)*('2016 E Maize Soil VWC'!$E$2:$E$4000=$AB145)*('2016 E Maize Soil VWC'!$F$2:$F$4000=AS$5),'2016 E Maize Soil VWC'!$G$2:$G$4000)</f>
        <v>0.3230048984250477</v>
      </c>
      <c r="AT145" s="1" cm="1">
        <f t="array" ref="AT145">_xlfn.XLOOKUP(1,('2016 E Maize Soil VWC'!$C$2:$C$4000=$AA145)*('2016 E Maize Soil VWC'!$E$2:$E$4000=$AB145)*('2016 E Maize Soil VWC'!$F$2:$F$4000=AT$5),'2016 E Maize Soil VWC'!$G$2:$G$4000)</f>
        <v>0.31704875987828396</v>
      </c>
      <c r="AU145" s="1" cm="1">
        <f t="array" ref="AU145">_xlfn.XLOOKUP(1,('2016 E Maize Soil VWC'!$C$2:$C$4000=$AA145)*('2016 E Maize Soil VWC'!$E$2:$E$4000=$AB145)*('2016 E Maize Soil VWC'!$F$2:$F$4000=AU$5),'2016 E Maize Soil VWC'!$G$2:$G$4000)</f>
        <v>0.30928242236142539</v>
      </c>
      <c r="AV145" s="1" cm="1">
        <f t="array" ref="AV145">_xlfn.XLOOKUP(1,('2016 E Maize Soil VWC'!$C$2:$C$4000=$AA145)*('2016 E Maize Soil VWC'!$E$2:$E$4000=$AB145)*('2016 E Maize Soil VWC'!$F$2:$F$4000=AV$5),'2016 E Maize Soil VWC'!$G$2:$G$4000)</f>
        <v>0.31305853634205338</v>
      </c>
    </row>
    <row r="146" spans="25:64" x14ac:dyDescent="0.25">
      <c r="AA146" s="18">
        <f t="shared" si="23"/>
        <v>42593</v>
      </c>
      <c r="AB146" s="1">
        <f t="shared" si="24"/>
        <v>210</v>
      </c>
      <c r="AC146" s="1" cm="1">
        <f t="array" ref="AC146">_xlfn.XLOOKUP(1,('2016 E Maize Soil VWC'!$C$2:$C$4000=$AA146)*('2016 E Maize Soil VWC'!$E$2:$E$4000=$AB146)*('2016 E Maize Soil VWC'!$F$2:$F$4000=AC$5),'2016 E Maize Soil VWC'!$G$2:$G$4000)</f>
        <v>0.29945284730875982</v>
      </c>
      <c r="AD146" s="1" cm="1">
        <f t="array" ref="AD146">_xlfn.XLOOKUP(1,('2016 E Maize Soil VWC'!$C$2:$C$4000=$AA146)*('2016 E Maize Soil VWC'!$E$2:$E$4000=$AB146)*('2016 E Maize Soil VWC'!$F$2:$F$4000=AD$5),'2016 E Maize Soil VWC'!$G$2:$G$4000)</f>
        <v>0.30719972032056359</v>
      </c>
      <c r="AE146" s="1" cm="1">
        <f t="array" ref="AE146">_xlfn.XLOOKUP(1,('2016 E Maize Soil VWC'!$C$2:$C$4000=$AA146)*('2016 E Maize Soil VWC'!$E$2:$E$4000=$AB146)*('2016 E Maize Soil VWC'!$F$2:$F$4000=AE$5),'2016 E Maize Soil VWC'!$G$2:$G$4000)</f>
        <v>0.28035816785001727</v>
      </c>
      <c r="AF146" s="1" cm="1">
        <f t="array" ref="AF146">_xlfn.XLOOKUP(1,('2016 E Maize Soil VWC'!$C$2:$C$4000=$AA146)*('2016 E Maize Soil VWC'!$E$2:$E$4000=$AB146)*('2016 E Maize Soil VWC'!$F$2:$F$4000=AF$5),'2016 E Maize Soil VWC'!$G$2:$G$4000)</f>
        <v>0.29754532581339105</v>
      </c>
      <c r="AG146" s="1" t="e" cm="1">
        <f t="array" ref="AG146">_xlfn.XLOOKUP(1,('2016 E Maize Soil VWC'!$C$2:$C$4000=$AA146)*('2016 E Maize Soil VWC'!$E$2:$E$4000=$AB146)*('2016 E Maize Soil VWC'!$F$2:$F$4000=AG$5),'2016 E Maize Soil VWC'!$G$2:$G$4000)</f>
        <v>#N/A</v>
      </c>
      <c r="AH146" s="1" t="e" cm="1">
        <f t="array" ref="AH146">_xlfn.XLOOKUP(1,('2016 E Maize Soil VWC'!$C$2:$C$4000=$AA146)*('2016 E Maize Soil VWC'!$E$2:$E$4000=$AB146)*('2016 E Maize Soil VWC'!$F$2:$F$4000=AH$5),'2016 E Maize Soil VWC'!$G$2:$G$4000)</f>
        <v>#N/A</v>
      </c>
      <c r="AI146" s="1" cm="1">
        <f t="array" ref="AI146">_xlfn.XLOOKUP(1,('2016 E Maize Soil VWC'!$C$2:$C$4000=$AA146)*('2016 E Maize Soil VWC'!$E$2:$E$4000=$AB146)*('2016 E Maize Soil VWC'!$F$2:$F$4000=AI$5),'2016 E Maize Soil VWC'!$G$2:$G$4000)</f>
        <v>0.28105889003198953</v>
      </c>
      <c r="AJ146" s="1" cm="1">
        <f t="array" ref="AJ146">_xlfn.XLOOKUP(1,('2016 E Maize Soil VWC'!$C$2:$C$4000=$AA146)*('2016 E Maize Soil VWC'!$E$2:$E$4000=$AB146)*('2016 E Maize Soil VWC'!$F$2:$F$4000=AJ$5),'2016 E Maize Soil VWC'!$G$2:$G$4000)</f>
        <v>0.30610970803749571</v>
      </c>
      <c r="AK146" s="1" cm="1">
        <f t="array" ref="AK146">_xlfn.XLOOKUP(1,('2016 E Maize Soil VWC'!$C$2:$C$4000=$AA146)*('2016 E Maize Soil VWC'!$E$2:$E$4000=$AB146)*('2016 E Maize Soil VWC'!$F$2:$F$4000=AK$5),'2016 E Maize Soil VWC'!$G$2:$G$4000)</f>
        <v>0.30116572375358075</v>
      </c>
      <c r="AL146" s="1" cm="1">
        <f t="array" ref="AL146">_xlfn.XLOOKUP(1,('2016 E Maize Soil VWC'!$C$2:$C$4000=$AA146)*('2016 E Maize Soil VWC'!$E$2:$E$4000=$AB146)*('2016 E Maize Soil VWC'!$F$2:$F$4000=AL$5),'2016 E Maize Soil VWC'!$G$2:$G$4000)</f>
        <v>0.27449935182852753</v>
      </c>
      <c r="AM146" s="1" cm="1">
        <f t="array" ref="AM146">_xlfn.XLOOKUP(1,('2016 E Maize Soil VWC'!$C$2:$C$4000=$AA146)*('2016 E Maize Soil VWC'!$E$2:$E$4000=$AB146)*('2016 E Maize Soil VWC'!$F$2:$F$4000=AM$5),'2016 E Maize Soil VWC'!$G$2:$G$4000)</f>
        <v>0.31455730323127168</v>
      </c>
      <c r="AN146" s="1" cm="1">
        <f t="array" ref="AN146">_xlfn.XLOOKUP(1,('2016 E Maize Soil VWC'!$C$2:$C$4000=$AA146)*('2016 E Maize Soil VWC'!$E$2:$E$4000=$AB146)*('2016 E Maize Soil VWC'!$F$2:$F$4000=AN$5),'2016 E Maize Soil VWC'!$G$2:$G$4000)</f>
        <v>0.31545267046379172</v>
      </c>
      <c r="AO146" s="1" cm="1">
        <f t="array" ref="AO146">_xlfn.XLOOKUP(1,('2016 E Maize Soil VWC'!$C$2:$C$4000=$AA146)*('2016 E Maize Soil VWC'!$E$2:$E$4000=$AB146)*('2016 E Maize Soil VWC'!$F$2:$F$4000=AO$5),'2016 E Maize Soil VWC'!$G$2:$G$4000)</f>
        <v>0.30568148892629049</v>
      </c>
      <c r="AP146" s="1" cm="1">
        <f t="array" ref="AP146">_xlfn.XLOOKUP(1,('2016 E Maize Soil VWC'!$C$2:$C$4000=$AA146)*('2016 E Maize Soil VWC'!$E$2:$E$4000=$AB146)*('2016 E Maize Soil VWC'!$F$2:$F$4000=AP$5),'2016 E Maize Soil VWC'!$G$2:$G$4000)</f>
        <v>0.27463560336391102</v>
      </c>
      <c r="AQ146" s="1" t="e" cm="1">
        <f t="array" ref="AQ146">_xlfn.XLOOKUP(1,('2016 E Maize Soil VWC'!$C$2:$C$4000=$AA146)*('2016 E Maize Soil VWC'!$E$2:$E$4000=$AB146)*('2016 E Maize Soil VWC'!$F$2:$F$4000=AQ$5),'2016 E Maize Soil VWC'!$G$2:$G$4000)</f>
        <v>#N/A</v>
      </c>
      <c r="AR146" s="1" t="e" cm="1">
        <f t="array" ref="AR146">_xlfn.XLOOKUP(1,('2016 E Maize Soil VWC'!$C$2:$C$4000=$AA146)*('2016 E Maize Soil VWC'!$E$2:$E$4000=$AB146)*('2016 E Maize Soil VWC'!$F$2:$F$4000=AR$5),'2016 E Maize Soil VWC'!$G$2:$G$4000)</f>
        <v>#N/A</v>
      </c>
      <c r="AS146" s="1" cm="1">
        <f t="array" ref="AS146">_xlfn.XLOOKUP(1,('2016 E Maize Soil VWC'!$C$2:$C$4000=$AA146)*('2016 E Maize Soil VWC'!$E$2:$E$4000=$AB146)*('2016 E Maize Soil VWC'!$F$2:$F$4000=AS$5),'2016 E Maize Soil VWC'!$G$2:$G$4000)</f>
        <v>0.31410961961501166</v>
      </c>
      <c r="AT146" s="1" cm="1">
        <f t="array" ref="AT146">_xlfn.XLOOKUP(1,('2016 E Maize Soil VWC'!$C$2:$C$4000=$AA146)*('2016 E Maize Soil VWC'!$E$2:$E$4000=$AB146)*('2016 E Maize Soil VWC'!$F$2:$F$4000=AT$5),'2016 E Maize Soil VWC'!$G$2:$G$4000)</f>
        <v>0.31083958276580809</v>
      </c>
      <c r="AU146" s="1" cm="1">
        <f t="array" ref="AU146">_xlfn.XLOOKUP(1,('2016 E Maize Soil VWC'!$C$2:$C$4000=$AA146)*('2016 E Maize Soil VWC'!$E$2:$E$4000=$AB146)*('2016 E Maize Soil VWC'!$F$2:$F$4000=AU$5),'2016 E Maize Soil VWC'!$G$2:$G$4000)</f>
        <v>0.30406593500674345</v>
      </c>
      <c r="AV146" s="1" cm="1">
        <f t="array" ref="AV146">_xlfn.XLOOKUP(1,('2016 E Maize Soil VWC'!$C$2:$C$4000=$AA146)*('2016 E Maize Soil VWC'!$E$2:$E$4000=$AB146)*('2016 E Maize Soil VWC'!$F$2:$F$4000=AV$5),'2016 E Maize Soil VWC'!$G$2:$G$4000)</f>
        <v>0.30908777731087755</v>
      </c>
    </row>
    <row r="147" spans="25:64" x14ac:dyDescent="0.25">
      <c r="AA147" s="18">
        <f t="shared" si="23"/>
        <v>42593</v>
      </c>
      <c r="AB147" s="1">
        <f t="shared" si="24"/>
        <v>230</v>
      </c>
      <c r="AC147" s="1" cm="1">
        <f t="array" ref="AC147">_xlfn.XLOOKUP(1,('2016 E Maize Soil VWC'!$C$2:$C$4000=$AA147)*('2016 E Maize Soil VWC'!$E$2:$E$4000=$AB147)*('2016 E Maize Soil VWC'!$F$2:$F$4000=AC$5),'2016 E Maize Soil VWC'!$G$2:$G$4000)</f>
        <v>0.30032875003622506</v>
      </c>
      <c r="AD147" s="1" cm="1">
        <f t="array" ref="AD147">_xlfn.XLOOKUP(1,('2016 E Maize Soil VWC'!$C$2:$C$4000=$AA147)*('2016 E Maize Soil VWC'!$E$2:$E$4000=$AB147)*('2016 E Maize Soil VWC'!$F$2:$F$4000=AD$5),'2016 E Maize Soil VWC'!$G$2:$G$4000)</f>
        <v>0.3011267947434712</v>
      </c>
      <c r="AE147" s="1" cm="1">
        <f t="array" ref="AE147">_xlfn.XLOOKUP(1,('2016 E Maize Soil VWC'!$C$2:$C$4000=$AA147)*('2016 E Maize Soil VWC'!$E$2:$E$4000=$AB147)*('2016 E Maize Soil VWC'!$F$2:$F$4000=AE$5),'2016 E Maize Soil VWC'!$G$2:$G$4000)</f>
        <v>0.27582293817225279</v>
      </c>
      <c r="AF147" s="1" cm="1">
        <f t="array" ref="AF147">_xlfn.XLOOKUP(1,('2016 E Maize Soil VWC'!$C$2:$C$4000=$AA147)*('2016 E Maize Soil VWC'!$E$2:$E$4000=$AB147)*('2016 E Maize Soil VWC'!$F$2:$F$4000=AF$5),'2016 E Maize Soil VWC'!$G$2:$G$4000)</f>
        <v>0.27786671120300505</v>
      </c>
      <c r="AG147" s="1" t="e" cm="1">
        <f t="array" ref="AG147">_xlfn.XLOOKUP(1,('2016 E Maize Soil VWC'!$C$2:$C$4000=$AA147)*('2016 E Maize Soil VWC'!$E$2:$E$4000=$AB147)*('2016 E Maize Soil VWC'!$F$2:$F$4000=AG$5),'2016 E Maize Soil VWC'!$G$2:$G$4000)</f>
        <v>#N/A</v>
      </c>
      <c r="AH147" s="1" t="e" cm="1">
        <f t="array" ref="AH147">_xlfn.XLOOKUP(1,('2016 E Maize Soil VWC'!$C$2:$C$4000=$AA147)*('2016 E Maize Soil VWC'!$E$2:$E$4000=$AB147)*('2016 E Maize Soil VWC'!$F$2:$F$4000=AH$5),'2016 E Maize Soil VWC'!$G$2:$G$4000)</f>
        <v>#N/A</v>
      </c>
      <c r="AI147" s="1" cm="1">
        <f t="array" ref="AI147">_xlfn.XLOOKUP(1,('2016 E Maize Soil VWC'!$C$2:$C$4000=$AA147)*('2016 E Maize Soil VWC'!$E$2:$E$4000=$AB147)*('2016 E Maize Soil VWC'!$F$2:$F$4000=AI$5),'2016 E Maize Soil VWC'!$G$2:$G$4000)</f>
        <v>0.27720491803114239</v>
      </c>
      <c r="AJ147" s="1" cm="1">
        <f t="array" ref="AJ147">_xlfn.XLOOKUP(1,('2016 E Maize Soil VWC'!$C$2:$C$4000=$AA147)*('2016 E Maize Soil VWC'!$E$2:$E$4000=$AB147)*('2016 E Maize Soil VWC'!$F$2:$F$4000=AJ$5),'2016 E Maize Soil VWC'!$G$2:$G$4000)</f>
        <v>0.30969117696757587</v>
      </c>
      <c r="AK147" s="1" cm="1">
        <f t="array" ref="AK147">_xlfn.XLOOKUP(1,('2016 E Maize Soil VWC'!$C$2:$C$4000=$AA147)*('2016 E Maize Soil VWC'!$E$2:$E$4000=$AB147)*('2016 E Maize Soil VWC'!$F$2:$F$4000=AK$5),'2016 E Maize Soil VWC'!$G$2:$G$4000)</f>
        <v>0.30291752920851123</v>
      </c>
      <c r="AL147" s="1" cm="1">
        <f t="array" ref="AL147">_xlfn.XLOOKUP(1,('2016 E Maize Soil VWC'!$C$2:$C$4000=$AA147)*('2016 E Maize Soil VWC'!$E$2:$E$4000=$AB147)*('2016 E Maize Soil VWC'!$F$2:$F$4000=AL$5),'2016 E Maize Soil VWC'!$G$2:$G$4000)</f>
        <v>0.2529716092379371</v>
      </c>
      <c r="AM147" s="1" cm="1">
        <f t="array" ref="AM147">_xlfn.XLOOKUP(1,('2016 E Maize Soil VWC'!$C$2:$C$4000=$AA147)*('2016 E Maize Soil VWC'!$E$2:$E$4000=$AB147)*('2016 E Maize Soil VWC'!$F$2:$F$4000=AM$5),'2016 E Maize Soil VWC'!$G$2:$G$4000)</f>
        <v>0.29172543880201079</v>
      </c>
      <c r="AN147" s="1" cm="1">
        <f t="array" ref="AN147">_xlfn.XLOOKUP(1,('2016 E Maize Soil VWC'!$C$2:$C$4000=$AA147)*('2016 E Maize Soil VWC'!$E$2:$E$4000=$AB147)*('2016 E Maize Soil VWC'!$F$2:$F$4000=AN$5),'2016 E Maize Soil VWC'!$G$2:$G$4000)</f>
        <v>0.29809033195492496</v>
      </c>
      <c r="AO147" s="1" cm="1">
        <f t="array" ref="AO147">_xlfn.XLOOKUP(1,('2016 E Maize Soil VWC'!$C$2:$C$4000=$AA147)*('2016 E Maize Soil VWC'!$E$2:$E$4000=$AB147)*('2016 E Maize Soil VWC'!$F$2:$F$4000=AO$5),'2016 E Maize Soil VWC'!$G$2:$G$4000)</f>
        <v>0.29104418112509339</v>
      </c>
      <c r="AP147" s="1" cm="1">
        <f t="array" ref="AP147">_xlfn.XLOOKUP(1,('2016 E Maize Soil VWC'!$C$2:$C$4000=$AA147)*('2016 E Maize Soil VWC'!$E$2:$E$4000=$AB147)*('2016 E Maize Soil VWC'!$F$2:$F$4000=AP$5),'2016 E Maize Soil VWC'!$G$2:$G$4000)</f>
        <v>0.28004673576914074</v>
      </c>
      <c r="AQ147" s="1" t="e" cm="1">
        <f t="array" ref="AQ147">_xlfn.XLOOKUP(1,('2016 E Maize Soil VWC'!$C$2:$C$4000=$AA147)*('2016 E Maize Soil VWC'!$E$2:$E$4000=$AB147)*('2016 E Maize Soil VWC'!$F$2:$F$4000=AQ$5),'2016 E Maize Soil VWC'!$G$2:$G$4000)</f>
        <v>#N/A</v>
      </c>
      <c r="AR147" s="1" t="e" cm="1">
        <f t="array" ref="AR147">_xlfn.XLOOKUP(1,('2016 E Maize Soil VWC'!$C$2:$C$4000=$AA147)*('2016 E Maize Soil VWC'!$E$2:$E$4000=$AB147)*('2016 E Maize Soil VWC'!$F$2:$F$4000=AR$5),'2016 E Maize Soil VWC'!$G$2:$G$4000)</f>
        <v>#N/A</v>
      </c>
      <c r="AS147" s="1" cm="1">
        <f t="array" ref="AS147">_xlfn.XLOOKUP(1,('2016 E Maize Soil VWC'!$C$2:$C$4000=$AA147)*('2016 E Maize Soil VWC'!$E$2:$E$4000=$AB147)*('2016 E Maize Soil VWC'!$F$2:$F$4000=AS$5),'2016 E Maize Soil VWC'!$G$2:$G$4000)</f>
        <v>0.30895152577549406</v>
      </c>
      <c r="AT147" s="1" cm="1">
        <f t="array" ref="AT147">_xlfn.XLOOKUP(1,('2016 E Maize Soil VWC'!$C$2:$C$4000=$AA147)*('2016 E Maize Soil VWC'!$E$2:$E$4000=$AB147)*('2016 E Maize Soil VWC'!$F$2:$F$4000=AT$5),'2016 E Maize Soil VWC'!$G$2:$G$4000)</f>
        <v>0.29690299714658319</v>
      </c>
      <c r="AU147" s="1" cm="1">
        <f t="array" ref="AU147">_xlfn.XLOOKUP(1,('2016 E Maize Soil VWC'!$C$2:$C$4000=$AA147)*('2016 E Maize Soil VWC'!$E$2:$E$4000=$AB147)*('2016 E Maize Soil VWC'!$F$2:$F$4000=AU$5),'2016 E Maize Soil VWC'!$G$2:$G$4000)</f>
        <v>0.29302956064068131</v>
      </c>
      <c r="AV147" s="1" cm="1">
        <f t="array" ref="AV147">_xlfn.XLOOKUP(1,('2016 E Maize Soil VWC'!$C$2:$C$4000=$AA147)*('2016 E Maize Soil VWC'!$E$2:$E$4000=$AB147)*('2016 E Maize Soil VWC'!$F$2:$F$4000=AV$5),'2016 E Maize Soil VWC'!$G$2:$G$4000)</f>
        <v>0.31161816296799938</v>
      </c>
    </row>
    <row r="148" spans="25:64" x14ac:dyDescent="0.25">
      <c r="AA148" s="18"/>
    </row>
    <row r="149" spans="25:64" x14ac:dyDescent="0.25">
      <c r="Y149" s="1">
        <v>2016</v>
      </c>
      <c r="Z149" s="1">
        <v>236</v>
      </c>
      <c r="AA149" s="18">
        <f>DATE(Y149,1,Z149)</f>
        <v>42605</v>
      </c>
      <c r="AB149" s="1">
        <v>10</v>
      </c>
      <c r="AC149" s="1" cm="1">
        <f t="array" ref="AC149">_xlfn.XLOOKUP(1,('2016 E Maize Soil VWC'!$C$2:$C$4000=$AA149)*('2016 E Maize Soil VWC'!$E$2:$E$4000=$AB149)*('2016 E Maize Soil VWC'!$F$2:$F$4000=AC$5),'2016 E Maize Soil VWC'!$G$2:$G$4000)</f>
        <v>0.30145469340258818</v>
      </c>
      <c r="AD149" s="1" cm="1">
        <f t="array" ref="AD149">_xlfn.XLOOKUP(1,('2016 E Maize Soil VWC'!$C$2:$C$4000=$AA149)*('2016 E Maize Soil VWC'!$E$2:$E$4000=$AB149)*('2016 E Maize Soil VWC'!$F$2:$F$4000=AD$5),'2016 E Maize Soil VWC'!$G$2:$G$4000)</f>
        <v>0.28455586688141604</v>
      </c>
      <c r="AE149" s="1" cm="1">
        <f t="array" ref="AE149">_xlfn.XLOOKUP(1,('2016 E Maize Soil VWC'!$C$2:$C$4000=$AA149)*('2016 E Maize Soil VWC'!$E$2:$E$4000=$AB149)*('2016 E Maize Soil VWC'!$F$2:$F$4000=AE$5),'2016 E Maize Soil VWC'!$G$2:$G$4000)</f>
        <v>0.27093706230703213</v>
      </c>
      <c r="AF149" s="1" cm="1">
        <f t="array" ref="AF149">_xlfn.XLOOKUP(1,('2016 E Maize Soil VWC'!$C$2:$C$4000=$AA149)*('2016 E Maize Soil VWC'!$E$2:$E$4000=$AB149)*('2016 E Maize Soil VWC'!$F$2:$F$4000=AF$5),'2016 E Maize Soil VWC'!$G$2:$G$4000)</f>
        <v>0.23955626754126869</v>
      </c>
      <c r="AG149" s="1" cm="1">
        <f t="array" ref="AG149">_xlfn.XLOOKUP(1,('2016 E Maize Soil VWC'!$C$2:$C$4000=$AA149)*('2016 E Maize Soil VWC'!$E$2:$E$4000=$AB149)*('2016 E Maize Soil VWC'!$F$2:$F$4000=AG$5),'2016 E Maize Soil VWC'!$G$2:$G$4000)</f>
        <v>0.31758626332802037</v>
      </c>
      <c r="AH149" s="1" cm="1">
        <f t="array" ref="AH149">_xlfn.XLOOKUP(1,('2016 E Maize Soil VWC'!$C$2:$C$4000=$AA149)*('2016 E Maize Soil VWC'!$E$2:$E$4000=$AB149)*('2016 E Maize Soil VWC'!$F$2:$F$4000=AH$5),'2016 E Maize Soil VWC'!$G$2:$G$4000)</f>
        <v>0.29608389723240863</v>
      </c>
      <c r="AI149" s="1" cm="1">
        <f t="array" ref="AI149">_xlfn.XLOOKUP(1,('2016 E Maize Soil VWC'!$C$2:$C$4000=$AA149)*('2016 E Maize Soil VWC'!$E$2:$E$4000=$AB149)*('2016 E Maize Soil VWC'!$F$2:$F$4000=AI$5),'2016 E Maize Soil VWC'!$G$2:$G$4000)</f>
        <v>0.29510564507284015</v>
      </c>
      <c r="AJ149" s="1" cm="1">
        <f t="array" ref="AJ149">_xlfn.XLOOKUP(1,('2016 E Maize Soil VWC'!$C$2:$C$4000=$AA149)*('2016 E Maize Soil VWC'!$E$2:$E$4000=$AB149)*('2016 E Maize Soil VWC'!$F$2:$F$4000=AJ$5),'2016 E Maize Soil VWC'!$G$2:$G$4000)</f>
        <v>0.28434487131758757</v>
      </c>
      <c r="AK149" s="1" cm="1">
        <f t="array" ref="AK149">_xlfn.XLOOKUP(1,('2016 E Maize Soil VWC'!$C$2:$C$4000=$AA149)*('2016 E Maize Soil VWC'!$E$2:$E$4000=$AB149)*('2016 E Maize Soil VWC'!$F$2:$F$4000=AK$5),'2016 E Maize Soil VWC'!$G$2:$G$4000)</f>
        <v>0.26873119959427977</v>
      </c>
      <c r="AL149" s="1" cm="1">
        <f t="array" ref="AL149">_xlfn.XLOOKUP(1,('2016 E Maize Soil VWC'!$C$2:$C$4000=$AA149)*('2016 E Maize Soil VWC'!$E$2:$E$4000=$AB149)*('2016 E Maize Soil VWC'!$F$2:$F$4000=AL$5),'2016 E Maize Soil VWC'!$G$2:$G$4000)</f>
        <v>0.28288708378568167</v>
      </c>
      <c r="AM149" s="1" cm="1">
        <f t="array" ref="AM149">_xlfn.XLOOKUP(1,('2016 E Maize Soil VWC'!$C$2:$C$4000=$AA149)*('2016 E Maize Soil VWC'!$E$2:$E$4000=$AB149)*('2016 E Maize Soil VWC'!$F$2:$F$4000=AM$5),'2016 E Maize Soil VWC'!$G$2:$G$4000)</f>
        <v>0.26052155401986249</v>
      </c>
      <c r="AN149" s="1" cm="1">
        <f t="array" ref="AN149">_xlfn.XLOOKUP(1,('2016 E Maize Soil VWC'!$C$2:$C$4000=$AA149)*('2016 E Maize Soil VWC'!$E$2:$E$4000=$AB149)*('2016 E Maize Soil VWC'!$F$2:$F$4000=AN$5),'2016 E Maize Soil VWC'!$G$2:$G$4000)</f>
        <v>0.24208821430721045</v>
      </c>
      <c r="AO149" s="1" cm="1">
        <f t="array" ref="AO149">_xlfn.XLOOKUP(1,('2016 E Maize Soil VWC'!$C$2:$C$4000=$AA149)*('2016 E Maize Soil VWC'!$E$2:$E$4000=$AB149)*('2016 E Maize Soil VWC'!$F$2:$F$4000=AO$5),'2016 E Maize Soil VWC'!$G$2:$G$4000)</f>
        <v>0.27118642070064758</v>
      </c>
      <c r="AP149" s="1" cm="1">
        <f t="array" ref="AP149">_xlfn.XLOOKUP(1,('2016 E Maize Soil VWC'!$C$2:$C$4000=$AA149)*('2016 E Maize Soil VWC'!$E$2:$E$4000=$AB149)*('2016 E Maize Soil VWC'!$F$2:$F$4000=AP$5),'2016 E Maize Soil VWC'!$G$2:$G$4000)</f>
        <v>0.26899973940278876</v>
      </c>
      <c r="AQ149" s="1" cm="1">
        <f t="array" ref="AQ149">_xlfn.XLOOKUP(1,('2016 E Maize Soil VWC'!$C$2:$C$4000=$AA149)*('2016 E Maize Soil VWC'!$E$2:$E$4000=$AB149)*('2016 E Maize Soil VWC'!$F$2:$F$4000=AQ$5),'2016 E Maize Soil VWC'!$G$2:$G$4000)</f>
        <v>0.30410172865789092</v>
      </c>
      <c r="AR149" s="1" cm="1">
        <f t="array" ref="AR149">_xlfn.XLOOKUP(1,('2016 E Maize Soil VWC'!$C$2:$C$4000=$AA149)*('2016 E Maize Soil VWC'!$E$2:$E$4000=$AB149)*('2016 E Maize Soil VWC'!$F$2:$F$4000=AR$5),'2016 E Maize Soil VWC'!$G$2:$G$4000)</f>
        <v>0.29861584399835039</v>
      </c>
      <c r="AS149" s="1" cm="1">
        <f t="array" ref="AS149">_xlfn.XLOOKUP(1,('2016 E Maize Soil VWC'!$C$2:$C$4000=$AA149)*('2016 E Maize Soil VWC'!$E$2:$E$4000=$AB149)*('2016 E Maize Soil VWC'!$F$2:$F$4000=AS$5),'2016 E Maize Soil VWC'!$G$2:$G$4000)</f>
        <v>0.2782259999665615</v>
      </c>
      <c r="AT149" s="1" cm="1">
        <f t="array" ref="AT149">_xlfn.XLOOKUP(1,('2016 E Maize Soil VWC'!$C$2:$C$4000=$AA149)*('2016 E Maize Soil VWC'!$E$2:$E$4000=$AB149)*('2016 E Maize Soil VWC'!$F$2:$F$4000=AT$5),'2016 E Maize Soil VWC'!$G$2:$G$4000)</f>
        <v>0.24845644405185197</v>
      </c>
      <c r="AU149" s="1" cm="1">
        <f t="array" ref="AU149">_xlfn.XLOOKUP(1,('2016 E Maize Soil VWC'!$C$2:$C$4000=$AA149)*('2016 E Maize Soil VWC'!$E$2:$E$4000=$AB149)*('2016 E Maize Soil VWC'!$F$2:$F$4000=AU$5),'2016 E Maize Soil VWC'!$G$2:$G$4000)</f>
        <v>0.27358409756233493</v>
      </c>
      <c r="AV149" s="1" cm="1">
        <f t="array" ref="AV149">_xlfn.XLOOKUP(1,('2016 E Maize Soil VWC'!$C$2:$C$4000=$AA149)*('2016 E Maize Soil VWC'!$E$2:$E$4000=$AB149)*('2016 E Maize Soil VWC'!$F$2:$F$4000=AV$5),'2016 E Maize Soil VWC'!$G$2:$G$4000)</f>
        <v>0.27448562406232935</v>
      </c>
      <c r="AW149" s="1">
        <f>Z149</f>
        <v>236</v>
      </c>
      <c r="AX149" s="15">
        <f>AA149</f>
        <v>42605</v>
      </c>
      <c r="AY149" s="1">
        <f>1400*AVERAGE(AG149:AH155)+100*AVERAGE(AG156:AH156)</f>
        <v>479.62585154820152</v>
      </c>
      <c r="AZ149" s="1">
        <f>1400*AVERAGE(AC149:AF155,AI149:AL155)+100*AVERAGE(AC156:AF156,AI156:AL156)</f>
        <v>478.39261704080593</v>
      </c>
      <c r="BA149" s="1">
        <f>1400*AVERAGE(AQ149:AR155)+100*AVERAGE(AQ156:AR156)</f>
        <v>475.28822357301289</v>
      </c>
      <c r="BB149" s="1">
        <f>1400*AVERAGE(AM149:AP155,AS149:AV155)+100*AVERAGE(AM156:AP156,AS156:AV156)</f>
        <v>452.22585049461094</v>
      </c>
      <c r="BC149" s="1">
        <f>AVERAGE(AC149:AD160)*2400</f>
        <v>749.62022375692482</v>
      </c>
      <c r="BD149" s="1">
        <f>AVERAGE(AE149:AF160)*2400</f>
        <v>719.26429218654209</v>
      </c>
      <c r="BE149" s="1">
        <f>AVERAGE(AG149:AH158)*2000</f>
        <v>648.80412832907905</v>
      </c>
      <c r="BF149" s="1">
        <f>AVERAGE(AI149:AJ160)*2400</f>
        <v>742.34749572767726</v>
      </c>
      <c r="BG149" s="1">
        <f>AVERAGE(AK149:AL160)*2400</f>
        <v>740.2328973806525</v>
      </c>
      <c r="BH149" s="1">
        <f>AVERAGE(AM149:AN160)*2400</f>
        <v>729.03846693603225</v>
      </c>
      <c r="BI149" s="1">
        <f>AVERAGE(AO149:AP160)*2400</f>
        <v>695.91196110882015</v>
      </c>
      <c r="BJ149" s="1">
        <f>AVERAGE(AQ149:AR158)*2000</f>
        <v>643.85823457092874</v>
      </c>
      <c r="BK149" s="1">
        <f>AVERAGE(AS149:AT160)*2400</f>
        <v>744.89027451430604</v>
      </c>
      <c r="BL149" s="1">
        <f>AVERAGE(AU149:AV160)*2400</f>
        <v>725.83835185193459</v>
      </c>
    </row>
    <row r="150" spans="25:64" x14ac:dyDescent="0.25">
      <c r="AA150" s="18">
        <f t="shared" ref="AA150:AA160" si="25">AA149</f>
        <v>42605</v>
      </c>
      <c r="AB150" s="1">
        <f t="shared" ref="AB150:AB160" si="26">AB149+20</f>
        <v>30</v>
      </c>
      <c r="AC150" s="1" cm="1">
        <f t="array" ref="AC150">_xlfn.XLOOKUP(1,('2016 E Maize Soil VWC'!$C$2:$C$4000=$AA150)*('2016 E Maize Soil VWC'!$E$2:$E$4000=$AB150)*('2016 E Maize Soil VWC'!$F$2:$F$4000=AC$5),'2016 E Maize Soil VWC'!$G$2:$G$4000)</f>
        <v>0.3493908128559805</v>
      </c>
      <c r="AD150" s="1" cm="1">
        <f t="array" ref="AD150">_xlfn.XLOOKUP(1,('2016 E Maize Soil VWC'!$C$2:$C$4000=$AA150)*('2016 E Maize Soil VWC'!$E$2:$E$4000=$AB150)*('2016 E Maize Soil VWC'!$F$2:$F$4000=AD$5),'2016 E Maize Soil VWC'!$G$2:$G$4000)</f>
        <v>0.33775847521651414</v>
      </c>
      <c r="AE150" s="1" cm="1">
        <f t="array" ref="AE150">_xlfn.XLOOKUP(1,('2016 E Maize Soil VWC'!$C$2:$C$4000=$AA150)*('2016 E Maize Soil VWC'!$E$2:$E$4000=$AB150)*('2016 E Maize Soil VWC'!$F$2:$F$4000=AE$5),'2016 E Maize Soil VWC'!$G$2:$G$4000)</f>
        <v>0.32312645995742167</v>
      </c>
      <c r="AF150" s="1" cm="1">
        <f t="array" ref="AF150">_xlfn.XLOOKUP(1,('2016 E Maize Soil VWC'!$C$2:$C$4000=$AA150)*('2016 E Maize Soil VWC'!$E$2:$E$4000=$AB150)*('2016 E Maize Soil VWC'!$F$2:$F$4000=AF$5),'2016 E Maize Soil VWC'!$G$2:$G$4000)</f>
        <v>0.31877578249384175</v>
      </c>
      <c r="AG150" s="1" cm="1">
        <f t="array" ref="AG150">_xlfn.XLOOKUP(1,('2016 E Maize Soil VWC'!$C$2:$C$4000=$AA150)*('2016 E Maize Soil VWC'!$E$2:$E$4000=$AB150)*('2016 E Maize Soil VWC'!$F$2:$F$4000=AG$5),'2016 E Maize Soil VWC'!$G$2:$G$4000)</f>
        <v>0.34046047490442172</v>
      </c>
      <c r="AH150" s="1" cm="1">
        <f t="array" ref="AH150">_xlfn.XLOOKUP(1,('2016 E Maize Soil VWC'!$C$2:$C$4000=$AA150)*('2016 E Maize Soil VWC'!$E$2:$E$4000=$AB150)*('2016 E Maize Soil VWC'!$F$2:$F$4000=AH$5),'2016 E Maize Soil VWC'!$G$2:$G$4000)</f>
        <v>0.33633878046524068</v>
      </c>
      <c r="AI150" s="1" cm="1">
        <f t="array" ref="AI150">_xlfn.XLOOKUP(1,('2016 E Maize Soil VWC'!$C$2:$C$4000=$AA150)*('2016 E Maize Soil VWC'!$E$2:$E$4000=$AB150)*('2016 E Maize Soil VWC'!$F$2:$F$4000=AI$5),'2016 E Maize Soil VWC'!$G$2:$G$4000)</f>
        <v>0.33182781488458157</v>
      </c>
      <c r="AJ150" s="1" cm="1">
        <f t="array" ref="AJ150">_xlfn.XLOOKUP(1,('2016 E Maize Soil VWC'!$C$2:$C$4000=$AA150)*('2016 E Maize Soil VWC'!$E$2:$E$4000=$AB150)*('2016 E Maize Soil VWC'!$F$2:$F$4000=AJ$5),'2016 E Maize Soil VWC'!$G$2:$G$4000)</f>
        <v>0.33894918694338866</v>
      </c>
      <c r="AK150" s="1" cm="1">
        <f t="array" ref="AK150">_xlfn.XLOOKUP(1,('2016 E Maize Soil VWC'!$C$2:$C$4000=$AA150)*('2016 E Maize Soil VWC'!$E$2:$E$4000=$AB150)*('2016 E Maize Soil VWC'!$F$2:$F$4000=AK$5),'2016 E Maize Soil VWC'!$G$2:$G$4000)</f>
        <v>0.32839306951859737</v>
      </c>
      <c r="AL150" s="1" cm="1">
        <f t="array" ref="AL150">_xlfn.XLOOKUP(1,('2016 E Maize Soil VWC'!$C$2:$C$4000=$AA150)*('2016 E Maize Soil VWC'!$E$2:$E$4000=$AB150)*('2016 E Maize Soil VWC'!$F$2:$F$4000=AL$5),'2016 E Maize Soil VWC'!$G$2:$G$4000)</f>
        <v>0.33993381394830413</v>
      </c>
      <c r="AM150" s="1" cm="1">
        <f t="array" ref="AM150">_xlfn.XLOOKUP(1,('2016 E Maize Soil VWC'!$C$2:$C$4000=$AA150)*('2016 E Maize Soil VWC'!$E$2:$E$4000=$AB150)*('2016 E Maize Soil VWC'!$F$2:$F$4000=AM$5),'2016 E Maize Soil VWC'!$G$2:$G$4000)</f>
        <v>0.31245585102043094</v>
      </c>
      <c r="AN150" s="1" cm="1">
        <f t="array" ref="AN150">_xlfn.XLOOKUP(1,('2016 E Maize Soil VWC'!$C$2:$C$4000=$AA150)*('2016 E Maize Soil VWC'!$E$2:$E$4000=$AB150)*('2016 E Maize Soil VWC'!$F$2:$F$4000=AN$5),'2016 E Maize Soil VWC'!$G$2:$G$4000)</f>
        <v>0.29237403978064358</v>
      </c>
      <c r="AO150" s="1" cm="1">
        <f t="array" ref="AO150">_xlfn.XLOOKUP(1,('2016 E Maize Soil VWC'!$C$2:$C$4000=$AA150)*('2016 E Maize Soil VWC'!$E$2:$E$4000=$AB150)*('2016 E Maize Soil VWC'!$F$2:$F$4000=AO$5),'2016 E Maize Soil VWC'!$G$2:$G$4000)</f>
        <v>0.2341894532808721</v>
      </c>
      <c r="AP150" s="1" cm="1">
        <f t="array" ref="AP150">_xlfn.XLOOKUP(1,('2016 E Maize Soil VWC'!$C$2:$C$4000=$AA150)*('2016 E Maize Soil VWC'!$E$2:$E$4000=$AB150)*('2016 E Maize Soil VWC'!$F$2:$F$4000=AP$5),'2016 E Maize Soil VWC'!$G$2:$G$4000)</f>
        <v>0.21852701441198435</v>
      </c>
      <c r="AQ150" s="1" cm="1">
        <f t="array" ref="AQ150">_xlfn.XLOOKUP(1,('2016 E Maize Soil VWC'!$C$2:$C$4000=$AA150)*('2016 E Maize Soil VWC'!$E$2:$E$4000=$AB150)*('2016 E Maize Soil VWC'!$F$2:$F$4000=AQ$5),'2016 E Maize Soil VWC'!$G$2:$G$4000)</f>
        <v>0.34847488075838473</v>
      </c>
      <c r="AR150" s="1" cm="1">
        <f t="array" ref="AR150">_xlfn.XLOOKUP(1,('2016 E Maize Soil VWC'!$C$2:$C$4000=$AA150)*('2016 E Maize Soil VWC'!$E$2:$E$4000=$AB150)*('2016 E Maize Soil VWC'!$F$2:$F$4000=AR$5),'2016 E Maize Soil VWC'!$G$2:$G$4000)</f>
        <v>0.3446737625533623</v>
      </c>
      <c r="AS150" s="1" cm="1">
        <f t="array" ref="AS150">_xlfn.XLOOKUP(1,('2016 E Maize Soil VWC'!$C$2:$C$4000=$AA150)*('2016 E Maize Soil VWC'!$E$2:$E$4000=$AB150)*('2016 E Maize Soil VWC'!$F$2:$F$4000=AS$5),'2016 E Maize Soil VWC'!$G$2:$G$4000)</f>
        <v>0.34426159310944421</v>
      </c>
      <c r="AT150" s="1" cm="1">
        <f t="array" ref="AT150">_xlfn.XLOOKUP(1,('2016 E Maize Soil VWC'!$C$2:$C$4000=$AA150)*('2016 E Maize Soil VWC'!$E$2:$E$4000=$AB150)*('2016 E Maize Soil VWC'!$F$2:$F$4000=AT$5),'2016 E Maize Soil VWC'!$G$2:$G$4000)</f>
        <v>0.31561581675713635</v>
      </c>
      <c r="AU150" s="1" cm="1">
        <f t="array" ref="AU150">_xlfn.XLOOKUP(1,('2016 E Maize Soil VWC'!$C$2:$C$4000=$AA150)*('2016 E Maize Soil VWC'!$E$2:$E$4000=$AB150)*('2016 E Maize Soil VWC'!$F$2:$F$4000=AU$5),'2016 E Maize Soil VWC'!$G$2:$G$4000)</f>
        <v>0.31000573265936221</v>
      </c>
      <c r="AV150" s="1" cm="1">
        <f t="array" ref="AV150">_xlfn.XLOOKUP(1,('2016 E Maize Soil VWC'!$C$2:$C$4000=$AA150)*('2016 E Maize Soil VWC'!$E$2:$E$4000=$AB150)*('2016 E Maize Soil VWC'!$F$2:$F$4000=AV$5),'2016 E Maize Soil VWC'!$G$2:$G$4000)</f>
        <v>0.32127169745979023</v>
      </c>
    </row>
    <row r="151" spans="25:64" x14ac:dyDescent="0.25">
      <c r="AA151" s="18">
        <f t="shared" si="25"/>
        <v>42605</v>
      </c>
      <c r="AB151" s="1">
        <f t="shared" si="26"/>
        <v>50</v>
      </c>
      <c r="AC151" s="1" cm="1">
        <f t="array" ref="AC151">_xlfn.XLOOKUP(1,('2016 E Maize Soil VWC'!$C$2:$C$4000=$AA151)*('2016 E Maize Soil VWC'!$E$2:$E$4000=$AB151)*('2016 E Maize Soil VWC'!$F$2:$F$4000=AC$5),'2016 E Maize Soil VWC'!$G$2:$G$4000)</f>
        <v>0.34506303369484048</v>
      </c>
      <c r="AD151" s="1" cm="1">
        <f t="array" ref="AD151">_xlfn.XLOOKUP(1,('2016 E Maize Soil VWC'!$C$2:$C$4000=$AA151)*('2016 E Maize Soil VWC'!$E$2:$E$4000=$AB151)*('2016 E Maize Soil VWC'!$F$2:$F$4000=AD$5),'2016 E Maize Soil VWC'!$G$2:$G$4000)</f>
        <v>0.34842908415350493</v>
      </c>
      <c r="AE151" s="1" cm="1">
        <f t="array" ref="AE151">_xlfn.XLOOKUP(1,('2016 E Maize Soil VWC'!$C$2:$C$4000=$AA151)*('2016 E Maize Soil VWC'!$E$2:$E$4000=$AB151)*('2016 E Maize Soil VWC'!$F$2:$F$4000=AE$5),'2016 E Maize Soil VWC'!$G$2:$G$4000)</f>
        <v>0.34936791455354055</v>
      </c>
      <c r="AF151" s="1" cm="1">
        <f t="array" ref="AF151">_xlfn.XLOOKUP(1,('2016 E Maize Soil VWC'!$C$2:$C$4000=$AA151)*('2016 E Maize Soil VWC'!$E$2:$E$4000=$AB151)*('2016 E Maize Soil VWC'!$F$2:$F$4000=AF$5),'2016 E Maize Soil VWC'!$G$2:$G$4000)</f>
        <v>0.32878234066007561</v>
      </c>
      <c r="AG151" s="1" cm="1">
        <f t="array" ref="AG151">_xlfn.XLOOKUP(1,('2016 E Maize Soil VWC'!$C$2:$C$4000=$AA151)*('2016 E Maize Soil VWC'!$E$2:$E$4000=$AB151)*('2016 E Maize Soil VWC'!$F$2:$F$4000=AG$5),'2016 E Maize Soil VWC'!$G$2:$G$4000)</f>
        <v>0.34540650823143887</v>
      </c>
      <c r="AH151" s="1" cm="1">
        <f t="array" ref="AH151">_xlfn.XLOOKUP(1,('2016 E Maize Soil VWC'!$C$2:$C$4000=$AA151)*('2016 E Maize Soil VWC'!$E$2:$E$4000=$AB151)*('2016 E Maize Soil VWC'!$F$2:$F$4000=AH$5),'2016 E Maize Soil VWC'!$G$2:$G$4000)</f>
        <v>0.35048993137309542</v>
      </c>
      <c r="AI151" s="1" cm="1">
        <f t="array" ref="AI151">_xlfn.XLOOKUP(1,('2016 E Maize Soil VWC'!$C$2:$C$4000=$AA151)*('2016 E Maize Soil VWC'!$E$2:$E$4000=$AB151)*('2016 E Maize Soil VWC'!$F$2:$F$4000=AI$5),'2016 E Maize Soil VWC'!$G$2:$G$4000)</f>
        <v>0.34171988153861593</v>
      </c>
      <c r="AJ151" s="1" cm="1">
        <f t="array" ref="AJ151">_xlfn.XLOOKUP(1,('2016 E Maize Soil VWC'!$C$2:$C$4000=$AA151)*('2016 E Maize Soil VWC'!$E$2:$E$4000=$AB151)*('2016 E Maize Soil VWC'!$F$2:$F$4000=AJ$5),'2016 E Maize Soil VWC'!$G$2:$G$4000)</f>
        <v>0.33308722151877568</v>
      </c>
      <c r="AK151" s="1" cm="1">
        <f t="array" ref="AK151">_xlfn.XLOOKUP(1,('2016 E Maize Soil VWC'!$C$2:$C$4000=$AA151)*('2016 E Maize Soil VWC'!$E$2:$E$4000=$AB151)*('2016 E Maize Soil VWC'!$F$2:$F$4000=AK$5),'2016 E Maize Soil VWC'!$G$2:$G$4000)</f>
        <v>0.34055206811418126</v>
      </c>
      <c r="AL151" s="1" cm="1">
        <f t="array" ref="AL151">_xlfn.XLOOKUP(1,('2016 E Maize Soil VWC'!$C$2:$C$4000=$AA151)*('2016 E Maize Soil VWC'!$E$2:$E$4000=$AB151)*('2016 E Maize Soil VWC'!$F$2:$F$4000=AL$5),'2016 E Maize Soil VWC'!$G$2:$G$4000)</f>
        <v>0.35376438862200027</v>
      </c>
      <c r="AM151" s="1" cm="1">
        <f t="array" ref="AM151">_xlfn.XLOOKUP(1,('2016 E Maize Soil VWC'!$C$2:$C$4000=$AA151)*('2016 E Maize Soil VWC'!$E$2:$E$4000=$AB151)*('2016 E Maize Soil VWC'!$F$2:$F$4000=AM$5),'2016 E Maize Soil VWC'!$G$2:$G$4000)</f>
        <v>0.33736920407503596</v>
      </c>
      <c r="AN151" s="1" cm="1">
        <f t="array" ref="AN151">_xlfn.XLOOKUP(1,('2016 E Maize Soil VWC'!$C$2:$C$4000=$AA151)*('2016 E Maize Soil VWC'!$E$2:$E$4000=$AB151)*('2016 E Maize Soil VWC'!$F$2:$F$4000=AN$5),'2016 E Maize Soil VWC'!$G$2:$G$4000)</f>
        <v>0.32777481535272024</v>
      </c>
      <c r="AO151" s="1" cm="1">
        <f t="array" ref="AO151">_xlfn.XLOOKUP(1,('2016 E Maize Soil VWC'!$C$2:$C$4000=$AA151)*('2016 E Maize Soil VWC'!$E$2:$E$4000=$AB151)*('2016 E Maize Soil VWC'!$F$2:$F$4000=AO$5),'2016 E Maize Soil VWC'!$G$2:$G$4000)</f>
        <v>0.30643359747873872</v>
      </c>
      <c r="AP151" s="1" cm="1">
        <f t="array" ref="AP151">_xlfn.XLOOKUP(1,('2016 E Maize Soil VWC'!$C$2:$C$4000=$AA151)*('2016 E Maize Soil VWC'!$E$2:$E$4000=$AB151)*('2016 E Maize Soil VWC'!$F$2:$F$4000=AP$5),'2016 E Maize Soil VWC'!$G$2:$G$4000)</f>
        <v>0.31163151213259471</v>
      </c>
      <c r="AQ151" s="1" cm="1">
        <f t="array" ref="AQ151">_xlfn.XLOOKUP(1,('2016 E Maize Soil VWC'!$C$2:$C$4000=$AA151)*('2016 E Maize Soil VWC'!$E$2:$E$4000=$AB151)*('2016 E Maize Soil VWC'!$F$2:$F$4000=AQ$5),'2016 E Maize Soil VWC'!$G$2:$G$4000)</f>
        <v>0.33938425468974665</v>
      </c>
      <c r="AR151" s="1" cm="1">
        <f t="array" ref="AR151">_xlfn.XLOOKUP(1,('2016 E Maize Soil VWC'!$C$2:$C$4000=$AA151)*('2016 E Maize Soil VWC'!$E$2:$E$4000=$AB151)*('2016 E Maize Soil VWC'!$F$2:$F$4000=AR$5),'2016 E Maize Soil VWC'!$G$2:$G$4000)</f>
        <v>0.3476963384754283</v>
      </c>
      <c r="AS151" s="1" cm="1">
        <f t="array" ref="AS151">_xlfn.XLOOKUP(1,('2016 E Maize Soil VWC'!$C$2:$C$4000=$AA151)*('2016 E Maize Soil VWC'!$E$2:$E$4000=$AB151)*('2016 E Maize Soil VWC'!$F$2:$F$4000=AS$5),'2016 E Maize Soil VWC'!$G$2:$G$4000)</f>
        <v>0.35706174417334507</v>
      </c>
      <c r="AT151" s="1" cm="1">
        <f t="array" ref="AT151">_xlfn.XLOOKUP(1,('2016 E Maize Soil VWC'!$C$2:$C$4000=$AA151)*('2016 E Maize Soil VWC'!$E$2:$E$4000=$AB151)*('2016 E Maize Soil VWC'!$F$2:$F$4000=AT$5),'2016 E Maize Soil VWC'!$G$2:$G$4000)</f>
        <v>0.33730050916771626</v>
      </c>
      <c r="AU151" s="1" cm="1">
        <f t="array" ref="AU151">_xlfn.XLOOKUP(1,('2016 E Maize Soil VWC'!$C$2:$C$4000=$AA151)*('2016 E Maize Soil VWC'!$E$2:$E$4000=$AB151)*('2016 E Maize Soil VWC'!$F$2:$F$4000=AU$5),'2016 E Maize Soil VWC'!$G$2:$G$4000)</f>
        <v>0.3207450365036727</v>
      </c>
      <c r="AV151" s="1" cm="1">
        <f t="array" ref="AV151">_xlfn.XLOOKUP(1,('2016 E Maize Soil VWC'!$C$2:$C$4000=$AA151)*('2016 E Maize Soil VWC'!$E$2:$E$4000=$AB151)*('2016 E Maize Soil VWC'!$F$2:$F$4000=AV$5),'2016 E Maize Soil VWC'!$G$2:$G$4000)</f>
        <v>0.33775847521651414</v>
      </c>
    </row>
    <row r="152" spans="25:64" x14ac:dyDescent="0.25">
      <c r="AA152" s="18">
        <f t="shared" si="25"/>
        <v>42605</v>
      </c>
      <c r="AB152" s="1">
        <f t="shared" si="26"/>
        <v>70</v>
      </c>
      <c r="AC152" s="1" cm="1">
        <f t="array" ref="AC152">_xlfn.XLOOKUP(1,('2016 E Maize Soil VWC'!$C$2:$C$4000=$AA152)*('2016 E Maize Soil VWC'!$E$2:$E$4000=$AB152)*('2016 E Maize Soil VWC'!$F$2:$F$4000=AC$5),'2016 E Maize Soil VWC'!$G$2:$G$4000)</f>
        <v>0.33473589929444808</v>
      </c>
      <c r="AD152" s="1" cm="1">
        <f t="array" ref="AD152">_xlfn.XLOOKUP(1,('2016 E Maize Soil VWC'!$C$2:$C$4000=$AA152)*('2016 E Maize Soil VWC'!$E$2:$E$4000=$AB152)*('2016 E Maize Soil VWC'!$F$2:$F$4000=AD$5),'2016 E Maize Soil VWC'!$G$2:$G$4000)</f>
        <v>0.33324750963585498</v>
      </c>
      <c r="AE152" s="1" cm="1">
        <f t="array" ref="AE152">_xlfn.XLOOKUP(1,('2016 E Maize Soil VWC'!$C$2:$C$4000=$AA152)*('2016 E Maize Soil VWC'!$E$2:$E$4000=$AB152)*('2016 E Maize Soil VWC'!$F$2:$F$4000=AE$5),'2016 E Maize Soil VWC'!$G$2:$G$4000)</f>
        <v>0.32772901874784044</v>
      </c>
      <c r="AF152" s="1" cm="1">
        <f t="array" ref="AF152">_xlfn.XLOOKUP(1,('2016 E Maize Soil VWC'!$C$2:$C$4000=$AA152)*('2016 E Maize Soil VWC'!$E$2:$E$4000=$AB152)*('2016 E Maize Soil VWC'!$F$2:$F$4000=AF$5),'2016 E Maize Soil VWC'!$G$2:$G$4000)</f>
        <v>0.3190047655182407</v>
      </c>
      <c r="AG152" s="1" cm="1">
        <f t="array" ref="AG152">_xlfn.XLOOKUP(1,('2016 E Maize Soil VWC'!$C$2:$C$4000=$AA152)*('2016 E Maize Soil VWC'!$E$2:$E$4000=$AB152)*('2016 E Maize Soil VWC'!$F$2:$F$4000=AG$5),'2016 E Maize Soil VWC'!$G$2:$G$4000)</f>
        <v>0.31032630889352075</v>
      </c>
      <c r="AH152" s="1" cm="1">
        <f t="array" ref="AH152">_xlfn.XLOOKUP(1,('2016 E Maize Soil VWC'!$C$2:$C$4000=$AA152)*('2016 E Maize Soil VWC'!$E$2:$E$4000=$AB152)*('2016 E Maize Soil VWC'!$F$2:$F$4000=AH$5),'2016 E Maize Soil VWC'!$G$2:$G$4000)</f>
        <v>0.32878234066007561</v>
      </c>
      <c r="AI152" s="1" cm="1">
        <f t="array" ref="AI152">_xlfn.XLOOKUP(1,('2016 E Maize Soil VWC'!$C$2:$C$4000=$AA152)*('2016 E Maize Soil VWC'!$E$2:$E$4000=$AB152)*('2016 E Maize Soil VWC'!$F$2:$F$4000=AI$5),'2016 E Maize Soil VWC'!$G$2:$G$4000)</f>
        <v>0.31371525765462516</v>
      </c>
      <c r="AJ152" s="1" cm="1">
        <f t="array" ref="AJ152">_xlfn.XLOOKUP(1,('2016 E Maize Soil VWC'!$C$2:$C$4000=$AA152)*('2016 E Maize Soil VWC'!$E$2:$E$4000=$AB152)*('2016 E Maize Soil VWC'!$F$2:$F$4000=AJ$5),'2016 E Maize Soil VWC'!$G$2:$G$4000)</f>
        <v>0.30157915736148111</v>
      </c>
      <c r="AK152" s="1" cm="1">
        <f t="array" ref="AK152">_xlfn.XLOOKUP(1,('2016 E Maize Soil VWC'!$C$2:$C$4000=$AA152)*('2016 E Maize Soil VWC'!$E$2:$E$4000=$AB152)*('2016 E Maize Soil VWC'!$F$2:$F$4000=AK$5),'2016 E Maize Soil VWC'!$G$2:$G$4000)</f>
        <v>0.32818698479663833</v>
      </c>
      <c r="AL152" s="1" cm="1">
        <f t="array" ref="AL152">_xlfn.XLOOKUP(1,('2016 E Maize Soil VWC'!$C$2:$C$4000=$AA152)*('2016 E Maize Soil VWC'!$E$2:$E$4000=$AB152)*('2016 E Maize Soil VWC'!$F$2:$F$4000=AL$5),'2016 E Maize Soil VWC'!$G$2:$G$4000)</f>
        <v>0.33425503494321035</v>
      </c>
      <c r="AM152" s="1" cm="1">
        <f t="array" ref="AM152">_xlfn.XLOOKUP(1,('2016 E Maize Soil VWC'!$C$2:$C$4000=$AA152)*('2016 E Maize Soil VWC'!$E$2:$E$4000=$AB152)*('2016 E Maize Soil VWC'!$F$2:$F$4000=AM$5),'2016 E Maize Soil VWC'!$G$2:$G$4000)</f>
        <v>0.31939403665971894</v>
      </c>
      <c r="AN152" s="1" cm="1">
        <f t="array" ref="AN152">_xlfn.XLOOKUP(1,('2016 E Maize Soil VWC'!$C$2:$C$4000=$AA152)*('2016 E Maize Soil VWC'!$E$2:$E$4000=$AB152)*('2016 E Maize Soil VWC'!$F$2:$F$4000=AN$5),'2016 E Maize Soil VWC'!$G$2:$G$4000)</f>
        <v>0.29986178467848906</v>
      </c>
      <c r="AO152" s="1" cm="1">
        <f t="array" ref="AO152">_xlfn.XLOOKUP(1,('2016 E Maize Soil VWC'!$C$2:$C$4000=$AA152)*('2016 E Maize Soil VWC'!$E$2:$E$4000=$AB152)*('2016 E Maize Soil VWC'!$F$2:$F$4000=AO$5),'2016 E Maize Soil VWC'!$G$2:$G$4000)</f>
        <v>0.29390822604411648</v>
      </c>
      <c r="AP152" s="1" cm="1">
        <f t="array" ref="AP152">_xlfn.XLOOKUP(1,('2016 E Maize Soil VWC'!$C$2:$C$4000=$AA152)*('2016 E Maize Soil VWC'!$E$2:$E$4000=$AB152)*('2016 E Maize Soil VWC'!$F$2:$F$4000=AP$5),'2016 E Maize Soil VWC'!$G$2:$G$4000)</f>
        <v>0.31671493527425126</v>
      </c>
      <c r="AQ152" s="1" cm="1">
        <f t="array" ref="AQ152">_xlfn.XLOOKUP(1,('2016 E Maize Soil VWC'!$C$2:$C$4000=$AA152)*('2016 E Maize Soil VWC'!$E$2:$E$4000=$AB152)*('2016 E Maize Soil VWC'!$F$2:$F$4000=AQ$5),'2016 E Maize Soil VWC'!$G$2:$G$4000)</f>
        <v>0.31250164762531074</v>
      </c>
      <c r="AR152" s="1" cm="1">
        <f t="array" ref="AR152">_xlfn.XLOOKUP(1,('2016 E Maize Soil VWC'!$C$2:$C$4000=$AA152)*('2016 E Maize Soil VWC'!$E$2:$E$4000=$AB152)*('2016 E Maize Soil VWC'!$F$2:$F$4000=AR$5),'2016 E Maize Soil VWC'!$G$2:$G$4000)</f>
        <v>0.31806593511820502</v>
      </c>
      <c r="AS152" s="1" cm="1">
        <f t="array" ref="AS152">_xlfn.XLOOKUP(1,('2016 E Maize Soil VWC'!$C$2:$C$4000=$AA152)*('2016 E Maize Soil VWC'!$E$2:$E$4000=$AB152)*('2016 E Maize Soil VWC'!$F$2:$F$4000=AS$5),'2016 E Maize Soil VWC'!$G$2:$G$4000)</f>
        <v>0.31863839267920235</v>
      </c>
      <c r="AT152" s="1" cm="1">
        <f t="array" ref="AT152">_xlfn.XLOOKUP(1,('2016 E Maize Soil VWC'!$C$2:$C$4000=$AA152)*('2016 E Maize Soil VWC'!$E$2:$E$4000=$AB152)*('2016 E Maize Soil VWC'!$F$2:$F$4000=AT$5),'2016 E Maize Soil VWC'!$G$2:$G$4000)</f>
        <v>0.3020829200151588</v>
      </c>
      <c r="AU152" s="1" cm="1">
        <f t="array" ref="AU152">_xlfn.XLOOKUP(1,('2016 E Maize Soil VWC'!$C$2:$C$4000=$AA152)*('2016 E Maize Soil VWC'!$E$2:$E$4000=$AB152)*('2016 E Maize Soil VWC'!$F$2:$F$4000=AU$5),'2016 E Maize Soil VWC'!$G$2:$G$4000)</f>
        <v>0.28946595537077702</v>
      </c>
      <c r="AV152" s="1" cm="1">
        <f t="array" ref="AV152">_xlfn.XLOOKUP(1,('2016 E Maize Soil VWC'!$C$2:$C$4000=$AA152)*('2016 E Maize Soil VWC'!$E$2:$E$4000=$AB152)*('2016 E Maize Soil VWC'!$F$2:$F$4000=AV$5),'2016 E Maize Soil VWC'!$G$2:$G$4000)</f>
        <v>0.31259324083507029</v>
      </c>
    </row>
    <row r="153" spans="25:64" x14ac:dyDescent="0.25">
      <c r="AA153" s="18">
        <f t="shared" si="25"/>
        <v>42605</v>
      </c>
      <c r="AB153" s="1">
        <f t="shared" si="26"/>
        <v>90</v>
      </c>
      <c r="AC153" s="1" cm="1">
        <f t="array" ref="AC153">_xlfn.XLOOKUP(1,('2016 E Maize Soil VWC'!$C$2:$C$4000=$AA153)*('2016 E Maize Soil VWC'!$E$2:$E$4000=$AB153)*('2016 E Maize Soil VWC'!$F$2:$F$4000=AC$5),'2016 E Maize Soil VWC'!$G$2:$G$4000)</f>
        <v>0.32704206967464361</v>
      </c>
      <c r="AD153" s="1" cm="1">
        <f t="array" ref="AD153">_xlfn.XLOOKUP(1,('2016 E Maize Soil VWC'!$C$2:$C$4000=$AA153)*('2016 E Maize Soil VWC'!$E$2:$E$4000=$AB153)*('2016 E Maize Soil VWC'!$F$2:$F$4000=AD$5),'2016 E Maize Soil VWC'!$G$2:$G$4000)</f>
        <v>0.33114086581138469</v>
      </c>
      <c r="AE153" s="1" cm="1">
        <f t="array" ref="AE153">_xlfn.XLOOKUP(1,('2016 E Maize Soil VWC'!$C$2:$C$4000=$AA153)*('2016 E Maize Soil VWC'!$E$2:$E$4000=$AB153)*('2016 E Maize Soil VWC'!$F$2:$F$4000=AE$5),'2016 E Maize Soil VWC'!$G$2:$G$4000)</f>
        <v>0.30858603790808881</v>
      </c>
      <c r="AF153" s="1" cm="1">
        <f t="array" ref="AF153">_xlfn.XLOOKUP(1,('2016 E Maize Soil VWC'!$C$2:$C$4000=$AA153)*('2016 E Maize Soil VWC'!$E$2:$E$4000=$AB153)*('2016 E Maize Soil VWC'!$F$2:$F$4000=AF$5),'2016 E Maize Soil VWC'!$G$2:$G$4000)</f>
        <v>0.31728739283524865</v>
      </c>
      <c r="AG153" s="1" cm="1">
        <f t="array" ref="AG153">_xlfn.XLOOKUP(1,('2016 E Maize Soil VWC'!$C$2:$C$4000=$AA153)*('2016 E Maize Soil VWC'!$E$2:$E$4000=$AB153)*('2016 E Maize Soil VWC'!$F$2:$F$4000=AG$5),'2016 E Maize Soil VWC'!$G$2:$G$4000)</f>
        <v>0.28692424379994874</v>
      </c>
      <c r="AH153" s="1" cm="1">
        <f t="array" ref="AH153">_xlfn.XLOOKUP(1,('2016 E Maize Soil VWC'!$C$2:$C$4000=$AA153)*('2016 E Maize Soil VWC'!$E$2:$E$4000=$AB153)*('2016 E Maize Soil VWC'!$F$2:$F$4000=AH$5),'2016 E Maize Soil VWC'!$G$2:$G$4000)</f>
        <v>0.30105249640536352</v>
      </c>
      <c r="AI153" s="1" cm="1">
        <f t="array" ref="AI153">_xlfn.XLOOKUP(1,('2016 E Maize Soil VWC'!$C$2:$C$4000=$AA153)*('2016 E Maize Soil VWC'!$E$2:$E$4000=$AB153)*('2016 E Maize Soil VWC'!$F$2:$F$4000=AI$5),'2016 E Maize Soil VWC'!$G$2:$G$4000)</f>
        <v>0.31502046089369912</v>
      </c>
      <c r="AJ153" s="1" cm="1">
        <f t="array" ref="AJ153">_xlfn.XLOOKUP(1,('2016 E Maize Soil VWC'!$C$2:$C$4000=$AA153)*('2016 E Maize Soil VWC'!$E$2:$E$4000=$AB153)*('2016 E Maize Soil VWC'!$F$2:$F$4000=AJ$5),'2016 E Maize Soil VWC'!$G$2:$G$4000)</f>
        <v>0.30547186877626314</v>
      </c>
      <c r="AK153" s="1" cm="1">
        <f t="array" ref="AK153">_xlfn.XLOOKUP(1,('2016 E Maize Soil VWC'!$C$2:$C$4000=$AA153)*('2016 E Maize Soil VWC'!$E$2:$E$4000=$AB153)*('2016 E Maize Soil VWC'!$F$2:$F$4000=AK$5),'2016 E Maize Soil VWC'!$G$2:$G$4000)</f>
        <v>0.31852390116700291</v>
      </c>
      <c r="AL153" s="1" cm="1">
        <f t="array" ref="AL153">_xlfn.XLOOKUP(1,('2016 E Maize Soil VWC'!$C$2:$C$4000=$AA153)*('2016 E Maize Soil VWC'!$E$2:$E$4000=$AB153)*('2016 E Maize Soil VWC'!$F$2:$F$4000=AL$5),'2016 E Maize Soil VWC'!$G$2:$G$4000)</f>
        <v>0.32713366288440321</v>
      </c>
      <c r="AM153" s="1" cm="1">
        <f t="array" ref="AM153">_xlfn.XLOOKUP(1,('2016 E Maize Soil VWC'!$C$2:$C$4000=$AA153)*('2016 E Maize Soil VWC'!$E$2:$E$4000=$AB153)*('2016 E Maize Soil VWC'!$F$2:$F$4000=AM$5),'2016 E Maize Soil VWC'!$G$2:$G$4000)</f>
        <v>0.29386242943923674</v>
      </c>
      <c r="AN153" s="1" cm="1">
        <f t="array" ref="AN153">_xlfn.XLOOKUP(1,('2016 E Maize Soil VWC'!$C$2:$C$4000=$AA153)*('2016 E Maize Soil VWC'!$E$2:$E$4000=$AB153)*('2016 E Maize Soil VWC'!$F$2:$F$4000=AN$5),'2016 E Maize Soil VWC'!$G$2:$G$4000)</f>
        <v>0.30096090319560398</v>
      </c>
      <c r="AO153" s="1" cm="1">
        <f t="array" ref="AO153">_xlfn.XLOOKUP(1,('2016 E Maize Soil VWC'!$C$2:$C$4000=$AA153)*('2016 E Maize Soil VWC'!$E$2:$E$4000=$AB153)*('2016 E Maize Soil VWC'!$F$2:$F$4000=AO$5),'2016 E Maize Soil VWC'!$G$2:$G$4000)</f>
        <v>0.28296283747784701</v>
      </c>
      <c r="AP153" s="1" cm="1">
        <f t="array" ref="AP153">_xlfn.XLOOKUP(1,('2016 E Maize Soil VWC'!$C$2:$C$4000=$AA153)*('2016 E Maize Soil VWC'!$E$2:$E$4000=$AB153)*('2016 E Maize Soil VWC'!$F$2:$F$4000=AP$5),'2016 E Maize Soil VWC'!$G$2:$G$4000)</f>
        <v>0.29285490413188142</v>
      </c>
      <c r="AQ153" s="1" cm="1">
        <f t="array" ref="AQ153">_xlfn.XLOOKUP(1,('2016 E Maize Soil VWC'!$C$2:$C$4000=$AA153)*('2016 E Maize Soil VWC'!$E$2:$E$4000=$AB153)*('2016 E Maize Soil VWC'!$F$2:$F$4000=AQ$5),'2016 E Maize Soil VWC'!$G$2:$G$4000)</f>
        <v>0.29292359903920107</v>
      </c>
      <c r="AR153" s="1" cm="1">
        <f t="array" ref="AR153">_xlfn.XLOOKUP(1,('2016 E Maize Soil VWC'!$C$2:$C$4000=$AA153)*('2016 E Maize Soil VWC'!$E$2:$E$4000=$AB153)*('2016 E Maize Soil VWC'!$F$2:$F$4000=AR$5),'2016 E Maize Soil VWC'!$G$2:$G$4000)</f>
        <v>0.2952592258880703</v>
      </c>
      <c r="AS153" s="1" cm="1">
        <f t="array" ref="AS153">_xlfn.XLOOKUP(1,('2016 E Maize Soil VWC'!$C$2:$C$4000=$AA153)*('2016 E Maize Soil VWC'!$E$2:$E$4000=$AB153)*('2016 E Maize Soil VWC'!$F$2:$F$4000=AS$5),'2016 E Maize Soil VWC'!$G$2:$G$4000)</f>
        <v>0.31795144360600558</v>
      </c>
      <c r="AT153" s="1" cm="1">
        <f t="array" ref="AT153">_xlfn.XLOOKUP(1,('2016 E Maize Soil VWC'!$C$2:$C$4000=$AA153)*('2016 E Maize Soil VWC'!$E$2:$E$4000=$AB153)*('2016 E Maize Soil VWC'!$F$2:$F$4000=AT$5),'2016 E Maize Soil VWC'!$G$2:$G$4000)</f>
        <v>0.29988468298092896</v>
      </c>
      <c r="AU153" s="1" cm="1">
        <f t="array" ref="AU153">_xlfn.XLOOKUP(1,('2016 E Maize Soil VWC'!$C$2:$C$4000=$AA153)*('2016 E Maize Soil VWC'!$E$2:$E$4000=$AB153)*('2016 E Maize Soil VWC'!$F$2:$F$4000=AU$5),'2016 E Maize Soil VWC'!$G$2:$G$4000)</f>
        <v>0.28564193886331468</v>
      </c>
      <c r="AV153" s="1" cm="1">
        <f t="array" ref="AV153">_xlfn.XLOOKUP(1,('2016 E Maize Soil VWC'!$C$2:$C$4000=$AA153)*('2016 E Maize Soil VWC'!$E$2:$E$4000=$AB153)*('2016 E Maize Soil VWC'!$F$2:$F$4000=AV$5),'2016 E Maize Soil VWC'!$G$2:$G$4000)</f>
        <v>0.29871686955649435</v>
      </c>
    </row>
    <row r="154" spans="25:64" x14ac:dyDescent="0.25">
      <c r="AA154" s="18">
        <f t="shared" si="25"/>
        <v>42605</v>
      </c>
      <c r="AB154" s="1">
        <f t="shared" si="26"/>
        <v>110</v>
      </c>
      <c r="AC154" s="1" cm="1">
        <f t="array" ref="AC154">_xlfn.XLOOKUP(1,('2016 E Maize Soil VWC'!$C$2:$C$4000=$AA154)*('2016 E Maize Soil VWC'!$E$2:$E$4000=$AB154)*('2016 E Maize Soil VWC'!$F$2:$F$4000=AC$5),'2016 E Maize Soil VWC'!$G$2:$G$4000)</f>
        <v>0.33123245902114429</v>
      </c>
      <c r="AD154" s="1" cm="1">
        <f t="array" ref="AD154">_xlfn.XLOOKUP(1,('2016 E Maize Soil VWC'!$C$2:$C$4000=$AA154)*('2016 E Maize Soil VWC'!$E$2:$E$4000=$AB154)*('2016 E Maize Soil VWC'!$F$2:$F$4000=AD$5),'2016 E Maize Soil VWC'!$G$2:$G$4000)</f>
        <v>0.32967537445523148</v>
      </c>
      <c r="AE154" s="1" cm="1">
        <f t="array" ref="AE154">_xlfn.XLOOKUP(1,('2016 E Maize Soil VWC'!$C$2:$C$4000=$AA154)*('2016 E Maize Soil VWC'!$E$2:$E$4000=$AB154)*('2016 E Maize Soil VWC'!$F$2:$F$4000=AE$5),'2016 E Maize Soil VWC'!$G$2:$G$4000)</f>
        <v>0.31646305394741248</v>
      </c>
      <c r="AF154" s="1" cm="1">
        <f t="array" ref="AF154">_xlfn.XLOOKUP(1,('2016 E Maize Soil VWC'!$C$2:$C$4000=$AA154)*('2016 E Maize Soil VWC'!$E$2:$E$4000=$AB154)*('2016 E Maize Soil VWC'!$F$2:$F$4000=AF$5),'2016 E Maize Soil VWC'!$G$2:$G$4000)</f>
        <v>0.32830147630883777</v>
      </c>
      <c r="AG154" s="1" cm="1">
        <f t="array" ref="AG154">_xlfn.XLOOKUP(1,('2016 E Maize Soil VWC'!$C$2:$C$4000=$AA154)*('2016 E Maize Soil VWC'!$E$2:$E$4000=$AB154)*('2016 E Maize Soil VWC'!$F$2:$F$4000=AG$5),'2016 E Maize Soil VWC'!$G$2:$G$4000)</f>
        <v>0.30851734300076911</v>
      </c>
      <c r="AH154" s="1" cm="1">
        <f t="array" ref="AH154">_xlfn.XLOOKUP(1,('2016 E Maize Soil VWC'!$C$2:$C$4000=$AA154)*('2016 E Maize Soil VWC'!$E$2:$E$4000=$AB154)*('2016 E Maize Soil VWC'!$F$2:$F$4000=AH$5),'2016 E Maize Soil VWC'!$G$2:$G$4000)</f>
        <v>0.31110485117647713</v>
      </c>
      <c r="AI154" s="1" cm="1">
        <f t="array" ref="AI154">_xlfn.XLOOKUP(1,('2016 E Maize Soil VWC'!$C$2:$C$4000=$AA154)*('2016 E Maize Soil VWC'!$E$2:$E$4000=$AB154)*('2016 E Maize Soil VWC'!$F$2:$F$4000=AI$5),'2016 E Maize Soil VWC'!$G$2:$G$4000)</f>
        <v>0.32692757816244417</v>
      </c>
      <c r="AJ154" s="1" cm="1">
        <f t="array" ref="AJ154">_xlfn.XLOOKUP(1,('2016 E Maize Soil VWC'!$C$2:$C$4000=$AA154)*('2016 E Maize Soil VWC'!$E$2:$E$4000=$AB154)*('2016 E Maize Soil VWC'!$F$2:$F$4000=AJ$5),'2016 E Maize Soil VWC'!$G$2:$G$4000)</f>
        <v>0.32891973047471496</v>
      </c>
      <c r="AK154" s="1" cm="1">
        <f t="array" ref="AK154">_xlfn.XLOOKUP(1,('2016 E Maize Soil VWC'!$C$2:$C$4000=$AA154)*('2016 E Maize Soil VWC'!$E$2:$E$4000=$AB154)*('2016 E Maize Soil VWC'!$F$2:$F$4000=AK$5),'2016 E Maize Soil VWC'!$G$2:$G$4000)</f>
        <v>0.31962301968411788</v>
      </c>
      <c r="AL154" s="1" cm="1">
        <f t="array" ref="AL154">_xlfn.XLOOKUP(1,('2016 E Maize Soil VWC'!$C$2:$C$4000=$AA154)*('2016 E Maize Soil VWC'!$E$2:$E$4000=$AB154)*('2016 E Maize Soil VWC'!$F$2:$F$4000=AL$5),'2016 E Maize Soil VWC'!$G$2:$G$4000)</f>
        <v>0.32518730717701216</v>
      </c>
      <c r="AM154" s="1" cm="1">
        <f t="array" ref="AM154">_xlfn.XLOOKUP(1,('2016 E Maize Soil VWC'!$C$2:$C$4000=$AA154)*('2016 E Maize Soil VWC'!$E$2:$E$4000=$AB154)*('2016 E Maize Soil VWC'!$F$2:$F$4000=AM$5),'2016 E Maize Soil VWC'!$G$2:$G$4000)</f>
        <v>0.30178524208344015</v>
      </c>
      <c r="AN154" s="1" cm="1">
        <f t="array" ref="AN154">_xlfn.XLOOKUP(1,('2016 E Maize Soil VWC'!$C$2:$C$4000=$AA154)*('2016 E Maize Soil VWC'!$E$2:$E$4000=$AB154)*('2016 E Maize Soil VWC'!$F$2:$F$4000=AN$5),'2016 E Maize Soil VWC'!$G$2:$G$4000)</f>
        <v>0.32172966350858812</v>
      </c>
      <c r="AO154" s="1" cm="1">
        <f t="array" ref="AO154">_xlfn.XLOOKUP(1,('2016 E Maize Soil VWC'!$C$2:$C$4000=$AA154)*('2016 E Maize Soil VWC'!$E$2:$E$4000=$AB154)*('2016 E Maize Soil VWC'!$F$2:$F$4000=AO$5),'2016 E Maize Soil VWC'!$G$2:$G$4000)</f>
        <v>0.31712710471816935</v>
      </c>
      <c r="AP154" s="1" cm="1">
        <f t="array" ref="AP154">_xlfn.XLOOKUP(1,('2016 E Maize Soil VWC'!$C$2:$C$4000=$AA154)*('2016 E Maize Soil VWC'!$E$2:$E$4000=$AB154)*('2016 E Maize Soil VWC'!$F$2:$F$4000=AP$5),'2016 E Maize Soil VWC'!$G$2:$G$4000)</f>
        <v>0.30899820735200689</v>
      </c>
      <c r="AQ154" s="1" cm="1">
        <f t="array" ref="AQ154">_xlfn.XLOOKUP(1,('2016 E Maize Soil VWC'!$C$2:$C$4000=$AA154)*('2016 E Maize Soil VWC'!$E$2:$E$4000=$AB154)*('2016 E Maize Soil VWC'!$F$2:$F$4000=AQ$5),'2016 E Maize Soil VWC'!$G$2:$G$4000)</f>
        <v>0.3068686652250967</v>
      </c>
      <c r="AR154" s="1" cm="1">
        <f t="array" ref="AR154">_xlfn.XLOOKUP(1,('2016 E Maize Soil VWC'!$C$2:$C$4000=$AA154)*('2016 E Maize Soil VWC'!$E$2:$E$4000=$AB154)*('2016 E Maize Soil VWC'!$F$2:$F$4000=AR$5),'2016 E Maize Soil VWC'!$G$2:$G$4000)</f>
        <v>0.31014312247400161</v>
      </c>
      <c r="AS154" s="1" cm="1">
        <f t="array" ref="AS154">_xlfn.XLOOKUP(1,('2016 E Maize Soil VWC'!$C$2:$C$4000=$AA154)*('2016 E Maize Soil VWC'!$E$2:$E$4000=$AB154)*('2016 E Maize Soil VWC'!$F$2:$F$4000=AS$5),'2016 E Maize Soil VWC'!$G$2:$G$4000)</f>
        <v>0.32500412075749302</v>
      </c>
      <c r="AT154" s="1" cm="1">
        <f t="array" ref="AT154">_xlfn.XLOOKUP(1,('2016 E Maize Soil VWC'!$C$2:$C$4000=$AA154)*('2016 E Maize Soil VWC'!$E$2:$E$4000=$AB154)*('2016 E Maize Soil VWC'!$F$2:$F$4000=AT$5),'2016 E Maize Soil VWC'!$G$2:$G$4000)</f>
        <v>0.31790564700112578</v>
      </c>
      <c r="AU154" s="1" cm="1">
        <f t="array" ref="AU154">_xlfn.XLOOKUP(1,('2016 E Maize Soil VWC'!$C$2:$C$4000=$AA154)*('2016 E Maize Soil VWC'!$E$2:$E$4000=$AB154)*('2016 E Maize Soil VWC'!$F$2:$F$4000=AU$5),'2016 E Maize Soil VWC'!$G$2:$G$4000)</f>
        <v>0.31605088450349433</v>
      </c>
      <c r="AV154" s="1" cm="1">
        <f t="array" ref="AV154">_xlfn.XLOOKUP(1,('2016 E Maize Soil VWC'!$C$2:$C$4000=$AA154)*('2016 E Maize Soil VWC'!$E$2:$E$4000=$AB154)*('2016 E Maize Soil VWC'!$F$2:$F$4000=AV$5),'2016 E Maize Soil VWC'!$G$2:$G$4000)</f>
        <v>0.29979308977116936</v>
      </c>
    </row>
    <row r="155" spans="25:64" x14ac:dyDescent="0.25">
      <c r="AA155" s="18">
        <f t="shared" si="25"/>
        <v>42605</v>
      </c>
      <c r="AB155" s="1">
        <f t="shared" si="26"/>
        <v>130</v>
      </c>
      <c r="AC155" s="1" cm="1">
        <f t="array" ref="AC155">_xlfn.XLOOKUP(1,('2016 E Maize Soil VWC'!$C$2:$C$4000=$AA155)*('2016 E Maize Soil VWC'!$E$2:$E$4000=$AB155)*('2016 E Maize Soil VWC'!$F$2:$F$4000=AC$5),'2016 E Maize Soil VWC'!$G$2:$G$4000)</f>
        <v>0.30858170017945319</v>
      </c>
      <c r="AD155" s="1" cm="1">
        <f t="array" ref="AD155">_xlfn.XLOOKUP(1,('2016 E Maize Soil VWC'!$C$2:$C$4000=$AA155)*('2016 E Maize Soil VWC'!$E$2:$E$4000=$AB155)*('2016 E Maize Soil VWC'!$F$2:$F$4000=AD$5),'2016 E Maize Soil VWC'!$G$2:$G$4000)</f>
        <v>0.30389075446125041</v>
      </c>
      <c r="AE155" s="1" cm="1">
        <f t="array" ref="AE155">_xlfn.XLOOKUP(1,('2016 E Maize Soil VWC'!$C$2:$C$4000=$AA155)*('2016 E Maize Soil VWC'!$E$2:$E$4000=$AB155)*('2016 E Maize Soil VWC'!$F$2:$F$4000=AE$5),'2016 E Maize Soil VWC'!$G$2:$G$4000)</f>
        <v>0.29727282274262407</v>
      </c>
      <c r="AF155" s="1" cm="1">
        <f t="array" ref="AF155">_xlfn.XLOOKUP(1,('2016 E Maize Soil VWC'!$C$2:$C$4000=$AA155)*('2016 E Maize Soil VWC'!$E$2:$E$4000=$AB155)*('2016 E Maize Soil VWC'!$F$2:$F$4000=AF$5),'2016 E Maize Soil VWC'!$G$2:$G$4000)</f>
        <v>0.30542845036057831</v>
      </c>
      <c r="AG155" s="1" cm="1">
        <f t="array" ref="AG155">_xlfn.XLOOKUP(1,('2016 E Maize Soil VWC'!$C$2:$C$4000=$AA155)*('2016 E Maize Soil VWC'!$E$2:$E$4000=$AB155)*('2016 E Maize Soil VWC'!$F$2:$F$4000=AG$5),'2016 E Maize Soil VWC'!$G$2:$G$4000)</f>
        <v>0.30797830052275493</v>
      </c>
      <c r="AH155" s="1" cm="1">
        <f t="array" ref="AH155">_xlfn.XLOOKUP(1,('2016 E Maize Soil VWC'!$C$2:$C$4000=$AA155)*('2016 E Maize Soil VWC'!$E$2:$E$4000=$AB155)*('2016 E Maize Soil VWC'!$F$2:$F$4000=AH$5),'2016 E Maize Soil VWC'!$G$2:$G$4000)</f>
        <v>0.30266449064279904</v>
      </c>
      <c r="AI155" s="1" cm="1">
        <f t="array" ref="AI155">_xlfn.XLOOKUP(1,('2016 E Maize Soil VWC'!$C$2:$C$4000=$AA155)*('2016 E Maize Soil VWC'!$E$2:$E$4000=$AB155)*('2016 E Maize Soil VWC'!$F$2:$F$4000=AI$5),'2016 E Maize Soil VWC'!$G$2:$G$4000)</f>
        <v>0.306985610764961</v>
      </c>
      <c r="AJ155" s="1" cm="1">
        <f t="array" ref="AJ155">_xlfn.XLOOKUP(1,('2016 E Maize Soil VWC'!$C$2:$C$4000=$AA155)*('2016 E Maize Soil VWC'!$E$2:$E$4000=$AB155)*('2016 E Maize Soil VWC'!$F$2:$F$4000=AJ$5),'2016 E Maize Soil VWC'!$G$2:$G$4000)</f>
        <v>0.33643540691284823</v>
      </c>
      <c r="AK155" s="1" cm="1">
        <f t="array" ref="AK155">_xlfn.XLOOKUP(1,('2016 E Maize Soil VWC'!$C$2:$C$4000=$AA155)*('2016 E Maize Soil VWC'!$E$2:$E$4000=$AB155)*('2016 E Maize Soil VWC'!$F$2:$F$4000=AK$5),'2016 E Maize Soil VWC'!$G$2:$G$4000)</f>
        <v>0.29824604799536319</v>
      </c>
      <c r="AL155" s="1" cm="1">
        <f t="array" ref="AL155">_xlfn.XLOOKUP(1,('2016 E Maize Soil VWC'!$C$2:$C$4000=$AA155)*('2016 E Maize Soil VWC'!$E$2:$E$4000=$AB155)*('2016 E Maize Soil VWC'!$F$2:$F$4000=AL$5),'2016 E Maize Soil VWC'!$G$2:$G$4000)</f>
        <v>0.31171548549327333</v>
      </c>
      <c r="AM155" s="1" cm="1">
        <f t="array" ref="AM155">_xlfn.XLOOKUP(1,('2016 E Maize Soil VWC'!$C$2:$C$4000=$AA155)*('2016 E Maize Soil VWC'!$E$2:$E$4000=$AB155)*('2016 E Maize Soil VWC'!$F$2:$F$4000=AM$5),'2016 E Maize Soil VWC'!$G$2:$G$4000)</f>
        <v>0.2983239060155824</v>
      </c>
      <c r="AN155" s="1" cm="1">
        <f t="array" ref="AN155">_xlfn.XLOOKUP(1,('2016 E Maize Soil VWC'!$C$2:$C$4000=$AA155)*('2016 E Maize Soil VWC'!$E$2:$E$4000=$AB155)*('2016 E Maize Soil VWC'!$F$2:$F$4000=AN$5),'2016 E Maize Soil VWC'!$G$2:$G$4000)</f>
        <v>0.28604180332601409</v>
      </c>
      <c r="AO155" s="1" cm="1">
        <f t="array" ref="AO155">_xlfn.XLOOKUP(1,('2016 E Maize Soil VWC'!$C$2:$C$4000=$AA155)*('2016 E Maize Soil VWC'!$E$2:$E$4000=$AB155)*('2016 E Maize Soil VWC'!$F$2:$F$4000=AO$5),'2016 E Maize Soil VWC'!$G$2:$G$4000)</f>
        <v>0.31245513668535513</v>
      </c>
      <c r="AP155" s="1" cm="1">
        <f t="array" ref="AP155">_xlfn.XLOOKUP(1,('2016 E Maize Soil VWC'!$C$2:$C$4000=$AA155)*('2016 E Maize Soil VWC'!$E$2:$E$4000=$AB155)*('2016 E Maize Soil VWC'!$F$2:$F$4000=AP$5),'2016 E Maize Soil VWC'!$G$2:$G$4000)</f>
        <v>0.30867902270472708</v>
      </c>
      <c r="AQ155" s="1" cm="1">
        <f t="array" ref="AQ155">_xlfn.XLOOKUP(1,('2016 E Maize Soil VWC'!$C$2:$C$4000=$AA155)*('2016 E Maize Soil VWC'!$E$2:$E$4000=$AB155)*('2016 E Maize Soil VWC'!$F$2:$F$4000=AQ$5),'2016 E Maize Soil VWC'!$G$2:$G$4000)</f>
        <v>0.30500023124937309</v>
      </c>
      <c r="AR155" s="1" cm="1">
        <f t="array" ref="AR155">_xlfn.XLOOKUP(1,('2016 E Maize Soil VWC'!$C$2:$C$4000=$AA155)*('2016 E Maize Soil VWC'!$E$2:$E$4000=$AB155)*('2016 E Maize Soil VWC'!$F$2:$F$4000=AR$5),'2016 E Maize Soil VWC'!$G$2:$G$4000)</f>
        <v>0.29519012070176226</v>
      </c>
      <c r="AS155" s="1" cm="1">
        <f t="array" ref="AS155">_xlfn.XLOOKUP(1,('2016 E Maize Soil VWC'!$C$2:$C$4000=$AA155)*('2016 E Maize Soil VWC'!$E$2:$E$4000=$AB155)*('2016 E Maize Soil VWC'!$F$2:$F$4000=AS$5),'2016 E Maize Soil VWC'!$G$2:$G$4000)</f>
        <v>0.30239198757203212</v>
      </c>
      <c r="AT155" s="1" cm="1">
        <f t="array" ref="AT155">_xlfn.XLOOKUP(1,('2016 E Maize Soil VWC'!$C$2:$C$4000=$AA155)*('2016 E Maize Soil VWC'!$E$2:$E$4000=$AB155)*('2016 E Maize Soil VWC'!$F$2:$F$4000=AT$5),'2016 E Maize Soil VWC'!$G$2:$G$4000)</f>
        <v>0.29799300942965107</v>
      </c>
      <c r="AU155" s="1" cm="1">
        <f t="array" ref="AU155">_xlfn.XLOOKUP(1,('2016 E Maize Soil VWC'!$C$2:$C$4000=$AA155)*('2016 E Maize Soil VWC'!$E$2:$E$4000=$AB155)*('2016 E Maize Soil VWC'!$F$2:$F$4000=AU$5),'2016 E Maize Soil VWC'!$G$2:$G$4000)</f>
        <v>0.30153554934962162</v>
      </c>
      <c r="AV155" s="1" cm="1">
        <f t="array" ref="AV155">_xlfn.XLOOKUP(1,('2016 E Maize Soil VWC'!$C$2:$C$4000=$AA155)*('2016 E Maize Soil VWC'!$E$2:$E$4000=$AB155)*('2016 E Maize Soil VWC'!$F$2:$F$4000=AV$5),'2016 E Maize Soil VWC'!$G$2:$G$4000)</f>
        <v>0.27897618799112767</v>
      </c>
    </row>
    <row r="156" spans="25:64" x14ac:dyDescent="0.25">
      <c r="AA156" s="18">
        <f t="shared" si="25"/>
        <v>42605</v>
      </c>
      <c r="AB156" s="1">
        <f t="shared" si="26"/>
        <v>150</v>
      </c>
      <c r="AC156" s="1" cm="1">
        <f t="array" ref="AC156">_xlfn.XLOOKUP(1,('2016 E Maize Soil VWC'!$C$2:$C$4000=$AA156)*('2016 E Maize Soil VWC'!$E$2:$E$4000=$AB156)*('2016 E Maize Soil VWC'!$F$2:$F$4000=AC$5),'2016 E Maize Soil VWC'!$G$2:$G$4000)</f>
        <v>0.33419698883154814</v>
      </c>
      <c r="AD156" s="1" cm="1">
        <f t="array" ref="AD156">_xlfn.XLOOKUP(1,('2016 E Maize Soil VWC'!$C$2:$C$4000=$AA156)*('2016 E Maize Soil VWC'!$E$2:$E$4000=$AB156)*('2016 E Maize Soil VWC'!$F$2:$F$4000=AD$5),'2016 E Maize Soil VWC'!$G$2:$G$4000)</f>
        <v>0.32096112539429544</v>
      </c>
      <c r="AE156" s="1" cm="1">
        <f t="array" ref="AE156">_xlfn.XLOOKUP(1,('2016 E Maize Soil VWC'!$C$2:$C$4000=$AA156)*('2016 E Maize Soil VWC'!$E$2:$E$4000=$AB156)*('2016 E Maize Soil VWC'!$F$2:$F$4000=AE$5),'2016 E Maize Soil VWC'!$G$2:$G$4000)</f>
        <v>0.30634328209815309</v>
      </c>
      <c r="AF156" s="1" cm="1">
        <f t="array" ref="AF156">_xlfn.XLOOKUP(1,('2016 E Maize Soil VWC'!$C$2:$C$4000=$AA156)*('2016 E Maize Soil VWC'!$E$2:$E$4000=$AB156)*('2016 E Maize Soil VWC'!$F$2:$F$4000=AF$5),'2016 E Maize Soil VWC'!$G$2:$G$4000)</f>
        <v>0.28997363334708032</v>
      </c>
      <c r="AG156" s="1" cm="1">
        <f t="array" ref="AG156">_xlfn.XLOOKUP(1,('2016 E Maize Soil VWC'!$C$2:$C$4000=$AA156)*('2016 E Maize Soil VWC'!$E$2:$E$4000=$AB156)*('2016 E Maize Soil VWC'!$F$2:$F$4000=AG$5),'2016 E Maize Soil VWC'!$G$2:$G$4000)</f>
        <v>0.3624594501710936</v>
      </c>
      <c r="AH156" s="1" cm="1">
        <f t="array" ref="AH156">_xlfn.XLOOKUP(1,('2016 E Maize Soil VWC'!$C$2:$C$4000=$AA156)*('2016 E Maize Soil VWC'!$E$2:$E$4000=$AB156)*('2016 E Maize Soil VWC'!$F$2:$F$4000=AH$5),'2016 E Maize Soil VWC'!$G$2:$G$4000)</f>
        <v>0.34262511952026936</v>
      </c>
      <c r="AI156" s="1" cm="1">
        <f t="array" ref="AI156">_xlfn.XLOOKUP(1,('2016 E Maize Soil VWC'!$C$2:$C$4000=$AA156)*('2016 E Maize Soil VWC'!$E$2:$E$4000=$AB156)*('2016 E Maize Soil VWC'!$F$2:$F$4000=AI$5),'2016 E Maize Soil VWC'!$G$2:$G$4000)</f>
        <v>0.32218738921274676</v>
      </c>
      <c r="AJ156" s="1" cm="1">
        <f t="array" ref="AJ156">_xlfn.XLOOKUP(1,('2016 E Maize Soil VWC'!$C$2:$C$4000=$AA156)*('2016 E Maize Soil VWC'!$E$2:$E$4000=$AB156)*('2016 E Maize Soil VWC'!$F$2:$F$4000=AJ$5),'2016 E Maize Soil VWC'!$G$2:$G$4000)</f>
        <v>0.32870799840609921</v>
      </c>
      <c r="AK156" s="1" cm="1">
        <f t="array" ref="AK156">_xlfn.XLOOKUP(1,('2016 E Maize Soil VWC'!$C$2:$C$4000=$AA156)*('2016 E Maize Soil VWC'!$E$2:$E$4000=$AB156)*('2016 E Maize Soil VWC'!$F$2:$F$4000=AK$5),'2016 E Maize Soil VWC'!$G$2:$G$4000)</f>
        <v>0.32952550761840016</v>
      </c>
      <c r="AL156" s="1" cm="1">
        <f t="array" ref="AL156">_xlfn.XLOOKUP(1,('2016 E Maize Soil VWC'!$C$2:$C$4000=$AA156)*('2016 E Maize Soil VWC'!$E$2:$E$4000=$AB156)*('2016 E Maize Soil VWC'!$F$2:$F$4000=AL$5),'2016 E Maize Soil VWC'!$G$2:$G$4000)</f>
        <v>0.33143302911376893</v>
      </c>
      <c r="AM156" s="1" cm="1">
        <f t="array" ref="AM156">_xlfn.XLOOKUP(1,('2016 E Maize Soil VWC'!$C$2:$C$4000=$AA156)*('2016 E Maize Soil VWC'!$E$2:$E$4000=$AB156)*('2016 E Maize Soil VWC'!$F$2:$F$4000=AM$5),'2016 E Maize Soil VWC'!$G$2:$G$4000)</f>
        <v>0.32775423765841483</v>
      </c>
      <c r="AN156" s="1" cm="1">
        <f t="array" ref="AN156">_xlfn.XLOOKUP(1,('2016 E Maize Soil VWC'!$C$2:$C$4000=$AA156)*('2016 E Maize Soil VWC'!$E$2:$E$4000=$AB156)*('2016 E Maize Soil VWC'!$F$2:$F$4000=AN$5),'2016 E Maize Soil VWC'!$G$2:$G$4000)</f>
        <v>0.32181756361670588</v>
      </c>
      <c r="AO156" s="1" cm="1">
        <f t="array" ref="AO156">_xlfn.XLOOKUP(1,('2016 E Maize Soil VWC'!$C$2:$C$4000=$AA156)*('2016 E Maize Soil VWC'!$E$2:$E$4000=$AB156)*('2016 E Maize Soil VWC'!$F$2:$F$4000=AO$5),'2016 E Maize Soil VWC'!$G$2:$G$4000)</f>
        <v>0.30015356949073202</v>
      </c>
      <c r="AP156" s="1" cm="1">
        <f t="array" ref="AP156">_xlfn.XLOOKUP(1,('2016 E Maize Soil VWC'!$C$2:$C$4000=$AA156)*('2016 E Maize Soil VWC'!$E$2:$E$4000=$AB156)*('2016 E Maize Soil VWC'!$F$2:$F$4000=AP$5),'2016 E Maize Soil VWC'!$G$2:$G$4000)</f>
        <v>0.29668888759098055</v>
      </c>
      <c r="AQ156" s="1" cm="1">
        <f t="array" ref="AQ156">_xlfn.XLOOKUP(1,('2016 E Maize Soil VWC'!$C$2:$C$4000=$AA156)*('2016 E Maize Soil VWC'!$E$2:$E$4000=$AB156)*('2016 E Maize Soil VWC'!$F$2:$F$4000=AQ$5),'2016 E Maize Soil VWC'!$G$2:$G$4000)</f>
        <v>0.3419633263484067</v>
      </c>
      <c r="AR156" s="1" cm="1">
        <f t="array" ref="AR156">_xlfn.XLOOKUP(1,('2016 E Maize Soil VWC'!$C$2:$C$4000=$AA156)*('2016 E Maize Soil VWC'!$E$2:$E$4000=$AB156)*('2016 E Maize Soil VWC'!$F$2:$F$4000=AR$5),'2016 E Maize Soil VWC'!$G$2:$G$4000)</f>
        <v>0.32600243220348435</v>
      </c>
      <c r="AS156" s="1" cm="1">
        <f t="array" ref="AS156">_xlfn.XLOOKUP(1,('2016 E Maize Soil VWC'!$C$2:$C$4000=$AA156)*('2016 E Maize Soil VWC'!$E$2:$E$4000=$AB156)*('2016 E Maize Soil VWC'!$F$2:$F$4000=AS$5),'2016 E Maize Soil VWC'!$G$2:$G$4000)</f>
        <v>0.31428480016050475</v>
      </c>
      <c r="AT156" s="1" cm="1">
        <f t="array" ref="AT156">_xlfn.XLOOKUP(1,('2016 E Maize Soil VWC'!$C$2:$C$4000=$AA156)*('2016 E Maize Soil VWC'!$E$2:$E$4000=$AB156)*('2016 E Maize Soil VWC'!$F$2:$F$4000=AT$5),'2016 E Maize Soil VWC'!$G$2:$G$4000)</f>
        <v>0.32037719024265193</v>
      </c>
      <c r="AU156" s="1" cm="1">
        <f t="array" ref="AU156">_xlfn.XLOOKUP(1,('2016 E Maize Soil VWC'!$C$2:$C$4000=$AA156)*('2016 E Maize Soil VWC'!$E$2:$E$4000=$AB156)*('2016 E Maize Soil VWC'!$F$2:$F$4000=AU$5),'2016 E Maize Soil VWC'!$G$2:$G$4000)</f>
        <v>0.32072755133363806</v>
      </c>
      <c r="AV156" s="1" cm="1">
        <f t="array" ref="AV156">_xlfn.XLOOKUP(1,('2016 E Maize Soil VWC'!$C$2:$C$4000=$AA156)*('2016 E Maize Soil VWC'!$E$2:$E$4000=$AB156)*('2016 E Maize Soil VWC'!$F$2:$F$4000=AV$5),'2016 E Maize Soil VWC'!$G$2:$G$4000)</f>
        <v>0.3310437390126732</v>
      </c>
    </row>
    <row r="157" spans="25:64" x14ac:dyDescent="0.25">
      <c r="AA157" s="18">
        <f t="shared" si="25"/>
        <v>42605</v>
      </c>
      <c r="AB157" s="1">
        <f t="shared" si="26"/>
        <v>170</v>
      </c>
      <c r="AC157" s="1" cm="1">
        <f t="array" ref="AC157">_xlfn.XLOOKUP(1,('2016 E Maize Soil VWC'!$C$2:$C$4000=$AA157)*('2016 E Maize Soil VWC'!$E$2:$E$4000=$AB157)*('2016 E Maize Soil VWC'!$F$2:$F$4000=AC$5),'2016 E Maize Soil VWC'!$G$2:$G$4000)</f>
        <v>0.27389595217182922</v>
      </c>
      <c r="AD157" s="1" cm="1">
        <f t="array" ref="AD157">_xlfn.XLOOKUP(1,('2016 E Maize Soil VWC'!$C$2:$C$4000=$AA157)*('2016 E Maize Soil VWC'!$E$2:$E$4000=$AB157)*('2016 E Maize Soil VWC'!$F$2:$F$4000=AD$5),'2016 E Maize Soil VWC'!$G$2:$G$4000)</f>
        <v>0.26500067336179323</v>
      </c>
      <c r="AE157" s="1" cm="1">
        <f t="array" ref="AE157">_xlfn.XLOOKUP(1,('2016 E Maize Soil VWC'!$C$2:$C$4000=$AA157)*('2016 E Maize Soil VWC'!$E$2:$E$4000=$AB157)*('2016 E Maize Soil VWC'!$F$2:$F$4000=AE$5),'2016 E Maize Soil VWC'!$G$2:$G$4000)</f>
        <v>0.27763313714234766</v>
      </c>
      <c r="AF157" s="1" cm="1">
        <f t="array" ref="AF157">_xlfn.XLOOKUP(1,('2016 E Maize Soil VWC'!$C$2:$C$4000=$AA157)*('2016 E Maize Soil VWC'!$E$2:$E$4000=$AB157)*('2016 E Maize Soil VWC'!$F$2:$F$4000=AF$5),'2016 E Maize Soil VWC'!$G$2:$G$4000)</f>
        <v>0.28355034667900181</v>
      </c>
      <c r="AG157" s="1" cm="1">
        <f t="array" ref="AG157">_xlfn.XLOOKUP(1,('2016 E Maize Soil VWC'!$C$2:$C$4000=$AA157)*('2016 E Maize Soil VWC'!$E$2:$E$4000=$AB157)*('2016 E Maize Soil VWC'!$F$2:$F$4000=AG$5),'2016 E Maize Soil VWC'!$G$2:$G$4000)</f>
        <v>0.3244842008092112</v>
      </c>
      <c r="AH157" s="1" cm="1">
        <f t="array" ref="AH157">_xlfn.XLOOKUP(1,('2016 E Maize Soil VWC'!$C$2:$C$4000=$AA157)*('2016 E Maize Soil VWC'!$E$2:$E$4000=$AB157)*('2016 E Maize Soil VWC'!$F$2:$F$4000=AH$5),'2016 E Maize Soil VWC'!$G$2:$G$4000)</f>
        <v>0.33396341477089075</v>
      </c>
      <c r="AI157" s="1" cm="1">
        <f t="array" ref="AI157">_xlfn.XLOOKUP(1,('2016 E Maize Soil VWC'!$C$2:$C$4000=$AA157)*('2016 E Maize Soil VWC'!$E$2:$E$4000=$AB157)*('2016 E Maize Soil VWC'!$F$2:$F$4000=AI$5),'2016 E Maize Soil VWC'!$G$2:$G$4000)</f>
        <v>0.29583244936857012</v>
      </c>
      <c r="AJ157" s="1" cm="1">
        <f t="array" ref="AJ157">_xlfn.XLOOKUP(1,('2016 E Maize Soil VWC'!$C$2:$C$4000=$AA157)*('2016 E Maize Soil VWC'!$E$2:$E$4000=$AB157)*('2016 E Maize Soil VWC'!$F$2:$F$4000=AJ$5),'2016 E Maize Soil VWC'!$G$2:$G$4000)</f>
        <v>0.28853325997302631</v>
      </c>
      <c r="AK157" s="1" cm="1">
        <f t="array" ref="AK157">_xlfn.XLOOKUP(1,('2016 E Maize Soil VWC'!$C$2:$C$4000=$AA157)*('2016 E Maize Soil VWC'!$E$2:$E$4000=$AB157)*('2016 E Maize Soil VWC'!$F$2:$F$4000=AK$5),'2016 E Maize Soil VWC'!$G$2:$G$4000)</f>
        <v>0.29118043266047688</v>
      </c>
      <c r="AL157" s="1" cm="1">
        <f t="array" ref="AL157">_xlfn.XLOOKUP(1,('2016 E Maize Soil VWC'!$C$2:$C$4000=$AA157)*('2016 E Maize Soil VWC'!$E$2:$E$4000=$AB157)*('2016 E Maize Soil VWC'!$F$2:$F$4000=AL$5),'2016 E Maize Soil VWC'!$G$2:$G$4000)</f>
        <v>0.29694192615669274</v>
      </c>
      <c r="AM157" s="1" cm="1">
        <f t="array" ref="AM157">_xlfn.XLOOKUP(1,('2016 E Maize Soil VWC'!$C$2:$C$4000=$AA157)*('2016 E Maize Soil VWC'!$E$2:$E$4000=$AB157)*('2016 E Maize Soil VWC'!$F$2:$F$4000=AM$5),'2016 E Maize Soil VWC'!$G$2:$G$4000)</f>
        <v>0.31891735236354318</v>
      </c>
      <c r="AN157" s="1" cm="1">
        <f t="array" ref="AN157">_xlfn.XLOOKUP(1,('2016 E Maize Soil VWC'!$C$2:$C$4000=$AA157)*('2016 E Maize Soil VWC'!$E$2:$E$4000=$AB157)*('2016 E Maize Soil VWC'!$F$2:$F$4000=AN$5),'2016 E Maize Soil VWC'!$G$2:$G$4000)</f>
        <v>0.33090748747728971</v>
      </c>
      <c r="AO157" s="1" cm="1">
        <f t="array" ref="AO157">_xlfn.XLOOKUP(1,('2016 E Maize Soil VWC'!$C$2:$C$4000=$AA157)*('2016 E Maize Soil VWC'!$E$2:$E$4000=$AB157)*('2016 E Maize Soil VWC'!$F$2:$F$4000=AO$5),'2016 E Maize Soil VWC'!$G$2:$G$4000)</f>
        <v>0.29575459134835097</v>
      </c>
      <c r="AP157" s="1" cm="1">
        <f t="array" ref="AP157">_xlfn.XLOOKUP(1,('2016 E Maize Soil VWC'!$C$2:$C$4000=$AA157)*('2016 E Maize Soil VWC'!$E$2:$E$4000=$AB157)*('2016 E Maize Soil VWC'!$F$2:$F$4000=AP$5),'2016 E Maize Soil VWC'!$G$2:$G$4000)</f>
        <v>0.31716554690861265</v>
      </c>
      <c r="AQ157" s="1" cm="1">
        <f t="array" ref="AQ157">_xlfn.XLOOKUP(1,('2016 E Maize Soil VWC'!$C$2:$C$4000=$AA157)*('2016 E Maize Soil VWC'!$E$2:$E$4000=$AB157)*('2016 E Maize Soil VWC'!$F$2:$F$4000=AQ$5),'2016 E Maize Soil VWC'!$G$2:$G$4000)</f>
        <v>0.33408020180121945</v>
      </c>
      <c r="AR157" s="1" cm="1">
        <f t="array" ref="AR157">_xlfn.XLOOKUP(1,('2016 E Maize Soil VWC'!$C$2:$C$4000=$AA157)*('2016 E Maize Soil VWC'!$E$2:$E$4000=$AB157)*('2016 E Maize Soil VWC'!$F$2:$F$4000=AR$5),'2016 E Maize Soil VWC'!$G$2:$G$4000)</f>
        <v>0.32796834721401746</v>
      </c>
      <c r="AS157" s="1" cm="1">
        <f t="array" ref="AS157">_xlfn.XLOOKUP(1,('2016 E Maize Soil VWC'!$C$2:$C$4000=$AA157)*('2016 E Maize Soil VWC'!$E$2:$E$4000=$AB157)*('2016 E Maize Soil VWC'!$F$2:$F$4000=AS$5),'2016 E Maize Soil VWC'!$G$2:$G$4000)</f>
        <v>0.31455730323127168</v>
      </c>
      <c r="AT157" s="1" cm="1">
        <f t="array" ref="AT157">_xlfn.XLOOKUP(1,('2016 E Maize Soil VWC'!$C$2:$C$4000=$AA157)*('2016 E Maize Soil VWC'!$E$2:$E$4000=$AB157)*('2016 E Maize Soil VWC'!$F$2:$F$4000=AT$5),'2016 E Maize Soil VWC'!$G$2:$G$4000)</f>
        <v>0.32074701583869281</v>
      </c>
      <c r="AU157" s="1" cm="1">
        <f t="array" ref="AU157">_xlfn.XLOOKUP(1,('2016 E Maize Soil VWC'!$C$2:$C$4000=$AA157)*('2016 E Maize Soil VWC'!$E$2:$E$4000=$AB157)*('2016 E Maize Soil VWC'!$F$2:$F$4000=AU$5),'2016 E Maize Soil VWC'!$G$2:$G$4000)</f>
        <v>0.30974957048274021</v>
      </c>
      <c r="AV157" s="1" cm="1">
        <f t="array" ref="AV157">_xlfn.XLOOKUP(1,('2016 E Maize Soil VWC'!$C$2:$C$4000=$AA157)*('2016 E Maize Soil VWC'!$E$2:$E$4000=$AB157)*('2016 E Maize Soil VWC'!$F$2:$F$4000=AV$5),'2016 E Maize Soil VWC'!$G$2:$G$4000)</f>
        <v>0.3143431936756691</v>
      </c>
    </row>
    <row r="158" spans="25:64" x14ac:dyDescent="0.25">
      <c r="AA158" s="18">
        <f t="shared" si="25"/>
        <v>42605</v>
      </c>
      <c r="AB158" s="1">
        <f t="shared" si="26"/>
        <v>190</v>
      </c>
      <c r="AC158" s="1" cm="1">
        <f t="array" ref="AC158">_xlfn.XLOOKUP(1,('2016 E Maize Soil VWC'!$C$2:$C$4000=$AA158)*('2016 E Maize Soil VWC'!$E$2:$E$4000=$AB158)*('2016 E Maize Soil VWC'!$F$2:$F$4000=AC$5),'2016 E Maize Soil VWC'!$G$2:$G$4000)</f>
        <v>0.27619276376829371</v>
      </c>
      <c r="AD158" s="1" cm="1">
        <f t="array" ref="AD158">_xlfn.XLOOKUP(1,('2016 E Maize Soil VWC'!$C$2:$C$4000=$AA158)*('2016 E Maize Soil VWC'!$E$2:$E$4000=$AB158)*('2016 E Maize Soil VWC'!$F$2:$F$4000=AD$5),'2016 E Maize Soil VWC'!$G$2:$G$4000)</f>
        <v>0.29003202686224466</v>
      </c>
      <c r="AE158" s="1" cm="1">
        <f t="array" ref="AE158">_xlfn.XLOOKUP(1,('2016 E Maize Soil VWC'!$C$2:$C$4000=$AA158)*('2016 E Maize Soil VWC'!$E$2:$E$4000=$AB158)*('2016 E Maize Soil VWC'!$F$2:$F$4000=AE$5),'2016 E Maize Soil VWC'!$G$2:$G$4000)</f>
        <v>0.28925344666005331</v>
      </c>
      <c r="AF158" s="1" cm="1">
        <f t="array" ref="AF158">_xlfn.XLOOKUP(1,('2016 E Maize Soil VWC'!$C$2:$C$4000=$AA158)*('2016 E Maize Soil VWC'!$E$2:$E$4000=$AB158)*('2016 E Maize Soil VWC'!$F$2:$F$4000=AF$5),'2016 E Maize Soil VWC'!$G$2:$G$4000)</f>
        <v>0.29275705756991433</v>
      </c>
      <c r="AG158" s="1" cm="1">
        <f t="array" ref="AG158">_xlfn.XLOOKUP(1,('2016 E Maize Soil VWC'!$C$2:$C$4000=$AA158)*('2016 E Maize Soil VWC'!$E$2:$E$4000=$AB158)*('2016 E Maize Soil VWC'!$F$2:$F$4000=AG$5),'2016 E Maize Soil VWC'!$G$2:$G$4000)</f>
        <v>0.33252304139683675</v>
      </c>
      <c r="AH158" s="1" cm="1">
        <f t="array" ref="AH158">_xlfn.XLOOKUP(1,('2016 E Maize Soil VWC'!$C$2:$C$4000=$AA158)*('2016 E Maize Soil VWC'!$E$2:$E$4000=$AB158)*('2016 E Maize Soil VWC'!$F$2:$F$4000=AH$5),'2016 E Maize Soil VWC'!$G$2:$G$4000)</f>
        <v>0.34826982598615652</v>
      </c>
      <c r="AI158" s="1" cm="1">
        <f t="array" ref="AI158">_xlfn.XLOOKUP(1,('2016 E Maize Soil VWC'!$C$2:$C$4000=$AA158)*('2016 E Maize Soil VWC'!$E$2:$E$4000=$AB158)*('2016 E Maize Soil VWC'!$F$2:$F$4000=AI$5),'2016 E Maize Soil VWC'!$G$2:$G$4000)</f>
        <v>0.27872314942541554</v>
      </c>
      <c r="AJ158" s="1" cm="1">
        <f t="array" ref="AJ158">_xlfn.XLOOKUP(1,('2016 E Maize Soil VWC'!$C$2:$C$4000=$AA158)*('2016 E Maize Soil VWC'!$E$2:$E$4000=$AB158)*('2016 E Maize Soil VWC'!$F$2:$F$4000=AJ$5),'2016 E Maize Soil VWC'!$G$2:$G$4000)</f>
        <v>0.29592977189384401</v>
      </c>
      <c r="AK158" s="1" cm="1">
        <f t="array" ref="AK158">_xlfn.XLOOKUP(1,('2016 E Maize Soil VWC'!$C$2:$C$4000=$AA158)*('2016 E Maize Soil VWC'!$E$2:$E$4000=$AB158)*('2016 E Maize Soil VWC'!$F$2:$F$4000=AK$5),'2016 E Maize Soil VWC'!$G$2:$G$4000)</f>
        <v>0.28076692245616774</v>
      </c>
      <c r="AL158" s="1" cm="1">
        <f t="array" ref="AL158">_xlfn.XLOOKUP(1,('2016 E Maize Soil VWC'!$C$2:$C$4000=$AA158)*('2016 E Maize Soil VWC'!$E$2:$E$4000=$AB158)*('2016 E Maize Soil VWC'!$F$2:$F$4000=AL$5),'2016 E Maize Soil VWC'!$G$2:$G$4000)</f>
        <v>0.2850685780732749</v>
      </c>
      <c r="AM158" s="1" cm="1">
        <f t="array" ref="AM158">_xlfn.XLOOKUP(1,('2016 E Maize Soil VWC'!$C$2:$C$4000=$AA158)*('2016 E Maize Soil VWC'!$E$2:$E$4000=$AB158)*('2016 E Maize Soil VWC'!$F$2:$F$4000=AM$5),'2016 E Maize Soil VWC'!$G$2:$G$4000)</f>
        <v>0.30414379302696259</v>
      </c>
      <c r="AN158" s="1" cm="1">
        <f t="array" ref="AN158">_xlfn.XLOOKUP(1,('2016 E Maize Soil VWC'!$C$2:$C$4000=$AA158)*('2016 E Maize Soil VWC'!$E$2:$E$4000=$AB158)*('2016 E Maize Soil VWC'!$F$2:$F$4000=AN$5),'2016 E Maize Soil VWC'!$G$2:$G$4000)</f>
        <v>0.30862062918956279</v>
      </c>
      <c r="AO158" s="1" cm="1">
        <f t="array" ref="AO158">_xlfn.XLOOKUP(1,('2016 E Maize Soil VWC'!$C$2:$C$4000=$AA158)*('2016 E Maize Soil VWC'!$E$2:$E$4000=$AB158)*('2016 E Maize Soil VWC'!$F$2:$F$4000=AO$5),'2016 E Maize Soil VWC'!$G$2:$G$4000)</f>
        <v>0.28691770605347933</v>
      </c>
      <c r="AP158" s="1" cm="1">
        <f t="array" ref="AP158">_xlfn.XLOOKUP(1,('2016 E Maize Soil VWC'!$C$2:$C$4000=$AA158)*('2016 E Maize Soil VWC'!$E$2:$E$4000=$AB158)*('2016 E Maize Soil VWC'!$F$2:$F$4000=AP$5),'2016 E Maize Soil VWC'!$G$2:$G$4000)</f>
        <v>0.29565726882307708</v>
      </c>
      <c r="AQ158" s="1" cm="1">
        <f t="array" ref="AQ158">_xlfn.XLOOKUP(1,('2016 E Maize Soil VWC'!$C$2:$C$4000=$AA158)*('2016 E Maize Soil VWC'!$E$2:$E$4000=$AB158)*('2016 E Maize Soil VWC'!$F$2:$F$4000=AQ$5),'2016 E Maize Soil VWC'!$G$2:$G$4000)</f>
        <v>0.34941823178438874</v>
      </c>
      <c r="AR158" s="1" cm="1">
        <f t="array" ref="AR158">_xlfn.XLOOKUP(1,('2016 E Maize Soil VWC'!$C$2:$C$4000=$AA158)*('2016 E Maize Soil VWC'!$E$2:$E$4000=$AB158)*('2016 E Maize Soil VWC'!$F$2:$F$4000=AR$5),'2016 E Maize Soil VWC'!$G$2:$G$4000)</f>
        <v>0.34025044990358572</v>
      </c>
      <c r="AS158" s="1" cm="1">
        <f t="array" ref="AS158">_xlfn.XLOOKUP(1,('2016 E Maize Soil VWC'!$C$2:$C$4000=$AA158)*('2016 E Maize Soil VWC'!$E$2:$E$4000=$AB158)*('2016 E Maize Soil VWC'!$F$2:$F$4000=AS$5),'2016 E Maize Soil VWC'!$G$2:$G$4000)</f>
        <v>0.3164064312114761</v>
      </c>
      <c r="AT158" s="1" cm="1">
        <f t="array" ref="AT158">_xlfn.XLOOKUP(1,('2016 E Maize Soil VWC'!$C$2:$C$4000=$AA158)*('2016 E Maize Soil VWC'!$E$2:$E$4000=$AB158)*('2016 E Maize Soil VWC'!$F$2:$F$4000=AT$5),'2016 E Maize Soil VWC'!$G$2:$G$4000)</f>
        <v>0.30887366775527497</v>
      </c>
      <c r="AU158" s="1" cm="1">
        <f t="array" ref="AU158">_xlfn.XLOOKUP(1,('2016 E Maize Soil VWC'!$C$2:$C$4000=$AA158)*('2016 E Maize Soil VWC'!$E$2:$E$4000=$AB158)*('2016 E Maize Soil VWC'!$F$2:$F$4000=AU$5),'2016 E Maize Soil VWC'!$G$2:$G$4000)</f>
        <v>0.2990440927026094</v>
      </c>
      <c r="AV158" s="1" cm="1">
        <f t="array" ref="AV158">_xlfn.XLOOKUP(1,('2016 E Maize Soil VWC'!$C$2:$C$4000=$AA158)*('2016 E Maize Soil VWC'!$E$2:$E$4000=$AB158)*('2016 E Maize Soil VWC'!$F$2:$F$4000=AV$5),'2016 E Maize Soil VWC'!$G$2:$G$4000)</f>
        <v>0.29519012070176226</v>
      </c>
    </row>
    <row r="159" spans="25:64" x14ac:dyDescent="0.25">
      <c r="AA159" s="18">
        <f t="shared" si="25"/>
        <v>42605</v>
      </c>
      <c r="AB159" s="1">
        <f t="shared" si="26"/>
        <v>210</v>
      </c>
      <c r="AC159" s="1" cm="1">
        <f t="array" ref="AC159">_xlfn.XLOOKUP(1,('2016 E Maize Soil VWC'!$C$2:$C$4000=$AA159)*('2016 E Maize Soil VWC'!$E$2:$E$4000=$AB159)*('2016 E Maize Soil VWC'!$F$2:$F$4000=AC$5),'2016 E Maize Soil VWC'!$G$2:$G$4000)</f>
        <v>0.28641162892205496</v>
      </c>
      <c r="AD159" s="1" cm="1">
        <f t="array" ref="AD159">_xlfn.XLOOKUP(1,('2016 E Maize Soil VWC'!$C$2:$C$4000=$AA159)*('2016 E Maize Soil VWC'!$E$2:$E$4000=$AB159)*('2016 E Maize Soil VWC'!$F$2:$F$4000=AD$5),'2016 E Maize Soil VWC'!$G$2:$G$4000)</f>
        <v>0.29429475346924222</v>
      </c>
      <c r="AE159" s="1" cm="1">
        <f t="array" ref="AE159">_xlfn.XLOOKUP(1,('2016 E Maize Soil VWC'!$C$2:$C$4000=$AA159)*('2016 E Maize Soil VWC'!$E$2:$E$4000=$AB159)*('2016 E Maize Soil VWC'!$F$2:$F$4000=AE$5),'2016 E Maize Soil VWC'!$G$2:$G$4000)</f>
        <v>0.26815392318066816</v>
      </c>
      <c r="AF159" s="1" cm="1">
        <f t="array" ref="AF159">_xlfn.XLOOKUP(1,('2016 E Maize Soil VWC'!$C$2:$C$4000=$AA159)*('2016 E Maize Soil VWC'!$E$2:$E$4000=$AB159)*('2016 E Maize Soil VWC'!$F$2:$F$4000=AF$5),'2016 E Maize Soil VWC'!$G$2:$G$4000)</f>
        <v>0.28532161663898709</v>
      </c>
      <c r="AG159" s="1" t="e" cm="1">
        <f t="array" ref="AG159">_xlfn.XLOOKUP(1,('2016 E Maize Soil VWC'!$C$2:$C$4000=$AA159)*('2016 E Maize Soil VWC'!$E$2:$E$4000=$AB159)*('2016 E Maize Soil VWC'!$F$2:$F$4000=AG$5),'2016 E Maize Soil VWC'!$G$2:$G$4000)</f>
        <v>#N/A</v>
      </c>
      <c r="AH159" s="1" t="e" cm="1">
        <f t="array" ref="AH159">_xlfn.XLOOKUP(1,('2016 E Maize Soil VWC'!$C$2:$C$4000=$AA159)*('2016 E Maize Soil VWC'!$E$2:$E$4000=$AB159)*('2016 E Maize Soil VWC'!$F$2:$F$4000=AH$5),'2016 E Maize Soil VWC'!$G$2:$G$4000)</f>
        <v>#N/A</v>
      </c>
      <c r="AI159" s="1" cm="1">
        <f t="array" ref="AI159">_xlfn.XLOOKUP(1,('2016 E Maize Soil VWC'!$C$2:$C$4000=$AA159)*('2016 E Maize Soil VWC'!$E$2:$E$4000=$AB159)*('2016 E Maize Soil VWC'!$F$2:$F$4000=AI$5),'2016 E Maize Soil VWC'!$G$2:$G$4000)</f>
        <v>0.26955536754461257</v>
      </c>
      <c r="AJ159" s="1" cm="1">
        <f t="array" ref="AJ159">_xlfn.XLOOKUP(1,('2016 E Maize Soil VWC'!$C$2:$C$4000=$AA159)*('2016 E Maize Soil VWC'!$E$2:$E$4000=$AB159)*('2016 E Maize Soil VWC'!$F$2:$F$4000=AJ$5),'2016 E Maize Soil VWC'!$G$2:$G$4000)</f>
        <v>0.3033262838146617</v>
      </c>
      <c r="AK159" s="1" cm="1">
        <f t="array" ref="AK159">_xlfn.XLOOKUP(1,('2016 E Maize Soil VWC'!$C$2:$C$4000=$AA159)*('2016 E Maize Soil VWC'!$E$2:$E$4000=$AB159)*('2016 E Maize Soil VWC'!$F$2:$F$4000=AK$5),'2016 E Maize Soil VWC'!$G$2:$G$4000)</f>
        <v>0.2902072074077377</v>
      </c>
      <c r="AL159" s="1" cm="1">
        <f t="array" ref="AL159">_xlfn.XLOOKUP(1,('2016 E Maize Soil VWC'!$C$2:$C$4000=$AA159)*('2016 E Maize Soil VWC'!$E$2:$E$4000=$AB159)*('2016 E Maize Soil VWC'!$F$2:$F$4000=AL$5),'2016 E Maize Soil VWC'!$G$2:$G$4000)</f>
        <v>0.25694236826911293</v>
      </c>
      <c r="AM159" s="1" cm="1">
        <f t="array" ref="AM159">_xlfn.XLOOKUP(1,('2016 E Maize Soil VWC'!$C$2:$C$4000=$AA159)*('2016 E Maize Soil VWC'!$E$2:$E$4000=$AB159)*('2016 E Maize Soil VWC'!$F$2:$F$4000=AM$5),'2016 E Maize Soil VWC'!$G$2:$G$4000)</f>
        <v>0.29921927324810244</v>
      </c>
      <c r="AN159" s="1" cm="1">
        <f t="array" ref="AN159">_xlfn.XLOOKUP(1,('2016 E Maize Soil VWC'!$C$2:$C$4000=$AA159)*('2016 E Maize Soil VWC'!$E$2:$E$4000=$AB159)*('2016 E Maize Soil VWC'!$F$2:$F$4000=AN$5),'2016 E Maize Soil VWC'!$G$2:$G$4000)</f>
        <v>0.30464987015838696</v>
      </c>
      <c r="AO159" s="1" cm="1">
        <f t="array" ref="AO159">_xlfn.XLOOKUP(1,('2016 E Maize Soil VWC'!$C$2:$C$4000=$AA159)*('2016 E Maize Soil VWC'!$E$2:$E$4000=$AB159)*('2016 E Maize Soil VWC'!$F$2:$F$4000=AO$5),'2016 E Maize Soil VWC'!$G$2:$G$4000)</f>
        <v>0.28711235110402716</v>
      </c>
      <c r="AP159" s="1" cm="1">
        <f t="array" ref="AP159">_xlfn.XLOOKUP(1,('2016 E Maize Soil VWC'!$C$2:$C$4000=$AA159)*('2016 E Maize Soil VWC'!$E$2:$E$4000=$AB159)*('2016 E Maize Soil VWC'!$F$2:$F$4000=AP$5),'2016 E Maize Soil VWC'!$G$2:$G$4000)</f>
        <v>0.27066484433273519</v>
      </c>
      <c r="AQ159" s="1" t="e" cm="1">
        <f t="array" ref="AQ159">_xlfn.XLOOKUP(1,('2016 E Maize Soil VWC'!$C$2:$C$4000=$AA159)*('2016 E Maize Soil VWC'!$E$2:$E$4000=$AB159)*('2016 E Maize Soil VWC'!$F$2:$F$4000=AQ$5),'2016 E Maize Soil VWC'!$G$2:$G$4000)</f>
        <v>#N/A</v>
      </c>
      <c r="AR159" s="1" t="e" cm="1">
        <f t="array" ref="AR159">_xlfn.XLOOKUP(1,('2016 E Maize Soil VWC'!$C$2:$C$4000=$AA159)*('2016 E Maize Soil VWC'!$E$2:$E$4000=$AB159)*('2016 E Maize Soil VWC'!$F$2:$F$4000=AR$5),'2016 E Maize Soil VWC'!$G$2:$G$4000)</f>
        <v>#N/A</v>
      </c>
      <c r="AS159" s="1" cm="1">
        <f t="array" ref="AS159">_xlfn.XLOOKUP(1,('2016 E Maize Soil VWC'!$C$2:$C$4000=$AA159)*('2016 E Maize Soil VWC'!$E$2:$E$4000=$AB159)*('2016 E Maize Soil VWC'!$F$2:$F$4000=AS$5),'2016 E Maize Soil VWC'!$G$2:$G$4000)</f>
        <v>0.30091268518786857</v>
      </c>
      <c r="AT159" s="1" cm="1">
        <f t="array" ref="AT159">_xlfn.XLOOKUP(1,('2016 E Maize Soil VWC'!$C$2:$C$4000=$AA159)*('2016 E Maize Soil VWC'!$E$2:$E$4000=$AB159)*('2016 E Maize Soil VWC'!$F$2:$F$4000=AT$5),'2016 E Maize Soil VWC'!$G$2:$G$4000)</f>
        <v>0.29820711898525365</v>
      </c>
      <c r="AU159" s="1" cm="1">
        <f t="array" ref="AU159">_xlfn.XLOOKUP(1,('2016 E Maize Soil VWC'!$C$2:$C$4000=$AA159)*('2016 E Maize Soil VWC'!$E$2:$E$4000=$AB159)*('2016 E Maize Soil VWC'!$F$2:$F$4000=AU$5),'2016 E Maize Soil VWC'!$G$2:$G$4000)</f>
        <v>0.29265973504464038</v>
      </c>
      <c r="AV159" s="1" cm="1">
        <f t="array" ref="AV159">_xlfn.XLOOKUP(1,('2016 E Maize Soil VWC'!$C$2:$C$4000=$AA159)*('2016 E Maize Soil VWC'!$E$2:$E$4000=$AB159)*('2016 E Maize Soil VWC'!$F$2:$F$4000=AV$5),'2016 E Maize Soil VWC'!$G$2:$G$4000)</f>
        <v>0.29287384460024302</v>
      </c>
    </row>
    <row r="160" spans="25:64" x14ac:dyDescent="0.25">
      <c r="AA160" s="18">
        <f t="shared" si="25"/>
        <v>42605</v>
      </c>
      <c r="AB160" s="1">
        <f t="shared" si="26"/>
        <v>230</v>
      </c>
      <c r="AC160" s="1" cm="1">
        <f t="array" ref="AC160">_xlfn.XLOOKUP(1,('2016 E Maize Soil VWC'!$C$2:$C$4000=$AA160)*('2016 E Maize Soil VWC'!$E$2:$E$4000=$AB160)*('2016 E Maize Soil VWC'!$F$2:$F$4000=AC$5),'2016 E Maize Soil VWC'!$G$2:$G$4000)</f>
        <v>0.29663049407581621</v>
      </c>
      <c r="AD160" s="1" cm="1">
        <f t="array" ref="AD160">_xlfn.XLOOKUP(1,('2016 E Maize Soil VWC'!$C$2:$C$4000=$AA160)*('2016 E Maize Soil VWC'!$E$2:$E$4000=$AB160)*('2016 E Maize Soil VWC'!$F$2:$F$4000=AD$5),'2016 E Maize Soil VWC'!$G$2:$G$4000)</f>
        <v>0.29238723197387345</v>
      </c>
      <c r="AE160" s="1" cm="1">
        <f t="array" ref="AE160">_xlfn.XLOOKUP(1,('2016 E Maize Soil VWC'!$C$2:$C$4000=$AA160)*('2016 E Maize Soil VWC'!$E$2:$E$4000=$AB160)*('2016 E Maize Soil VWC'!$F$2:$F$4000=AE$5),'2016 E Maize Soil VWC'!$G$2:$G$4000)</f>
        <v>0.27459667435380142</v>
      </c>
      <c r="AF160" s="1" cm="1">
        <f t="array" ref="AF160">_xlfn.XLOOKUP(1,('2016 E Maize Soil VWC'!$C$2:$C$4000=$AA160)*('2016 E Maize Soil VWC'!$E$2:$E$4000=$AB160)*('2016 E Maize Soil VWC'!$F$2:$F$4000=AF$5),'2016 E Maize Soil VWC'!$G$2:$G$4000)</f>
        <v>0.27444095831336313</v>
      </c>
      <c r="AG160" s="1" t="e" cm="1">
        <f t="array" ref="AG160">_xlfn.XLOOKUP(1,('2016 E Maize Soil VWC'!$C$2:$C$4000=$AA160)*('2016 E Maize Soil VWC'!$E$2:$E$4000=$AB160)*('2016 E Maize Soil VWC'!$F$2:$F$4000=AG$5),'2016 E Maize Soil VWC'!$G$2:$G$4000)</f>
        <v>#N/A</v>
      </c>
      <c r="AH160" s="1" t="e" cm="1">
        <f t="array" ref="AH160">_xlfn.XLOOKUP(1,('2016 E Maize Soil VWC'!$C$2:$C$4000=$AA160)*('2016 E Maize Soil VWC'!$E$2:$E$4000=$AB160)*('2016 E Maize Soil VWC'!$F$2:$F$4000=AH$5),'2016 E Maize Soil VWC'!$G$2:$G$4000)</f>
        <v>#N/A</v>
      </c>
      <c r="AI160" s="1" cm="1">
        <f t="array" ref="AI160">_xlfn.XLOOKUP(1,('2016 E Maize Soil VWC'!$C$2:$C$4000=$AA160)*('2016 E Maize Soil VWC'!$E$2:$E$4000=$AB160)*('2016 E Maize Soil VWC'!$F$2:$F$4000=AI$5),'2016 E Maize Soil VWC'!$G$2:$G$4000)</f>
        <v>0.27323415899996661</v>
      </c>
      <c r="AJ160" s="1" cm="1">
        <f t="array" ref="AJ160">_xlfn.XLOOKUP(1,('2016 E Maize Soil VWC'!$C$2:$C$4000=$AA160)*('2016 E Maize Soil VWC'!$E$2:$E$4000=$AB160)*('2016 E Maize Soil VWC'!$F$2:$F$4000=AJ$5),'2016 E Maize Soil VWC'!$G$2:$G$4000)</f>
        <v>0.30735543636100188</v>
      </c>
      <c r="AK160" s="1" cm="1">
        <f t="array" ref="AK160">_xlfn.XLOOKUP(1,('2016 E Maize Soil VWC'!$C$2:$C$4000=$AA160)*('2016 E Maize Soil VWC'!$E$2:$E$4000=$AB160)*('2016 E Maize Soil VWC'!$F$2:$F$4000=AK$5),'2016 E Maize Soil VWC'!$G$2:$G$4000)</f>
        <v>0.30058178860193724</v>
      </c>
      <c r="AL160" s="1" cm="1">
        <f t="array" ref="AL160">_xlfn.XLOOKUP(1,('2016 E Maize Soil VWC'!$C$2:$C$4000=$AA160)*('2016 E Maize Soil VWC'!$E$2:$E$4000=$AB160)*('2016 E Maize Soil VWC'!$F$2:$F$4000=AL$5),'2016 E Maize Soil VWC'!$G$2:$G$4000)</f>
        <v>0.26254814572489055</v>
      </c>
      <c r="AM160" s="1" cm="1">
        <f t="array" ref="AM160">_xlfn.XLOOKUP(1,('2016 E Maize Soil VWC'!$C$2:$C$4000=$AA160)*('2016 E Maize Soil VWC'!$E$2:$E$4000=$AB160)*('2016 E Maize Soil VWC'!$F$2:$F$4000=AM$5),'2016 E Maize Soil VWC'!$G$2:$G$4000)</f>
        <v>0.28853325997302631</v>
      </c>
      <c r="AN160" s="1" cm="1">
        <f t="array" ref="AN160">_xlfn.XLOOKUP(1,('2016 E Maize Soil VWC'!$C$2:$C$4000=$AA160)*('2016 E Maize Soil VWC'!$E$2:$E$4000=$AB160)*('2016 E Maize Soil VWC'!$F$2:$F$4000=AN$5),'2016 E Maize Soil VWC'!$G$2:$G$4000)</f>
        <v>0.29127775518575083</v>
      </c>
      <c r="AO160" s="1" cm="1">
        <f t="array" ref="AO160">_xlfn.XLOOKUP(1,('2016 E Maize Soil VWC'!$C$2:$C$4000=$AA160)*('2016 E Maize Soil VWC'!$E$2:$E$4000=$AB160)*('2016 E Maize Soil VWC'!$F$2:$F$4000=AO$5),'2016 E Maize Soil VWC'!$G$2:$G$4000)</f>
        <v>0.28384231425482354</v>
      </c>
      <c r="AP160" s="1" cm="1">
        <f t="array" ref="AP160">_xlfn.XLOOKUP(1,('2016 E Maize Soil VWC'!$C$2:$C$4000=$AA160)*('2016 E Maize Soil VWC'!$E$2:$E$4000=$AB160)*('2016 E Maize Soil VWC'!$F$2:$F$4000=AP$5),'2016 E Maize Soil VWC'!$G$2:$G$4000)</f>
        <v>0.28049441938540076</v>
      </c>
      <c r="AQ160" s="1" t="e" cm="1">
        <f t="array" ref="AQ160">_xlfn.XLOOKUP(1,('2016 E Maize Soil VWC'!$C$2:$C$4000=$AA160)*('2016 E Maize Soil VWC'!$E$2:$E$4000=$AB160)*('2016 E Maize Soil VWC'!$F$2:$F$4000=AQ$5),'2016 E Maize Soil VWC'!$G$2:$G$4000)</f>
        <v>#N/A</v>
      </c>
      <c r="AR160" s="1" t="e" cm="1">
        <f t="array" ref="AR160">_xlfn.XLOOKUP(1,('2016 E Maize Soil VWC'!$C$2:$C$4000=$AA160)*('2016 E Maize Soil VWC'!$E$2:$E$4000=$AB160)*('2016 E Maize Soil VWC'!$F$2:$F$4000=AR$5),'2016 E Maize Soil VWC'!$G$2:$G$4000)</f>
        <v>#N/A</v>
      </c>
      <c r="AS160" s="1" cm="1">
        <f t="array" ref="AS160">_xlfn.XLOOKUP(1,('2016 E Maize Soil VWC'!$C$2:$C$4000=$AA160)*('2016 E Maize Soil VWC'!$E$2:$E$4000=$AB160)*('2016 E Maize Soil VWC'!$F$2:$F$4000=AS$5),'2016 E Maize Soil VWC'!$G$2:$G$4000)</f>
        <v>0.29571566233824137</v>
      </c>
      <c r="AT160" s="1" cm="1">
        <f t="array" ref="AT160">_xlfn.XLOOKUP(1,('2016 E Maize Soil VWC'!$C$2:$C$4000=$AA160)*('2016 E Maize Soil VWC'!$E$2:$E$4000=$AB160)*('2016 E Maize Soil VWC'!$F$2:$F$4000=AT$5),'2016 E Maize Soil VWC'!$G$2:$G$4000)</f>
        <v>0.2960465589241727</v>
      </c>
      <c r="AU160" s="1" cm="1">
        <f t="array" ref="AU160">_xlfn.XLOOKUP(1,('2016 E Maize Soil VWC'!$C$2:$C$4000=$AA160)*('2016 E Maize Soil VWC'!$E$2:$E$4000=$AB160)*('2016 E Maize Soil VWC'!$F$2:$F$4000=AU$5),'2016 E Maize Soil VWC'!$G$2:$G$4000)</f>
        <v>0.28333623712339917</v>
      </c>
      <c r="AV160" s="1" cm="1">
        <f t="array" ref="AV160">_xlfn.XLOOKUP(1,('2016 E Maize Soil VWC'!$C$2:$C$4000=$AA160)*('2016 E Maize Soil VWC'!$E$2:$E$4000=$AB160)*('2016 E Maize Soil VWC'!$F$2:$F$4000=AV$5),'2016 E Maize Soil VWC'!$G$2:$G$4000)</f>
        <v>0.29879105413689716</v>
      </c>
    </row>
    <row r="162" spans="25:64" x14ac:dyDescent="0.25">
      <c r="Y162" s="1">
        <v>2016</v>
      </c>
      <c r="Z162" s="1">
        <v>256</v>
      </c>
      <c r="AA162" s="18">
        <f>DATE(Y162,1,Z162)</f>
        <v>42625</v>
      </c>
      <c r="AB162" s="1">
        <v>10</v>
      </c>
      <c r="AC162" s="1" cm="1">
        <f t="array" ref="AC162">_xlfn.XLOOKUP(1,('2016 E Maize Soil VWC'!$C$2:$C$4000=$AA162)*('2016 E Maize Soil VWC'!$E$2:$E$4000=$AB162)*('2016 E Maize Soil VWC'!$F$2:$F$4000=AC$5),'2016 E Maize Soil VWC'!$G$2:$G$4000)</f>
        <v>0.29172971605158443</v>
      </c>
      <c r="AD162" s="1" cm="1">
        <f t="array" ref="AD162">_xlfn.XLOOKUP(1,('2016 E Maize Soil VWC'!$C$2:$C$4000=$AA162)*('2016 E Maize Soil VWC'!$E$2:$E$4000=$AB162)*('2016 E Maize Soil VWC'!$F$2:$F$4000=AD$5),'2016 E Maize Soil VWC'!$G$2:$G$4000)</f>
        <v>0.28610956148778943</v>
      </c>
      <c r="AE162" s="1" cm="1">
        <f t="array" ref="AE162">_xlfn.XLOOKUP(1,('2016 E Maize Soil VWC'!$C$2:$C$4000=$AA162)*('2016 E Maize Soil VWC'!$E$2:$E$4000=$AB162)*('2016 E Maize Soil VWC'!$F$2:$F$4000=AE$5),'2016 E Maize Soil VWC'!$G$2:$G$4000)</f>
        <v>0.26111617788156094</v>
      </c>
      <c r="AF162" s="1" cm="1">
        <f t="array" ref="AF162">_xlfn.XLOOKUP(1,('2016 E Maize Soil VWC'!$C$2:$C$4000=$AA162)*('2016 E Maize Soil VWC'!$E$2:$E$4000=$AB162)*('2016 E Maize Soil VWC'!$F$2:$F$4000=AF$5),'2016 E Maize Soil VWC'!$G$2:$G$4000)</f>
        <v>0.28344334481759309</v>
      </c>
      <c r="AG162" s="1" cm="1">
        <f t="array" ref="AG162">_xlfn.XLOOKUP(1,('2016 E Maize Soil VWC'!$C$2:$C$4000=$AA162)*('2016 E Maize Soil VWC'!$E$2:$E$4000=$AB162)*('2016 E Maize Soil VWC'!$F$2:$F$4000=AG$5),'2016 E Maize Soil VWC'!$G$2:$G$4000)</f>
        <v>0.29976672889196032</v>
      </c>
      <c r="AH162" s="1" cm="1">
        <f t="array" ref="AH162">_xlfn.XLOOKUP(1,('2016 E Maize Soil VWC'!$C$2:$C$4000=$AA162)*('2016 E Maize Soil VWC'!$E$2:$E$4000=$AB162)*('2016 E Maize Soil VWC'!$F$2:$F$4000=AH$5),'2016 E Maize Soil VWC'!$G$2:$G$4000)</f>
        <v>0.2988652023919659</v>
      </c>
      <c r="AI162" s="1" cm="1">
        <f t="array" ref="AI162">_xlfn.XLOOKUP(1,('2016 E Maize Soil VWC'!$C$2:$C$4000=$AA162)*('2016 E Maize Soil VWC'!$E$2:$E$4000=$AB162)*('2016 E Maize Soil VWC'!$F$2:$F$4000=AI$5),'2016 E Maize Soil VWC'!$G$2:$G$4000)</f>
        <v>0.29527827780688165</v>
      </c>
      <c r="AJ162" s="1" cm="1">
        <f t="array" ref="AJ162">_xlfn.XLOOKUP(1,('2016 E Maize Soil VWC'!$C$2:$C$4000=$AA162)*('2016 E Maize Soil VWC'!$E$2:$E$4000=$AB162)*('2016 E Maize Soil VWC'!$F$2:$F$4000=AJ$5),'2016 E Maize Soil VWC'!$G$2:$G$4000)</f>
        <v>0.28507376508354049</v>
      </c>
      <c r="AK162" s="1" cm="1">
        <f t="array" ref="AK162">_xlfn.XLOOKUP(1,('2016 E Maize Soil VWC'!$C$2:$C$4000=$AA162)*('2016 E Maize Soil VWC'!$E$2:$E$4000=$AB162)*('2016 E Maize Soil VWC'!$F$2:$F$4000=AK$5),'2016 E Maize Soil VWC'!$G$2:$G$4000)</f>
        <v>0.28944712767925812</v>
      </c>
      <c r="AL162" s="1" cm="1">
        <f t="array" ref="AL162">_xlfn.XLOOKUP(1,('2016 E Maize Soil VWC'!$C$2:$C$4000=$AA162)*('2016 E Maize Soil VWC'!$E$2:$E$4000=$AB162)*('2016 E Maize Soil VWC'!$F$2:$F$4000=AL$5),'2016 E Maize Soil VWC'!$G$2:$G$4000)</f>
        <v>0.30745847626425316</v>
      </c>
      <c r="AM162" s="1" cm="1">
        <f t="array" ref="AM162">_xlfn.XLOOKUP(1,('2016 E Maize Soil VWC'!$C$2:$C$4000=$AA162)*('2016 E Maize Soil VWC'!$E$2:$E$4000=$AB162)*('2016 E Maize Soil VWC'!$F$2:$F$4000=AM$5),'2016 E Maize Soil VWC'!$G$2:$G$4000)</f>
        <v>0.24362272749869029</v>
      </c>
      <c r="AN162" s="1" cm="1">
        <f t="array" ref="AN162">_xlfn.XLOOKUP(1,('2016 E Maize Soil VWC'!$C$2:$C$4000=$AA162)*('2016 E Maize Soil VWC'!$E$2:$E$4000=$AB162)*('2016 E Maize Soil VWC'!$F$2:$F$4000=AN$5),'2016 E Maize Soil VWC'!$G$2:$G$4000)</f>
        <v>0.23362921033917766</v>
      </c>
      <c r="AO162" s="1" cm="1">
        <f t="array" ref="AO162">_xlfn.XLOOKUP(1,('2016 E Maize Soil VWC'!$C$2:$C$4000=$AA162)*('2016 E Maize Soil VWC'!$E$2:$E$4000=$AB162)*('2016 E Maize Soil VWC'!$F$2:$F$4000=AO$5),'2016 E Maize Soil VWC'!$G$2:$G$4000)</f>
        <v>0.26345631049856771</v>
      </c>
      <c r="AP162" s="1" cm="1">
        <f t="array" ref="AP162">_xlfn.XLOOKUP(1,('2016 E Maize Soil VWC'!$C$2:$C$4000=$AA162)*('2016 E Maize Soil VWC'!$E$2:$E$4000=$AB162)*('2016 E Maize Soil VWC'!$F$2:$F$4000=AP$5),'2016 E Maize Soil VWC'!$G$2:$G$4000)</f>
        <v>0.25960084610497458</v>
      </c>
      <c r="AQ162" s="1" cm="1">
        <f t="array" ref="AQ162">_xlfn.XLOOKUP(1,('2016 E Maize Soil VWC'!$C$2:$C$4000=$AA162)*('2016 E Maize Soil VWC'!$E$2:$E$4000=$AB162)*('2016 E Maize Soil VWC'!$F$2:$F$4000=AQ$5),'2016 E Maize Soil VWC'!$G$2:$G$4000)</f>
        <v>0.303372834891938</v>
      </c>
      <c r="AR162" s="1" cm="1">
        <f t="array" ref="AR162">_xlfn.XLOOKUP(1,('2016 E Maize Soil VWC'!$C$2:$C$4000=$AA162)*('2016 E Maize Soil VWC'!$E$2:$E$4000=$AB162)*('2016 E Maize Soil VWC'!$F$2:$F$4000=AR$5),'2016 E Maize Soil VWC'!$G$2:$G$4000)</f>
        <v>0.28747144194522783</v>
      </c>
      <c r="AS162" s="1" cm="1">
        <f t="array" ref="AS162">_xlfn.XLOOKUP(1,('2016 E Maize Soil VWC'!$C$2:$C$4000=$AA162)*('2016 E Maize Soil VWC'!$E$2:$E$4000=$AB162)*('2016 E Maize Soil VWC'!$F$2:$F$4000=AS$5),'2016 E Maize Soil VWC'!$G$2:$G$4000)</f>
        <v>0.27256748257297947</v>
      </c>
      <c r="AT162" s="1" cm="1">
        <f t="array" ref="AT162">_xlfn.XLOOKUP(1,('2016 E Maize Soil VWC'!$C$2:$C$4000=$AA162)*('2016 E Maize Soil VWC'!$E$2:$E$4000=$AB162)*('2016 E Maize Soil VWC'!$F$2:$F$4000=AT$5),'2016 E Maize Soil VWC'!$G$2:$G$4000)</f>
        <v>0.25501648794542842</v>
      </c>
      <c r="AU162" s="1" cm="1">
        <f t="array" ref="AU162">_xlfn.XLOOKUP(1,('2016 E Maize Soil VWC'!$C$2:$C$4000=$AA162)*('2016 E Maize Soil VWC'!$E$2:$E$4000=$AB162)*('2016 E Maize Soil VWC'!$F$2:$F$4000=AU$5),'2016 E Maize Soil VWC'!$G$2:$G$4000)</f>
        <v>0.25607146576457085</v>
      </c>
      <c r="AV162" s="1" cm="1">
        <f t="array" ref="AV162">_xlfn.XLOOKUP(1,('2016 E Maize Soil VWC'!$C$2:$C$4000=$AA162)*('2016 E Maize Soil VWC'!$E$2:$E$4000=$AB162)*('2016 E Maize Soil VWC'!$F$2:$F$4000=AV$5),'2016 E Maize Soil VWC'!$G$2:$G$4000)</f>
        <v>0.27813009289209406</v>
      </c>
      <c r="AW162" s="1">
        <f>Z162</f>
        <v>256</v>
      </c>
      <c r="AX162" s="15">
        <f>AA162</f>
        <v>42625</v>
      </c>
      <c r="AY162" s="1">
        <f>1400*AVERAGE(AG162:AH168)+100*AVERAGE(AG169:AH169)</f>
        <v>488.17402484423241</v>
      </c>
      <c r="AZ162" s="1">
        <f>1400*AVERAGE(AC162:AF168,AI162:AL168)+100*AVERAGE(AC169:AF169,AI169:AL169)</f>
        <v>480.50244371356598</v>
      </c>
      <c r="BA162" s="1">
        <f>1400*AVERAGE(AQ162:AR168)+100*AVERAGE(AQ169:AR169)</f>
        <v>477.34039483152588</v>
      </c>
      <c r="BB162" s="1">
        <f>1400*AVERAGE(AM162:AP168,AS162:AV168)+100*AVERAGE(AM169:AP169,AS169:AV169)</f>
        <v>452.27110444188378</v>
      </c>
      <c r="BC162" s="1">
        <f>AVERAGE(AC162:AD173)*2400</f>
        <v>738.43231407648489</v>
      </c>
      <c r="BD162" s="1">
        <f>AVERAGE(AE162:AF173)*2400</f>
        <v>715.72484544289262</v>
      </c>
      <c r="BE162" s="1">
        <f>AVERAGE(AG162:AH171)*2000</f>
        <v>655.39806531760996</v>
      </c>
      <c r="BF162" s="1">
        <f>AVERAGE(AI162:AJ173)*2400</f>
        <v>745.15803138089791</v>
      </c>
      <c r="BG162" s="1">
        <f>AVERAGE(AK162:AL173)*2400</f>
        <v>742.11915599607664</v>
      </c>
      <c r="BH162" s="1">
        <f>AVERAGE(AM162:AN173)*2400</f>
        <v>720.52362990403162</v>
      </c>
      <c r="BI162" s="1">
        <f>AVERAGE(AO162:AP173)*2400</f>
        <v>687.95055809935707</v>
      </c>
      <c r="BJ162" s="1">
        <f>AVERAGE(AQ162:AR171)*2000</f>
        <v>636.66281947791401</v>
      </c>
      <c r="BK162" s="1">
        <f>AVERAGE(AS162:AT173)*2400</f>
        <v>748.04124540722512</v>
      </c>
      <c r="BL162" s="1">
        <f>AVERAGE(AU162:AV173)*2400</f>
        <v>727.22700916771635</v>
      </c>
    </row>
    <row r="163" spans="25:64" x14ac:dyDescent="0.25">
      <c r="AA163" s="18">
        <f t="shared" ref="AA163:AA173" si="27">AA162</f>
        <v>42625</v>
      </c>
      <c r="AB163" s="1">
        <f t="shared" ref="AB163:AB173" si="28">AB162+20</f>
        <v>30</v>
      </c>
      <c r="AC163" s="1" cm="1">
        <f t="array" ref="AC163">_xlfn.XLOOKUP(1,('2016 E Maize Soil VWC'!$C$2:$C$4000=$AA163)*('2016 E Maize Soil VWC'!$E$2:$E$4000=$AB163)*('2016 E Maize Soil VWC'!$F$2:$F$4000=AC$5),'2016 E Maize Soil VWC'!$G$2:$G$4000)</f>
        <v>0.34508593199728033</v>
      </c>
      <c r="AD163" s="1" cm="1">
        <f t="array" ref="AD163">_xlfn.XLOOKUP(1,('2016 E Maize Soil VWC'!$C$2:$C$4000=$AA163)*('2016 E Maize Soil VWC'!$E$2:$E$4000=$AB163)*('2016 E Maize Soil VWC'!$F$2:$F$4000=AD$5),'2016 E Maize Soil VWC'!$G$2:$G$4000)</f>
        <v>0.33876600052386951</v>
      </c>
      <c r="AE163" s="1" cm="1">
        <f t="array" ref="AE163">_xlfn.XLOOKUP(1,('2016 E Maize Soil VWC'!$C$2:$C$4000=$AA163)*('2016 E Maize Soil VWC'!$E$2:$E$4000=$AB163)*('2016 E Maize Soil VWC'!$F$2:$F$4000=AE$5),'2016 E Maize Soil VWC'!$G$2:$G$4000)</f>
        <v>0.31966881628899763</v>
      </c>
      <c r="AF163" s="1" cm="1">
        <f t="array" ref="AF163">_xlfn.XLOOKUP(1,('2016 E Maize Soil VWC'!$C$2:$C$4000=$AA163)*('2016 E Maize Soil VWC'!$E$2:$E$4000=$AB163)*('2016 E Maize Soil VWC'!$F$2:$F$4000=AF$5),'2016 E Maize Soil VWC'!$G$2:$G$4000)</f>
        <v>0.3222334261622658</v>
      </c>
      <c r="AG163" s="1" cm="1">
        <f t="array" ref="AG163">_xlfn.XLOOKUP(1,('2016 E Maize Soil VWC'!$C$2:$C$4000=$AA163)*('2016 E Maize Soil VWC'!$E$2:$E$4000=$AB163)*('2016 E Maize Soil VWC'!$F$2:$F$4000=AG$5),'2016 E Maize Soil VWC'!$G$2:$G$4000)</f>
        <v>0.33949874620194609</v>
      </c>
      <c r="AH163" s="1" cm="1">
        <f t="array" ref="AH163">_xlfn.XLOOKUP(1,('2016 E Maize Soil VWC'!$C$2:$C$4000=$AA163)*('2016 E Maize Soil VWC'!$E$2:$E$4000=$AB163)*('2016 E Maize Soil VWC'!$F$2:$F$4000=AH$5),'2016 E Maize Soil VWC'!$G$2:$G$4000)</f>
        <v>0.3359724076262024</v>
      </c>
      <c r="AI163" s="1" cm="1">
        <f t="array" ref="AI163">_xlfn.XLOOKUP(1,('2016 E Maize Soil VWC'!$C$2:$C$4000=$AA163)*('2016 E Maize Soil VWC'!$E$2:$E$4000=$AB163)*('2016 E Maize Soil VWC'!$F$2:$F$4000=AI$5),'2016 E Maize Soil VWC'!$G$2:$G$4000)</f>
        <v>0.33008754389914957</v>
      </c>
      <c r="AJ163" s="1" cm="1">
        <f t="array" ref="AJ163">_xlfn.XLOOKUP(1,('2016 E Maize Soil VWC'!$C$2:$C$4000=$AA163)*('2016 E Maize Soil VWC'!$E$2:$E$4000=$AB163)*('2016 E Maize Soil VWC'!$F$2:$F$4000=AJ$5),'2016 E Maize Soil VWC'!$G$2:$G$4000)</f>
        <v>0.33315591642609543</v>
      </c>
      <c r="AK163" s="1" cm="1">
        <f t="array" ref="AK163">_xlfn.XLOOKUP(1,('2016 E Maize Soil VWC'!$C$2:$C$4000=$AA163)*('2016 E Maize Soil VWC'!$E$2:$E$4000=$AB163)*('2016 E Maize Soil VWC'!$F$2:$F$4000=AK$5),'2016 E Maize Soil VWC'!$G$2:$G$4000)</f>
        <v>0.32992725578207027</v>
      </c>
      <c r="AL163" s="1" cm="1">
        <f t="array" ref="AL163">_xlfn.XLOOKUP(1,('2016 E Maize Soil VWC'!$C$2:$C$4000=$AA163)*('2016 E Maize Soil VWC'!$E$2:$E$4000=$AB163)*('2016 E Maize Soil VWC'!$F$2:$F$4000=AL$5),'2016 E Maize Soil VWC'!$G$2:$G$4000)</f>
        <v>0.33507937383104652</v>
      </c>
      <c r="AM163" s="1" cm="1">
        <f t="array" ref="AM163">_xlfn.XLOOKUP(1,('2016 E Maize Soil VWC'!$C$2:$C$4000=$AA163)*('2016 E Maize Soil VWC'!$E$2:$E$4000=$AB163)*('2016 E Maize Soil VWC'!$F$2:$F$4000=AM$5),'2016 E Maize Soil VWC'!$G$2:$G$4000)</f>
        <v>0.31712710471816935</v>
      </c>
      <c r="AN163" s="1" cm="1">
        <f t="array" ref="AN163">_xlfn.XLOOKUP(1,('2016 E Maize Soil VWC'!$C$2:$C$4000=$AA163)*('2016 E Maize Soil VWC'!$E$2:$E$4000=$AB163)*('2016 E Maize Soil VWC'!$F$2:$F$4000=AN$5),'2016 E Maize Soil VWC'!$G$2:$G$4000)</f>
        <v>0.28767988778046522</v>
      </c>
      <c r="AO163" s="1" cm="1">
        <f t="array" ref="AO163">_xlfn.XLOOKUP(1,('2016 E Maize Soil VWC'!$C$2:$C$4000=$AA163)*('2016 E Maize Soil VWC'!$E$2:$E$4000=$AB163)*('2016 E Maize Soil VWC'!$F$2:$F$4000=AO$5),'2016 E Maize Soil VWC'!$G$2:$G$4000)</f>
        <v>0.22935791146605433</v>
      </c>
      <c r="AP163" s="1" cm="1">
        <f t="array" ref="AP163">_xlfn.XLOOKUP(1,('2016 E Maize Soil VWC'!$C$2:$C$4000=$AA163)*('2016 E Maize Soil VWC'!$E$2:$E$4000=$AB163)*('2016 E Maize Soil VWC'!$F$2:$F$4000=AP$5),'2016 E Maize Soil VWC'!$G$2:$G$4000)</f>
        <v>0.23222019927104115</v>
      </c>
      <c r="AQ163" s="1" cm="1">
        <f t="array" ref="AQ163">_xlfn.XLOOKUP(1,('2016 E Maize Soil VWC'!$C$2:$C$4000=$AA163)*('2016 E Maize Soil VWC'!$E$2:$E$4000=$AB163)*('2016 E Maize Soil VWC'!$F$2:$F$4000=AQ$5),'2016 E Maize Soil VWC'!$G$2:$G$4000)</f>
        <v>0.34975718569501885</v>
      </c>
      <c r="AR163" s="1" cm="1">
        <f t="array" ref="AR163">_xlfn.XLOOKUP(1,('2016 E Maize Soil VWC'!$C$2:$C$4000=$AA163)*('2016 E Maize Soil VWC'!$E$2:$E$4000=$AB163)*('2016 E Maize Soil VWC'!$F$2:$F$4000=AR$5),'2016 E Maize Soil VWC'!$G$2:$G$4000)</f>
        <v>0.33327040793829488</v>
      </c>
      <c r="AS163" s="1" cm="1">
        <f t="array" ref="AS163">_xlfn.XLOOKUP(1,('2016 E Maize Soil VWC'!$C$2:$C$4000=$AA163)*('2016 E Maize Soil VWC'!$E$2:$E$4000=$AB163)*('2016 E Maize Soil VWC'!$F$2:$F$4000=AS$5),'2016 E Maize Soil VWC'!$G$2:$G$4000)</f>
        <v>0.34181147474837548</v>
      </c>
      <c r="AT163" s="1" cm="1">
        <f t="array" ref="AT163">_xlfn.XLOOKUP(1,('2016 E Maize Soil VWC'!$C$2:$C$4000=$AA163)*('2016 E Maize Soil VWC'!$E$2:$E$4000=$AB163)*('2016 E Maize Soil VWC'!$F$2:$F$4000=AT$5),'2016 E Maize Soil VWC'!$G$2:$G$4000)</f>
        <v>0.32195864653298711</v>
      </c>
      <c r="AU163" s="1" cm="1">
        <f t="array" ref="AU163">_xlfn.XLOOKUP(1,('2016 E Maize Soil VWC'!$C$2:$C$4000=$AA163)*('2016 E Maize Soil VWC'!$E$2:$E$4000=$AB163)*('2016 E Maize Soil VWC'!$F$2:$F$4000=AU$5),'2016 E Maize Soil VWC'!$G$2:$G$4000)</f>
        <v>0.32104271443539134</v>
      </c>
      <c r="AV163" s="1" cm="1">
        <f t="array" ref="AV163">_xlfn.XLOOKUP(1,('2016 E Maize Soil VWC'!$C$2:$C$4000=$AA163)*('2016 E Maize Soil VWC'!$E$2:$E$4000=$AB163)*('2016 E Maize Soil VWC'!$F$2:$F$4000=AV$5),'2016 E Maize Soil VWC'!$G$2:$G$4000)</f>
        <v>0.31453959654246133</v>
      </c>
    </row>
    <row r="164" spans="25:64" x14ac:dyDescent="0.25">
      <c r="AA164" s="18">
        <f t="shared" si="27"/>
        <v>42625</v>
      </c>
      <c r="AB164" s="1">
        <f t="shared" si="28"/>
        <v>50</v>
      </c>
      <c r="AC164" s="1" cm="1">
        <f t="array" ref="AC164">_xlfn.XLOOKUP(1,('2016 E Maize Soil VWC'!$C$2:$C$4000=$AA164)*('2016 E Maize Soil VWC'!$E$2:$E$4000=$AB164)*('2016 E Maize Soil VWC'!$F$2:$F$4000=AC$5),'2016 E Maize Soil VWC'!$G$2:$G$4000)</f>
        <v>0.34400971178260531</v>
      </c>
      <c r="AD164" s="1" cm="1">
        <f t="array" ref="AD164">_xlfn.XLOOKUP(1,('2016 E Maize Soil VWC'!$C$2:$C$4000=$AA164)*('2016 E Maize Soil VWC'!$E$2:$E$4000=$AB164)*('2016 E Maize Soil VWC'!$F$2:$F$4000=AD$5),'2016 E Maize Soil VWC'!$G$2:$G$4000)</f>
        <v>0.35239049047560667</v>
      </c>
      <c r="AE164" s="1" cm="1">
        <f t="array" ref="AE164">_xlfn.XLOOKUP(1,('2016 E Maize Soil VWC'!$C$2:$C$4000=$AA164)*('2016 E Maize Soil VWC'!$E$2:$E$4000=$AB164)*('2016 E Maize Soil VWC'!$F$2:$F$4000=AE$5),'2016 E Maize Soil VWC'!$G$2:$G$4000)</f>
        <v>0.34911603322670176</v>
      </c>
      <c r="AF164" s="1" cm="1">
        <f t="array" ref="AF164">_xlfn.XLOOKUP(1,('2016 E Maize Soil VWC'!$C$2:$C$4000=$AA164)*('2016 E Maize Soil VWC'!$E$2:$E$4000=$AB164)*('2016 E Maize Soil VWC'!$F$2:$F$4000=AF$5),'2016 E Maize Soil VWC'!$G$2:$G$4000)</f>
        <v>0.33858281410435032</v>
      </c>
      <c r="AG164" s="1" cm="1">
        <f t="array" ref="AG164">_xlfn.XLOOKUP(1,('2016 E Maize Soil VWC'!$C$2:$C$4000=$AA164)*('2016 E Maize Soil VWC'!$E$2:$E$4000=$AB164)*('2016 E Maize Soil VWC'!$F$2:$F$4000=AG$5),'2016 E Maize Soil VWC'!$G$2:$G$4000)</f>
        <v>0.35058152458285496</v>
      </c>
      <c r="AH164" s="1" cm="1">
        <f t="array" ref="AH164">_xlfn.XLOOKUP(1,('2016 E Maize Soil VWC'!$C$2:$C$4000=$AA164)*('2016 E Maize Soil VWC'!$E$2:$E$4000=$AB164)*('2016 E Maize Soil VWC'!$F$2:$F$4000=AH$5),'2016 E Maize Soil VWC'!$G$2:$G$4000)</f>
        <v>0.35106238893409281</v>
      </c>
      <c r="AI164" s="1" cm="1">
        <f t="array" ref="AI164">_xlfn.XLOOKUP(1,('2016 E Maize Soil VWC'!$C$2:$C$4000=$AA164)*('2016 E Maize Soil VWC'!$E$2:$E$4000=$AB164)*('2016 E Maize Soil VWC'!$F$2:$F$4000=AI$5),'2016 E Maize Soil VWC'!$G$2:$G$4000)</f>
        <v>0.35188672782192898</v>
      </c>
      <c r="AJ164" s="1" cm="1">
        <f t="array" ref="AJ164">_xlfn.XLOOKUP(1,('2016 E Maize Soil VWC'!$C$2:$C$4000=$AA164)*('2016 E Maize Soil VWC'!$E$2:$E$4000=$AB164)*('2016 E Maize Soil VWC'!$F$2:$F$4000=AJ$5),'2016 E Maize Soil VWC'!$G$2:$G$4000)</f>
        <v>0.34277320345085099</v>
      </c>
      <c r="AK164" s="1" cm="1">
        <f t="array" ref="AK164">_xlfn.XLOOKUP(1,('2016 E Maize Soil VWC'!$C$2:$C$4000=$AA164)*('2016 E Maize Soil VWC'!$E$2:$E$4000=$AB164)*('2016 E Maize Soil VWC'!$F$2:$F$4000=AK$5),'2016 E Maize Soil VWC'!$G$2:$G$4000)</f>
        <v>0.34824589773398573</v>
      </c>
      <c r="AL164" s="1" cm="1">
        <f t="array" ref="AL164">_xlfn.XLOOKUP(1,('2016 E Maize Soil VWC'!$C$2:$C$4000=$AA164)*('2016 E Maize Soil VWC'!$E$2:$E$4000=$AB164)*('2016 E Maize Soil VWC'!$F$2:$F$4000=AL$5),'2016 E Maize Soil VWC'!$G$2:$G$4000)</f>
        <v>0.35275686331464495</v>
      </c>
      <c r="AM164" s="1" cm="1">
        <f t="array" ref="AM164">_xlfn.XLOOKUP(1,('2016 E Maize Soil VWC'!$C$2:$C$4000=$AA164)*('2016 E Maize Soil VWC'!$E$2:$E$4000=$AB164)*('2016 E Maize Soil VWC'!$F$2:$F$4000=AM$5),'2016 E Maize Soil VWC'!$G$2:$G$4000)</f>
        <v>0.33672805160671893</v>
      </c>
      <c r="AN164" s="1" cm="1">
        <f t="array" ref="AN164">_xlfn.XLOOKUP(1,('2016 E Maize Soil VWC'!$C$2:$C$4000=$AA164)*('2016 E Maize Soil VWC'!$E$2:$E$4000=$AB164)*('2016 E Maize Soil VWC'!$F$2:$F$4000=AN$5),'2016 E Maize Soil VWC'!$G$2:$G$4000)</f>
        <v>0.34062076302150096</v>
      </c>
      <c r="AO164" s="1" cm="1">
        <f t="array" ref="AO164">_xlfn.XLOOKUP(1,('2016 E Maize Soil VWC'!$C$2:$C$4000=$AA164)*('2016 E Maize Soil VWC'!$E$2:$E$4000=$AB164)*('2016 E Maize Soil VWC'!$F$2:$F$4000=AO$5),'2016 E Maize Soil VWC'!$G$2:$G$4000)</f>
        <v>0.30865473281540845</v>
      </c>
      <c r="AP164" s="1" cm="1">
        <f t="array" ref="AP164">_xlfn.XLOOKUP(1,('2016 E Maize Soil VWC'!$C$2:$C$4000=$AA164)*('2016 E Maize Soil VWC'!$E$2:$E$4000=$AB164)*('2016 E Maize Soil VWC'!$F$2:$F$4000=AP$5),'2016 E Maize Soil VWC'!$G$2:$G$4000)</f>
        <v>0.30389188590791044</v>
      </c>
      <c r="AQ164" s="1" cm="1">
        <f t="array" ref="AQ164">_xlfn.XLOOKUP(1,('2016 E Maize Soil VWC'!$C$2:$C$4000=$AA164)*('2016 E Maize Soil VWC'!$E$2:$E$4000=$AB164)*('2016 E Maize Soil VWC'!$F$2:$F$4000=AQ$5),'2016 E Maize Soil VWC'!$G$2:$G$4000)</f>
        <v>0.33084318787966605</v>
      </c>
      <c r="AR164" s="1" cm="1">
        <f t="array" ref="AR164">_xlfn.XLOOKUP(1,('2016 E Maize Soil VWC'!$C$2:$C$4000=$AA164)*('2016 E Maize Soil VWC'!$E$2:$E$4000=$AB164)*('2016 E Maize Soil VWC'!$F$2:$F$4000=AR$5),'2016 E Maize Soil VWC'!$G$2:$G$4000)</f>
        <v>0.34004830546050357</v>
      </c>
      <c r="AS164" s="1" cm="1">
        <f t="array" ref="AS164">_xlfn.XLOOKUP(1,('2016 E Maize Soil VWC'!$C$2:$C$4000=$AA164)*('2016 E Maize Soil VWC'!$E$2:$E$4000=$AB164)*('2016 E Maize Soil VWC'!$F$2:$F$4000=AS$5),'2016 E Maize Soil VWC'!$G$2:$G$4000)</f>
        <v>0.35525277828059348</v>
      </c>
      <c r="AT164" s="1" cm="1">
        <f t="array" ref="AT164">_xlfn.XLOOKUP(1,('2016 E Maize Soil VWC'!$C$2:$C$4000=$AA164)*('2016 E Maize Soil VWC'!$E$2:$E$4000=$AB164)*('2016 E Maize Soil VWC'!$F$2:$F$4000=AT$5),'2016 E Maize Soil VWC'!$G$2:$G$4000)</f>
        <v>0.34160539002641643</v>
      </c>
      <c r="AU164" s="1" cm="1">
        <f t="array" ref="AU164">_xlfn.XLOOKUP(1,('2016 E Maize Soil VWC'!$C$2:$C$4000=$AA164)*('2016 E Maize Soil VWC'!$E$2:$E$4000=$AB164)*('2016 E Maize Soil VWC'!$F$2:$F$4000=AU$5),'2016 E Maize Soil VWC'!$G$2:$G$4000)</f>
        <v>0.34414710159724471</v>
      </c>
      <c r="AV164" s="1" cm="1">
        <f t="array" ref="AV164">_xlfn.XLOOKUP(1,('2016 E Maize Soil VWC'!$C$2:$C$4000=$AA164)*('2016 E Maize Soil VWC'!$E$2:$E$4000=$AB164)*('2016 E Maize Soil VWC'!$F$2:$F$4000=AV$5),'2016 E Maize Soil VWC'!$G$2:$G$4000)</f>
        <v>0.34636823693391444</v>
      </c>
    </row>
    <row r="165" spans="25:64" x14ac:dyDescent="0.25">
      <c r="AA165" s="18">
        <f t="shared" si="27"/>
        <v>42625</v>
      </c>
      <c r="AB165" s="1">
        <f t="shared" si="28"/>
        <v>70</v>
      </c>
      <c r="AC165" s="1" cm="1">
        <f t="array" ref="AC165">_xlfn.XLOOKUP(1,('2016 E Maize Soil VWC'!$C$2:$C$4000=$AA165)*('2016 E Maize Soil VWC'!$E$2:$E$4000=$AB165)*('2016 E Maize Soil VWC'!$F$2:$F$4000=AC$5),'2016 E Maize Soil VWC'!$G$2:$G$4000)</f>
        <v>0.33086608618210595</v>
      </c>
      <c r="AD165" s="1" cm="1">
        <f t="array" ref="AD165">_xlfn.XLOOKUP(1,('2016 E Maize Soil VWC'!$C$2:$C$4000=$AA165)*('2016 E Maize Soil VWC'!$E$2:$E$4000=$AB165)*('2016 E Maize Soil VWC'!$F$2:$F$4000=AD$5),'2016 E Maize Soil VWC'!$G$2:$G$4000)</f>
        <v>0.33253766226021825</v>
      </c>
      <c r="AE165" s="1" cm="1">
        <f t="array" ref="AE165">_xlfn.XLOOKUP(1,('2016 E Maize Soil VWC'!$C$2:$C$4000=$AA165)*('2016 E Maize Soil VWC'!$E$2:$E$4000=$AB165)*('2016 E Maize Soil VWC'!$F$2:$F$4000=AE$5),'2016 E Maize Soil VWC'!$G$2:$G$4000)</f>
        <v>0.33681964481647853</v>
      </c>
      <c r="AF165" s="1" cm="1">
        <f t="array" ref="AF165">_xlfn.XLOOKUP(1,('2016 E Maize Soil VWC'!$C$2:$C$4000=$AA165)*('2016 E Maize Soil VWC'!$E$2:$E$4000=$AB165)*('2016 E Maize Soil VWC'!$F$2:$F$4000=AF$5),'2016 E Maize Soil VWC'!$G$2:$G$4000)</f>
        <v>0.33189650979190122</v>
      </c>
      <c r="AG165" s="1" cm="1">
        <f t="array" ref="AG165">_xlfn.XLOOKUP(1,('2016 E Maize Soil VWC'!$C$2:$C$4000=$AA165)*('2016 E Maize Soil VWC'!$E$2:$E$4000=$AB165)*('2016 E Maize Soil VWC'!$F$2:$F$4000=AG$5),'2016 E Maize Soil VWC'!$G$2:$G$4000)</f>
        <v>0.34107872907029885</v>
      </c>
      <c r="AH165" s="1" cm="1">
        <f t="array" ref="AH165">_xlfn.XLOOKUP(1,('2016 E Maize Soil VWC'!$C$2:$C$4000=$AA165)*('2016 E Maize Soil VWC'!$E$2:$E$4000=$AB165)*('2016 E Maize Soil VWC'!$F$2:$F$4000=AH$5),'2016 E Maize Soil VWC'!$G$2:$G$4000)</f>
        <v>0.33503357722616672</v>
      </c>
      <c r="AI165" s="1" cm="1">
        <f t="array" ref="AI165">_xlfn.XLOOKUP(1,('2016 E Maize Soil VWC'!$C$2:$C$4000=$AA165)*('2016 E Maize Soil VWC'!$E$2:$E$4000=$AB165)*('2016 E Maize Soil VWC'!$F$2:$F$4000=AI$5),'2016 E Maize Soil VWC'!$G$2:$G$4000)</f>
        <v>0.34133061039713769</v>
      </c>
      <c r="AJ165" s="1" cm="1">
        <f t="array" ref="AJ165">_xlfn.XLOOKUP(1,('2016 E Maize Soil VWC'!$C$2:$C$4000=$AA165)*('2016 E Maize Soil VWC'!$E$2:$E$4000=$AB165)*('2016 E Maize Soil VWC'!$F$2:$F$4000=AJ$5),'2016 E Maize Soil VWC'!$G$2:$G$4000)</f>
        <v>0.32834727291371762</v>
      </c>
      <c r="AK165" s="1" cm="1">
        <f t="array" ref="AK165">_xlfn.XLOOKUP(1,('2016 E Maize Soil VWC'!$C$2:$C$4000=$AA165)*('2016 E Maize Soil VWC'!$E$2:$E$4000=$AB165)*('2016 E Maize Soil VWC'!$F$2:$F$4000=AK$5),'2016 E Maize Soil VWC'!$G$2:$G$4000)</f>
        <v>0.33938425468974665</v>
      </c>
      <c r="AL165" s="1" cm="1">
        <f t="array" ref="AL165">_xlfn.XLOOKUP(1,('2016 E Maize Soil VWC'!$C$2:$C$4000=$AA165)*('2016 E Maize Soil VWC'!$E$2:$E$4000=$AB165)*('2016 E Maize Soil VWC'!$F$2:$F$4000=AL$5),'2016 E Maize Soil VWC'!$G$2:$G$4000)</f>
        <v>0.33521676364568587</v>
      </c>
      <c r="AM165" s="1" cm="1">
        <f t="array" ref="AM165">_xlfn.XLOOKUP(1,('2016 E Maize Soil VWC'!$C$2:$C$4000=$AA165)*('2016 E Maize Soil VWC'!$E$2:$E$4000=$AB165)*('2016 E Maize Soil VWC'!$F$2:$F$4000=AM$5),'2016 E Maize Soil VWC'!$G$2:$G$4000)</f>
        <v>0.32246240918666474</v>
      </c>
      <c r="AN165" s="1" cm="1">
        <f t="array" ref="AN165">_xlfn.XLOOKUP(1,('2016 E Maize Soil VWC'!$C$2:$C$4000=$AA165)*('2016 E Maize Soil VWC'!$E$2:$E$4000=$AB165)*('2016 E Maize Soil VWC'!$F$2:$F$4000=AN$5),'2016 E Maize Soil VWC'!$G$2:$G$4000)</f>
        <v>0.30897530904956699</v>
      </c>
      <c r="AO165" s="1" cm="1">
        <f t="array" ref="AO165">_xlfn.XLOOKUP(1,('2016 E Maize Soil VWC'!$C$2:$C$4000=$AA165)*('2016 E Maize Soil VWC'!$E$2:$E$4000=$AB165)*('2016 E Maize Soil VWC'!$F$2:$F$4000=AO$5),'2016 E Maize Soil VWC'!$G$2:$G$4000)</f>
        <v>0.3019455302005194</v>
      </c>
      <c r="AP165" s="1" cm="1">
        <f t="array" ref="AP165">_xlfn.XLOOKUP(1,('2016 E Maize Soil VWC'!$C$2:$C$4000=$AA165)*('2016 E Maize Soil VWC'!$E$2:$E$4000=$AB165)*('2016 E Maize Soil VWC'!$F$2:$F$4000=AP$5),'2016 E Maize Soil VWC'!$G$2:$G$4000)</f>
        <v>0.32008098573291571</v>
      </c>
      <c r="AQ165" s="1" cm="1">
        <f t="array" ref="AQ165">_xlfn.XLOOKUP(1,('2016 E Maize Soil VWC'!$C$2:$C$4000=$AA165)*('2016 E Maize Soil VWC'!$E$2:$E$4000=$AB165)*('2016 E Maize Soil VWC'!$F$2:$F$4000=AQ$5),'2016 E Maize Soil VWC'!$G$2:$G$4000)</f>
        <v>0.32736264590880215</v>
      </c>
      <c r="AR165" s="1" cm="1">
        <f t="array" ref="AR165">_xlfn.XLOOKUP(1,('2016 E Maize Soil VWC'!$C$2:$C$4000=$AA165)*('2016 E Maize Soil VWC'!$E$2:$E$4000=$AB165)*('2016 E Maize Soil VWC'!$F$2:$F$4000=AR$5),'2016 E Maize Soil VWC'!$G$2:$G$4000)</f>
        <v>0.32649251041608612</v>
      </c>
      <c r="AS165" s="1" cm="1">
        <f t="array" ref="AS165">_xlfn.XLOOKUP(1,('2016 E Maize Soil VWC'!$C$2:$C$4000=$AA165)*('2016 E Maize Soil VWC'!$E$2:$E$4000=$AB165)*('2016 E Maize Soil VWC'!$F$2:$F$4000=AS$5),'2016 E Maize Soil VWC'!$G$2:$G$4000)</f>
        <v>0.33739210237747586</v>
      </c>
      <c r="AT165" s="1" cm="1">
        <f t="array" ref="AT165">_xlfn.XLOOKUP(1,('2016 E Maize Soil VWC'!$C$2:$C$4000=$AA165)*('2016 E Maize Soil VWC'!$E$2:$E$4000=$AB165)*('2016 E Maize Soil VWC'!$F$2:$F$4000=AT$5),'2016 E Maize Soil VWC'!$G$2:$G$4000)</f>
        <v>0.32507281566481272</v>
      </c>
      <c r="AU165" s="1" cm="1">
        <f t="array" ref="AU165">_xlfn.XLOOKUP(1,('2016 E Maize Soil VWC'!$C$2:$C$4000=$AA165)*('2016 E Maize Soil VWC'!$E$2:$E$4000=$AB165)*('2016 E Maize Soil VWC'!$F$2:$F$4000=AU$5),'2016 E Maize Soil VWC'!$G$2:$G$4000)</f>
        <v>0.3136465627473054</v>
      </c>
      <c r="AV165" s="1" cm="1">
        <f t="array" ref="AV165">_xlfn.XLOOKUP(1,('2016 E Maize Soil VWC'!$C$2:$C$4000=$AA165)*('2016 E Maize Soil VWC'!$E$2:$E$4000=$AB165)*('2016 E Maize Soil VWC'!$F$2:$F$4000=AV$5),'2016 E Maize Soil VWC'!$G$2:$G$4000)</f>
        <v>0.32537049359653131</v>
      </c>
    </row>
    <row r="166" spans="25:64" x14ac:dyDescent="0.25">
      <c r="AA166" s="18">
        <f t="shared" si="27"/>
        <v>42625</v>
      </c>
      <c r="AB166" s="1">
        <f t="shared" si="28"/>
        <v>90</v>
      </c>
      <c r="AC166" s="1" cm="1">
        <f t="array" ref="AC166">_xlfn.XLOOKUP(1,('2016 E Maize Soil VWC'!$C$2:$C$4000=$AA166)*('2016 E Maize Soil VWC'!$E$2:$E$4000=$AB166)*('2016 E Maize Soil VWC'!$F$2:$F$4000=AC$5),'2016 E Maize Soil VWC'!$G$2:$G$4000)</f>
        <v>0.31073847833743884</v>
      </c>
      <c r="AD166" s="1" cm="1">
        <f t="array" ref="AD166">_xlfn.XLOOKUP(1,('2016 E Maize Soil VWC'!$C$2:$C$4000=$AA166)*('2016 E Maize Soil VWC'!$E$2:$E$4000=$AB166)*('2016 E Maize Soil VWC'!$F$2:$F$4000=AD$5),'2016 E Maize Soil VWC'!$G$2:$G$4000)</f>
        <v>0.31829491814260402</v>
      </c>
      <c r="AE166" s="1" cm="1">
        <f t="array" ref="AE166">_xlfn.XLOOKUP(1,('2016 E Maize Soil VWC'!$C$2:$C$4000=$AA166)*('2016 E Maize Soil VWC'!$E$2:$E$4000=$AB166)*('2016 E Maize Soil VWC'!$F$2:$F$4000=AE$5),'2016 E Maize Soil VWC'!$G$2:$G$4000)</f>
        <v>0.31023471568376121</v>
      </c>
      <c r="AF166" s="1" cm="1">
        <f t="array" ref="AF166">_xlfn.XLOOKUP(1,('2016 E Maize Soil VWC'!$C$2:$C$4000=$AA166)*('2016 E Maize Soil VWC'!$E$2:$E$4000=$AB166)*('2016 E Maize Soil VWC'!$F$2:$F$4000=AF$5),'2016 E Maize Soil VWC'!$G$2:$G$4000)</f>
        <v>0.31751637585964754</v>
      </c>
      <c r="AG166" s="1" cm="1">
        <f t="array" ref="AG166">_xlfn.XLOOKUP(1,('2016 E Maize Soil VWC'!$C$2:$C$4000=$AA166)*('2016 E Maize Soil VWC'!$E$2:$E$4000=$AB166)*('2016 E Maize Soil VWC'!$F$2:$F$4000=AG$5),'2016 E Maize Soil VWC'!$G$2:$G$4000)</f>
        <v>0.32717945948928295</v>
      </c>
      <c r="AH166" s="1" cm="1">
        <f t="array" ref="AH166">_xlfn.XLOOKUP(1,('2016 E Maize Soil VWC'!$C$2:$C$4000=$AA166)*('2016 E Maize Soil VWC'!$E$2:$E$4000=$AB166)*('2016 E Maize Soil VWC'!$F$2:$F$4000=AH$5),'2016 E Maize Soil VWC'!$G$2:$G$4000)</f>
        <v>0.31298251197654853</v>
      </c>
      <c r="AI166" s="1" cm="1">
        <f t="array" ref="AI166">_xlfn.XLOOKUP(1,('2016 E Maize Soil VWC'!$C$2:$C$4000=$AA166)*('2016 E Maize Soil VWC'!$E$2:$E$4000=$AB166)*('2016 E Maize Soil VWC'!$F$2:$F$4000=AI$5),'2016 E Maize Soil VWC'!$G$2:$G$4000)</f>
        <v>0.32420268017209675</v>
      </c>
      <c r="AJ166" s="1" cm="1">
        <f t="array" ref="AJ166">_xlfn.XLOOKUP(1,('2016 E Maize Soil VWC'!$C$2:$C$4000=$AA166)*('2016 E Maize Soil VWC'!$E$2:$E$4000=$AB166)*('2016 E Maize Soil VWC'!$F$2:$F$4000=AJ$5),'2016 E Maize Soil VWC'!$G$2:$G$4000)</f>
        <v>0.31753927416208744</v>
      </c>
      <c r="AK166" s="1" cm="1">
        <f t="array" ref="AK166">_xlfn.XLOOKUP(1,('2016 E Maize Soil VWC'!$C$2:$C$4000=$AA166)*('2016 E Maize Soil VWC'!$E$2:$E$4000=$AB166)*('2016 E Maize Soil VWC'!$F$2:$F$4000=AK$5),'2016 E Maize Soil VWC'!$G$2:$G$4000)</f>
        <v>0.32511861226969252</v>
      </c>
      <c r="AL166" s="1" cm="1">
        <f t="array" ref="AL166">_xlfn.XLOOKUP(1,('2016 E Maize Soil VWC'!$C$2:$C$4000=$AA166)*('2016 E Maize Soil VWC'!$E$2:$E$4000=$AB166)*('2016 E Maize Soil VWC'!$F$2:$F$4000=AL$5),'2016 E Maize Soil VWC'!$G$2:$G$4000)</f>
        <v>0.32172966350858812</v>
      </c>
      <c r="AM166" s="1" cm="1">
        <f t="array" ref="AM166">_xlfn.XLOOKUP(1,('2016 E Maize Soil VWC'!$C$2:$C$4000=$AA166)*('2016 E Maize Soil VWC'!$E$2:$E$4000=$AB166)*('2016 E Maize Soil VWC'!$F$2:$F$4000=AM$5),'2016 E Maize Soil VWC'!$G$2:$G$4000)</f>
        <v>0.28909958253173873</v>
      </c>
      <c r="AN166" s="1" cm="1">
        <f t="array" ref="AN166">_xlfn.XLOOKUP(1,('2016 E Maize Soil VWC'!$C$2:$C$4000=$AA166)*('2016 E Maize Soil VWC'!$E$2:$E$4000=$AB166)*('2016 E Maize Soil VWC'!$F$2:$F$4000=AN$5),'2016 E Maize Soil VWC'!$G$2:$G$4000)</f>
        <v>0.28582512528283383</v>
      </c>
      <c r="AO166" s="1" cm="1">
        <f t="array" ref="AO166">_xlfn.XLOOKUP(1,('2016 E Maize Soil VWC'!$C$2:$C$4000=$AA166)*('2016 E Maize Soil VWC'!$E$2:$E$4000=$AB166)*('2016 E Maize Soil VWC'!$F$2:$F$4000=AO$5),'2016 E Maize Soil VWC'!$G$2:$G$4000)</f>
        <v>0.28186371896073209</v>
      </c>
      <c r="AP166" s="1" cm="1">
        <f t="array" ref="AP166">_xlfn.XLOOKUP(1,('2016 E Maize Soil VWC'!$C$2:$C$4000=$AA166)*('2016 E Maize Soil VWC'!$E$2:$E$4000=$AB166)*('2016 E Maize Soil VWC'!$F$2:$F$4000=AP$5),'2016 E Maize Soil VWC'!$G$2:$G$4000)</f>
        <v>0.28268805784856832</v>
      </c>
      <c r="AQ166" s="1" cm="1">
        <f t="array" ref="AQ166">_xlfn.XLOOKUP(1,('2016 E Maize Soil VWC'!$C$2:$C$4000=$AA166)*('2016 E Maize Soil VWC'!$E$2:$E$4000=$AB166)*('2016 E Maize Soil VWC'!$F$2:$F$4000=AQ$5),'2016 E Maize Soil VWC'!$G$2:$G$4000)</f>
        <v>0.3122955629033517</v>
      </c>
      <c r="AR166" s="1" cm="1">
        <f t="array" ref="AR166">_xlfn.XLOOKUP(1,('2016 E Maize Soil VWC'!$C$2:$C$4000=$AA166)*('2016 E Maize Soil VWC'!$E$2:$E$4000=$AB166)*('2016 E Maize Soil VWC'!$F$2:$F$4000=AR$5),'2016 E Maize Soil VWC'!$G$2:$G$4000)</f>
        <v>0.31273063064970963</v>
      </c>
      <c r="AS166" s="1" cm="1">
        <f t="array" ref="AS166">_xlfn.XLOOKUP(1,('2016 E Maize Soil VWC'!$C$2:$C$4000=$AA166)*('2016 E Maize Soil VWC'!$E$2:$E$4000=$AB166)*('2016 E Maize Soil VWC'!$F$2:$F$4000=AS$5),'2016 E Maize Soil VWC'!$G$2:$G$4000)</f>
        <v>0.32278298542082329</v>
      </c>
      <c r="AT166" s="1" cm="1">
        <f t="array" ref="AT166">_xlfn.XLOOKUP(1,('2016 E Maize Soil VWC'!$C$2:$C$4000=$AA166)*('2016 E Maize Soil VWC'!$E$2:$E$4000=$AB166)*('2016 E Maize Soil VWC'!$F$2:$F$4000=AT$5),'2016 E Maize Soil VWC'!$G$2:$G$4000)</f>
        <v>0.31206657987895275</v>
      </c>
      <c r="AU166" s="1" cm="1">
        <f t="array" ref="AU166">_xlfn.XLOOKUP(1,('2016 E Maize Soil VWC'!$C$2:$C$4000=$AA166)*('2016 E Maize Soil VWC'!$E$2:$E$4000=$AB166)*('2016 E Maize Soil VWC'!$F$2:$F$4000=AU$5),'2016 E Maize Soil VWC'!$G$2:$G$4000)</f>
        <v>0.29457227681487347</v>
      </c>
      <c r="AV166" s="1" cm="1">
        <f t="array" ref="AV166">_xlfn.XLOOKUP(1,('2016 E Maize Soil VWC'!$C$2:$C$4000=$AA166)*('2016 E Maize Soil VWC'!$E$2:$E$4000=$AB166)*('2016 E Maize Soil VWC'!$F$2:$F$4000=AV$5),'2016 E Maize Soil VWC'!$G$2:$G$4000)</f>
        <v>0.29912903900041243</v>
      </c>
    </row>
    <row r="167" spans="25:64" x14ac:dyDescent="0.25">
      <c r="AA167" s="18">
        <f t="shared" si="27"/>
        <v>42625</v>
      </c>
      <c r="AB167" s="1">
        <f t="shared" si="28"/>
        <v>110</v>
      </c>
      <c r="AC167" s="1" cm="1">
        <f t="array" ref="AC167">_xlfn.XLOOKUP(1,('2016 E Maize Soil VWC'!$C$2:$C$4000=$AA167)*('2016 E Maize Soil VWC'!$E$2:$E$4000=$AB167)*('2016 E Maize Soil VWC'!$F$2:$F$4000=AC$5),'2016 E Maize Soil VWC'!$G$2:$G$4000)</f>
        <v>0.32420268017209675</v>
      </c>
      <c r="AD167" s="1" cm="1">
        <f t="array" ref="AD167">_xlfn.XLOOKUP(1,('2016 E Maize Soil VWC'!$C$2:$C$4000=$AA167)*('2016 E Maize Soil VWC'!$E$2:$E$4000=$AB167)*('2016 E Maize Soil VWC'!$F$2:$F$4000=AD$5),'2016 E Maize Soil VWC'!$G$2:$G$4000)</f>
        <v>0.31941693496215884</v>
      </c>
      <c r="AE167" s="1" cm="1">
        <f t="array" ref="AE167">_xlfn.XLOOKUP(1,('2016 E Maize Soil VWC'!$C$2:$C$4000=$AA167)*('2016 E Maize Soil VWC'!$E$2:$E$4000=$AB167)*('2016 E Maize Soil VWC'!$F$2:$F$4000=AE$5),'2016 E Maize Soil VWC'!$G$2:$G$4000)</f>
        <v>0.31112774947891703</v>
      </c>
      <c r="AF167" s="1" cm="1">
        <f t="array" ref="AF167">_xlfn.XLOOKUP(1,('2016 E Maize Soil VWC'!$C$2:$C$4000=$AA167)*('2016 E Maize Soil VWC'!$E$2:$E$4000=$AB167)*('2016 E Maize Soil VWC'!$F$2:$F$4000=AF$5),'2016 E Maize Soil VWC'!$G$2:$G$4000)</f>
        <v>0.32079083310855244</v>
      </c>
      <c r="AG167" s="1" cm="1">
        <f t="array" ref="AG167">_xlfn.XLOOKUP(1,('2016 E Maize Soil VWC'!$C$2:$C$4000=$AA167)*('2016 E Maize Soil VWC'!$E$2:$E$4000=$AB167)*('2016 E Maize Soil VWC'!$F$2:$F$4000=AG$5),'2016 E Maize Soil VWC'!$G$2:$G$4000)</f>
        <v>0.32106561273783119</v>
      </c>
      <c r="AH167" s="1" cm="1">
        <f t="array" ref="AH167">_xlfn.XLOOKUP(1,('2016 E Maize Soil VWC'!$C$2:$C$4000=$AA167)*('2016 E Maize Soil VWC'!$E$2:$E$4000=$AB167)*('2016 E Maize Soil VWC'!$F$2:$F$4000=AH$5),'2016 E Maize Soil VWC'!$G$2:$G$4000)</f>
        <v>0.30856313960564885</v>
      </c>
      <c r="AI167" s="1" cm="1">
        <f t="array" ref="AI167">_xlfn.XLOOKUP(1,('2016 E Maize Soil VWC'!$C$2:$C$4000=$AA167)*('2016 E Maize Soil VWC'!$E$2:$E$4000=$AB167)*('2016 E Maize Soil VWC'!$F$2:$F$4000=AI$5),'2016 E Maize Soil VWC'!$G$2:$G$4000)</f>
        <v>0.32360732430865946</v>
      </c>
      <c r="AJ167" s="1" cm="1">
        <f t="array" ref="AJ167">_xlfn.XLOOKUP(1,('2016 E Maize Soil VWC'!$C$2:$C$4000=$AA167)*('2016 E Maize Soil VWC'!$E$2:$E$4000=$AB167)*('2016 E Maize Soil VWC'!$F$2:$F$4000=AJ$5),'2016 E Maize Soil VWC'!$G$2:$G$4000)</f>
        <v>0.32873654405519581</v>
      </c>
      <c r="AK167" s="1" cm="1">
        <f t="array" ref="AK167">_xlfn.XLOOKUP(1,('2016 E Maize Soil VWC'!$C$2:$C$4000=$AA167)*('2016 E Maize Soil VWC'!$E$2:$E$4000=$AB167)*('2016 E Maize Soil VWC'!$F$2:$F$4000=AK$5),'2016 E Maize Soil VWC'!$G$2:$G$4000)</f>
        <v>0.32743134081612185</v>
      </c>
      <c r="AL167" s="1" cm="1">
        <f t="array" ref="AL167">_xlfn.XLOOKUP(1,('2016 E Maize Soil VWC'!$C$2:$C$4000=$AA167)*('2016 E Maize Soil VWC'!$E$2:$E$4000=$AB167)*('2016 E Maize Soil VWC'!$F$2:$F$4000=AL$5),'2016 E Maize Soil VWC'!$G$2:$G$4000)</f>
        <v>0.32317225656230147</v>
      </c>
      <c r="AM167" s="1" cm="1">
        <f t="array" ref="AM167">_xlfn.XLOOKUP(1,('2016 E Maize Soil VWC'!$C$2:$C$4000=$AA167)*('2016 E Maize Soil VWC'!$E$2:$E$4000=$AB167)*('2016 E Maize Soil VWC'!$F$2:$F$4000=AM$5),'2016 E Maize Soil VWC'!$G$2:$G$4000)</f>
        <v>0.28964914179029616</v>
      </c>
      <c r="AN167" s="1" cm="1">
        <f t="array" ref="AN167">_xlfn.XLOOKUP(1,('2016 E Maize Soil VWC'!$C$2:$C$4000=$AA167)*('2016 E Maize Soil VWC'!$E$2:$E$4000=$AB167)*('2016 E Maize Soil VWC'!$F$2:$F$4000=AN$5),'2016 E Maize Soil VWC'!$G$2:$G$4000)</f>
        <v>0.30918139377152604</v>
      </c>
      <c r="AO167" s="1" cm="1">
        <f t="array" ref="AO167">_xlfn.XLOOKUP(1,('2016 E Maize Soil VWC'!$C$2:$C$4000=$AA167)*('2016 E Maize Soil VWC'!$E$2:$E$4000=$AB167)*('2016 E Maize Soil VWC'!$F$2:$F$4000=AO$5),'2016 E Maize Soil VWC'!$G$2:$G$4000)</f>
        <v>0.31002863096180211</v>
      </c>
      <c r="AP167" s="1" cm="1">
        <f t="array" ref="AP167">_xlfn.XLOOKUP(1,('2016 E Maize Soil VWC'!$C$2:$C$4000=$AA167)*('2016 E Maize Soil VWC'!$E$2:$E$4000=$AB167)*('2016 E Maize Soil VWC'!$F$2:$F$4000=AP$5),'2016 E Maize Soil VWC'!$G$2:$G$4000)</f>
        <v>0.29999917449312841</v>
      </c>
      <c r="AQ167" s="1" cm="1">
        <f t="array" ref="AQ167">_xlfn.XLOOKUP(1,('2016 E Maize Soil VWC'!$C$2:$C$4000=$AA167)*('2016 E Maize Soil VWC'!$E$2:$E$4000=$AB167)*('2016 E Maize Soil VWC'!$F$2:$F$4000=AQ$5),'2016 E Maize Soil VWC'!$G$2:$G$4000)</f>
        <v>0.30931878358616544</v>
      </c>
      <c r="AR167" s="1" cm="1">
        <f t="array" ref="AR167">_xlfn.XLOOKUP(1,('2016 E Maize Soil VWC'!$C$2:$C$4000=$AA167)*('2016 E Maize Soil VWC'!$E$2:$E$4000=$AB167)*('2016 E Maize Soil VWC'!$F$2:$F$4000=AR$5),'2016 E Maize Soil VWC'!$G$2:$G$4000)</f>
        <v>0.3137610542595049</v>
      </c>
      <c r="AS167" s="1" cm="1">
        <f t="array" ref="AS167">_xlfn.XLOOKUP(1,('2016 E Maize Soil VWC'!$C$2:$C$4000=$AA167)*('2016 E Maize Soil VWC'!$E$2:$E$4000=$AB167)*('2016 E Maize Soil VWC'!$F$2:$F$4000=AS$5),'2016 E Maize Soil VWC'!$G$2:$G$4000)</f>
        <v>0.31781405379136618</v>
      </c>
      <c r="AT167" s="1" cm="1">
        <f t="array" ref="AT167">_xlfn.XLOOKUP(1,('2016 E Maize Soil VWC'!$C$2:$C$4000=$AA167)*('2016 E Maize Soil VWC'!$E$2:$E$4000=$AB167)*('2016 E Maize Soil VWC'!$F$2:$F$4000=AT$5),'2016 E Maize Soil VWC'!$G$2:$G$4000)</f>
        <v>0.31362366444486556</v>
      </c>
      <c r="AU167" s="1" cm="1">
        <f t="array" ref="AU167">_xlfn.XLOOKUP(1,('2016 E Maize Soil VWC'!$C$2:$C$4000=$AA167)*('2016 E Maize Soil VWC'!$E$2:$E$4000=$AB167)*('2016 E Maize Soil VWC'!$F$2:$F$4000=AU$5),'2016 E Maize Soil VWC'!$G$2:$G$4000)</f>
        <v>0.31781405379136618</v>
      </c>
      <c r="AV167" s="1" cm="1">
        <f t="array" ref="AV167">_xlfn.XLOOKUP(1,('2016 E Maize Soil VWC'!$C$2:$C$4000=$AA167)*('2016 E Maize Soil VWC'!$E$2:$E$4000=$AB167)*('2016 E Maize Soil VWC'!$F$2:$F$4000=AV$5),'2016 E Maize Soil VWC'!$G$2:$G$4000)</f>
        <v>0.29626675119542561</v>
      </c>
    </row>
    <row r="168" spans="25:64" x14ac:dyDescent="0.25">
      <c r="AA168" s="18">
        <f t="shared" si="27"/>
        <v>42625</v>
      </c>
      <c r="AB168" s="1">
        <f t="shared" si="28"/>
        <v>130</v>
      </c>
      <c r="AC168" s="1" cm="1">
        <f t="array" ref="AC168">_xlfn.XLOOKUP(1,('2016 E Maize Soil VWC'!$C$2:$C$4000=$AA168)*('2016 E Maize Soil VWC'!$E$2:$E$4000=$AB168)*('2016 E Maize Soil VWC'!$F$2:$F$4000=AC$5),'2016 E Maize Soil VWC'!$G$2:$G$4000)</f>
        <v>0.30708293329023489</v>
      </c>
      <c r="AD168" s="1" cm="1">
        <f t="array" ref="AD168">_xlfn.XLOOKUP(1,('2016 E Maize Soil VWC'!$C$2:$C$4000=$AA168)*('2016 E Maize Soil VWC'!$E$2:$E$4000=$AB168)*('2016 E Maize Soil VWC'!$F$2:$F$4000=AD$5),'2016 E Maize Soil VWC'!$G$2:$G$4000)</f>
        <v>0.29639692001515883</v>
      </c>
      <c r="AE168" s="1" cm="1">
        <f t="array" ref="AE168">_xlfn.XLOOKUP(1,('2016 E Maize Soil VWC'!$C$2:$C$4000=$AA168)*('2016 E Maize Soil VWC'!$E$2:$E$4000=$AB168)*('2016 E Maize Soil VWC'!$F$2:$F$4000=AE$5),'2016 E Maize Soil VWC'!$G$2:$G$4000)</f>
        <v>0.29571566233824137</v>
      </c>
      <c r="AF168" s="1" cm="1">
        <f t="array" ref="AF168">_xlfn.XLOOKUP(1,('2016 E Maize Soil VWC'!$C$2:$C$4000=$AA168)*('2016 E Maize Soil VWC'!$E$2:$E$4000=$AB168)*('2016 E Maize Soil VWC'!$F$2:$F$4000=AF$5),'2016 E Maize Soil VWC'!$G$2:$G$4000)</f>
        <v>0.29715603571229537</v>
      </c>
      <c r="AG168" s="1" cm="1">
        <f t="array" ref="AG168">_xlfn.XLOOKUP(1,('2016 E Maize Soil VWC'!$C$2:$C$4000=$AA168)*('2016 E Maize Soil VWC'!$E$2:$E$4000=$AB168)*('2016 E Maize Soil VWC'!$F$2:$F$4000=AG$5),'2016 E Maize Soil VWC'!$G$2:$G$4000)</f>
        <v>0.30961331894735677</v>
      </c>
      <c r="AH168" s="1" cm="1">
        <f t="array" ref="AH168">_xlfn.XLOOKUP(1,('2016 E Maize Soil VWC'!$C$2:$C$4000=$AA168)*('2016 E Maize Soil VWC'!$E$2:$E$4000=$AB168)*('2016 E Maize Soil VWC'!$F$2:$F$4000=AH$5),'2016 E Maize Soil VWC'!$G$2:$G$4000)</f>
        <v>0.29997838894523898</v>
      </c>
      <c r="AI168" s="1" cm="1">
        <f t="array" ref="AI168">_xlfn.XLOOKUP(1,('2016 E Maize Soil VWC'!$C$2:$C$4000=$AA168)*('2016 E Maize Soil VWC'!$E$2:$E$4000=$AB168)*('2016 E Maize Soil VWC'!$F$2:$F$4000=AI$5),'2016 E Maize Soil VWC'!$G$2:$G$4000)</f>
        <v>0.30283967118829214</v>
      </c>
      <c r="AJ168" s="1" cm="1">
        <f t="array" ref="AJ168">_xlfn.XLOOKUP(1,('2016 E Maize Soil VWC'!$C$2:$C$4000=$AA168)*('2016 E Maize Soil VWC'!$E$2:$E$4000=$AB168)*('2016 E Maize Soil VWC'!$F$2:$F$4000=AJ$5),'2016 E Maize Soil VWC'!$G$2:$G$4000)</f>
        <v>0.33079070044696107</v>
      </c>
      <c r="AK168" s="1" cm="1">
        <f t="array" ref="AK168">_xlfn.XLOOKUP(1,('2016 E Maize Soil VWC'!$C$2:$C$4000=$AA168)*('2016 E Maize Soil VWC'!$E$2:$E$4000=$AB168)*('2016 E Maize Soil VWC'!$F$2:$F$4000=AK$5),'2016 E Maize Soil VWC'!$G$2:$G$4000)</f>
        <v>0.29376921183276306</v>
      </c>
      <c r="AL168" s="1" cm="1">
        <f t="array" ref="AL168">_xlfn.XLOOKUP(1,('2016 E Maize Soil VWC'!$C$2:$C$4000=$AA168)*('2016 E Maize Soil VWC'!$E$2:$E$4000=$AB168)*('2016 E Maize Soil VWC'!$F$2:$F$4000=AL$5),'2016 E Maize Soil VWC'!$G$2:$G$4000)</f>
        <v>0.30663524967397487</v>
      </c>
      <c r="AM168" s="1" cm="1">
        <f t="array" ref="AM168">_xlfn.XLOOKUP(1,('2016 E Maize Soil VWC'!$C$2:$C$4000=$AA168)*('2016 E Maize Soil VWC'!$E$2:$E$4000=$AB168)*('2016 E Maize Soil VWC'!$F$2:$F$4000=AM$5),'2016 E Maize Soil VWC'!$G$2:$G$4000)</f>
        <v>0.29390546336814655</v>
      </c>
      <c r="AN168" s="1" cm="1">
        <f t="array" ref="AN168">_xlfn.XLOOKUP(1,('2016 E Maize Soil VWC'!$C$2:$C$4000=$AA168)*('2016 E Maize Soil VWC'!$E$2:$E$4000=$AB168)*('2016 E Maize Soil VWC'!$F$2:$F$4000=AN$5),'2016 E Maize Soil VWC'!$G$2:$G$4000)</f>
        <v>0.2770881310008137</v>
      </c>
      <c r="AO168" s="1" cm="1">
        <f t="array" ref="AO168">_xlfn.XLOOKUP(1,('2016 E Maize Soil VWC'!$C$2:$C$4000=$AA168)*('2016 E Maize Soil VWC'!$E$2:$E$4000=$AB168)*('2016 E Maize Soil VWC'!$F$2:$F$4000=AO$5),'2016 E Maize Soil VWC'!$G$2:$G$4000)</f>
        <v>0.30862062918956279</v>
      </c>
      <c r="AP168" s="1" cm="1">
        <f t="array" ref="AP168">_xlfn.XLOOKUP(1,('2016 E Maize Soil VWC'!$C$2:$C$4000=$AA168)*('2016 E Maize Soil VWC'!$E$2:$E$4000=$AB168)*('2016 E Maize Soil VWC'!$F$2:$F$4000=AP$5),'2016 E Maize Soil VWC'!$G$2:$G$4000)</f>
        <v>0.30819241007835751</v>
      </c>
      <c r="AQ168" s="1" cm="1">
        <f t="array" ref="AQ168">_xlfn.XLOOKUP(1,('2016 E Maize Soil VWC'!$C$2:$C$4000=$AA168)*('2016 E Maize Soil VWC'!$E$2:$E$4000=$AB168)*('2016 E Maize Soil VWC'!$F$2:$F$4000=AQ$5),'2016 E Maize Soil VWC'!$G$2:$G$4000)</f>
        <v>0.31749644349454398</v>
      </c>
      <c r="AR168" s="1" cm="1">
        <f t="array" ref="AR168">_xlfn.XLOOKUP(1,('2016 E Maize Soil VWC'!$C$2:$C$4000=$AA168)*('2016 E Maize Soil VWC'!$E$2:$E$4000=$AB168)*('2016 E Maize Soil VWC'!$F$2:$F$4000=AR$5),'2016 E Maize Soil VWC'!$G$2:$G$4000)</f>
        <v>0.29275705756991433</v>
      </c>
      <c r="AS168" s="1" cm="1">
        <f t="array" ref="AS168">_xlfn.XLOOKUP(1,('2016 E Maize Soil VWC'!$C$2:$C$4000=$AA168)*('2016 E Maize Soil VWC'!$E$2:$E$4000=$AB168)*('2016 E Maize Soil VWC'!$F$2:$F$4000=AS$5),'2016 E Maize Soil VWC'!$G$2:$G$4000)</f>
        <v>0.30149662033951202</v>
      </c>
      <c r="AT168" s="1" cm="1">
        <f t="array" ref="AT168">_xlfn.XLOOKUP(1,('2016 E Maize Soil VWC'!$C$2:$C$4000=$AA168)*('2016 E Maize Soil VWC'!$E$2:$E$4000=$AB168)*('2016 E Maize Soil VWC'!$F$2:$F$4000=AT$5),'2016 E Maize Soil VWC'!$G$2:$G$4000)</f>
        <v>0.2983239060155824</v>
      </c>
      <c r="AU168" s="1" cm="1">
        <f t="array" ref="AU168">_xlfn.XLOOKUP(1,('2016 E Maize Soil VWC'!$C$2:$C$4000=$AA168)*('2016 E Maize Soil VWC'!$E$2:$E$4000=$AB168)*('2016 E Maize Soil VWC'!$F$2:$F$4000=AU$5),'2016 E Maize Soil VWC'!$G$2:$G$4000)</f>
        <v>0.29635799100504923</v>
      </c>
      <c r="AV168" s="1" cm="1">
        <f t="array" ref="AV168">_xlfn.XLOOKUP(1,('2016 E Maize Soil VWC'!$C$2:$C$4000=$AA168)*('2016 E Maize Soil VWC'!$E$2:$E$4000=$AB168)*('2016 E Maize Soil VWC'!$F$2:$F$4000=AV$5),'2016 E Maize Soil VWC'!$G$2:$G$4000)</f>
        <v>0.27148235354503608</v>
      </c>
    </row>
    <row r="169" spans="25:64" x14ac:dyDescent="0.25">
      <c r="AA169" s="18">
        <f t="shared" si="27"/>
        <v>42625</v>
      </c>
      <c r="AB169" s="1">
        <f t="shared" si="28"/>
        <v>150</v>
      </c>
      <c r="AC169" s="1" cm="1">
        <f t="array" ref="AC169">_xlfn.XLOOKUP(1,('2016 E Maize Soil VWC'!$C$2:$C$4000=$AA169)*('2016 E Maize Soil VWC'!$E$2:$E$4000=$AB169)*('2016 E Maize Soil VWC'!$F$2:$F$4000=AC$5),'2016 E Maize Soil VWC'!$G$2:$G$4000)</f>
        <v>0.32388080115251294</v>
      </c>
      <c r="AD169" s="1" cm="1">
        <f t="array" ref="AD169">_xlfn.XLOOKUP(1,('2016 E Maize Soil VWC'!$C$2:$C$4000=$AA169)*('2016 E Maize Soil VWC'!$E$2:$E$4000=$AB169)*('2016 E Maize Soil VWC'!$F$2:$F$4000=AD$5),'2016 E Maize Soil VWC'!$G$2:$G$4000)</f>
        <v>0.31611446363565437</v>
      </c>
      <c r="AE169" s="1" cm="1">
        <f t="array" ref="AE169">_xlfn.XLOOKUP(1,('2016 E Maize Soil VWC'!$C$2:$C$4000=$AA169)*('2016 E Maize Soil VWC'!$E$2:$E$4000=$AB169)*('2016 E Maize Soil VWC'!$F$2:$F$4000=AE$5),'2016 E Maize Soil VWC'!$G$2:$G$4000)</f>
        <v>0.2974480032881171</v>
      </c>
      <c r="AF169" s="1" cm="1">
        <f t="array" ref="AF169">_xlfn.XLOOKUP(1,('2016 E Maize Soil VWC'!$C$2:$C$4000=$AA169)*('2016 E Maize Soil VWC'!$E$2:$E$4000=$AB169)*('2016 E Maize Soil VWC'!$F$2:$F$4000=AF$5),'2016 E Maize Soil VWC'!$G$2:$G$4000)</f>
        <v>0.27868422041530594</v>
      </c>
      <c r="AG169" s="1" cm="1">
        <f t="array" ref="AG169">_xlfn.XLOOKUP(1,('2016 E Maize Soil VWC'!$C$2:$C$4000=$AA169)*('2016 E Maize Soil VWC'!$E$2:$E$4000=$AB169)*('2016 E Maize Soil VWC'!$F$2:$F$4000=AG$5),'2016 E Maize Soil VWC'!$G$2:$G$4000)</f>
        <v>0.36039621263528654</v>
      </c>
      <c r="AH169" s="1" cm="1">
        <f t="array" ref="AH169">_xlfn.XLOOKUP(1,('2016 E Maize Soil VWC'!$C$2:$C$4000=$AA169)*('2016 E Maize Soil VWC'!$E$2:$E$4000=$AB169)*('2016 E Maize Soil VWC'!$F$2:$F$4000=AH$5),'2016 E Maize Soil VWC'!$G$2:$G$4000)</f>
        <v>0.34060081099457185</v>
      </c>
      <c r="AI169" s="1" cm="1">
        <f t="array" ref="AI169">_xlfn.XLOOKUP(1,('2016 E Maize Soil VWC'!$C$2:$C$4000=$AA169)*('2016 E Maize Soil VWC'!$E$2:$E$4000=$AB169)*('2016 E Maize Soil VWC'!$F$2:$F$4000=AI$5),'2016 E Maize Soil VWC'!$G$2:$G$4000)</f>
        <v>0.3193455714747484</v>
      </c>
      <c r="AJ169" s="1" cm="1">
        <f t="array" ref="AJ169">_xlfn.XLOOKUP(1,('2016 E Maize Soil VWC'!$C$2:$C$4000=$AA169)*('2016 E Maize Soil VWC'!$E$2:$E$4000=$AB169)*('2016 E Maize Soil VWC'!$F$2:$F$4000=AJ$5),'2016 E Maize Soil VWC'!$G$2:$G$4000)</f>
        <v>0.33077123594190627</v>
      </c>
      <c r="AK169" s="1" cm="1">
        <f t="array" ref="AK169">_xlfn.XLOOKUP(1,('2016 E Maize Soil VWC'!$C$2:$C$4000=$AA169)*('2016 E Maize Soil VWC'!$E$2:$E$4000=$AB169)*('2016 E Maize Soil VWC'!$F$2:$F$4000=AK$5),'2016 E Maize Soil VWC'!$G$2:$G$4000)</f>
        <v>0.32244042777845899</v>
      </c>
      <c r="AL169" s="1" cm="1">
        <f t="array" ref="AL169">_xlfn.XLOOKUP(1,('2016 E Maize Soil VWC'!$C$2:$C$4000=$AA169)*('2016 E Maize Soil VWC'!$E$2:$E$4000=$AB169)*('2016 E Maize Soil VWC'!$F$2:$F$4000=AL$5),'2016 E Maize Soil VWC'!$G$2:$G$4000)</f>
        <v>0.32337472402108858</v>
      </c>
      <c r="AM169" s="1" cm="1">
        <f t="array" ref="AM169">_xlfn.XLOOKUP(1,('2016 E Maize Soil VWC'!$C$2:$C$4000=$AA169)*('2016 E Maize Soil VWC'!$E$2:$E$4000=$AB169)*('2016 E Maize Soil VWC'!$F$2:$F$4000=AM$5),'2016 E Maize Soil VWC'!$G$2:$G$4000)</f>
        <v>0.32318007897054074</v>
      </c>
      <c r="AN169" s="1" cm="1">
        <f t="array" ref="AN169">_xlfn.XLOOKUP(1,('2016 E Maize Soil VWC'!$C$2:$C$4000=$AA169)*('2016 E Maize Soil VWC'!$E$2:$E$4000=$AB169)*('2016 E Maize Soil VWC'!$F$2:$F$4000=AN$5),'2016 E Maize Soil VWC'!$G$2:$G$4000)</f>
        <v>0.317223940423777</v>
      </c>
      <c r="AO169" s="1" cm="1">
        <f t="array" ref="AO169">_xlfn.XLOOKUP(1,('2016 E Maize Soil VWC'!$C$2:$C$4000=$AA169)*('2016 E Maize Soil VWC'!$E$2:$E$4000=$AB169)*('2016 E Maize Soil VWC'!$F$2:$F$4000=AO$5),'2016 E Maize Soil VWC'!$G$2:$G$4000)</f>
        <v>0.29631906199493968</v>
      </c>
      <c r="AP169" s="1" cm="1">
        <f t="array" ref="AP169">_xlfn.XLOOKUP(1,('2016 E Maize Soil VWC'!$C$2:$C$4000=$AA169)*('2016 E Maize Soil VWC'!$E$2:$E$4000=$AB169)*('2016 E Maize Soil VWC'!$F$2:$F$4000=AP$5),'2016 E Maize Soil VWC'!$G$2:$G$4000)</f>
        <v>0.29511226268154311</v>
      </c>
      <c r="AQ169" s="1" cm="1">
        <f t="array" ref="AQ169">_xlfn.XLOOKUP(1,('2016 E Maize Soil VWC'!$C$2:$C$4000=$AA169)*('2016 E Maize Soil VWC'!$E$2:$E$4000=$AB169)*('2016 E Maize Soil VWC'!$F$2:$F$4000=AQ$5),'2016 E Maize Soil VWC'!$G$2:$G$4000)</f>
        <v>0.30963278345241152</v>
      </c>
      <c r="AR169" s="1" cm="1">
        <f t="array" ref="AR169">_xlfn.XLOOKUP(1,('2016 E Maize Soil VWC'!$C$2:$C$4000=$AA169)*('2016 E Maize Soil VWC'!$E$2:$E$4000=$AB169)*('2016 E Maize Soil VWC'!$F$2:$F$4000=AR$5),'2016 E Maize Soil VWC'!$G$2:$G$4000)</f>
        <v>0.32321900798065029</v>
      </c>
      <c r="AS169" s="1" cm="1">
        <f t="array" ref="AS169">_xlfn.XLOOKUP(1,('2016 E Maize Soil VWC'!$C$2:$C$4000=$AA169)*('2016 E Maize Soil VWC'!$E$2:$E$4000=$AB169)*('2016 E Maize Soil VWC'!$F$2:$F$4000=AS$5),'2016 E Maize Soil VWC'!$G$2:$G$4000)</f>
        <v>0.30239198757203212</v>
      </c>
      <c r="AT169" s="1" cm="1">
        <f t="array" ref="AT169">_xlfn.XLOOKUP(1,('2016 E Maize Soil VWC'!$C$2:$C$4000=$AA169)*('2016 E Maize Soil VWC'!$E$2:$E$4000=$AB169)*('2016 E Maize Soil VWC'!$F$2:$F$4000=AT$5),'2016 E Maize Soil VWC'!$G$2:$G$4000)</f>
        <v>0.3275011990927027</v>
      </c>
      <c r="AU169" s="1" cm="1">
        <f t="array" ref="AU169">_xlfn.XLOOKUP(1,('2016 E Maize Soil VWC'!$C$2:$C$4000=$AA169)*('2016 E Maize Soil VWC'!$E$2:$E$4000=$AB169)*('2016 E Maize Soil VWC'!$F$2:$F$4000=AU$5),'2016 E Maize Soil VWC'!$G$2:$G$4000)</f>
        <v>0.31541374145368217</v>
      </c>
      <c r="AV169" s="1" cm="1">
        <f t="array" ref="AV169">_xlfn.XLOOKUP(1,('2016 E Maize Soil VWC'!$C$2:$C$4000=$AA169)*('2016 E Maize Soil VWC'!$E$2:$E$4000=$AB169)*('2016 E Maize Soil VWC'!$F$2:$F$4000=AV$5),'2016 E Maize Soil VWC'!$G$2:$G$4000)</f>
        <v>0.32870799840609921</v>
      </c>
    </row>
    <row r="170" spans="25:64" x14ac:dyDescent="0.25">
      <c r="AA170" s="18">
        <f t="shared" si="27"/>
        <v>42625</v>
      </c>
      <c r="AB170" s="1">
        <f t="shared" si="28"/>
        <v>170</v>
      </c>
      <c r="AC170" s="1" cm="1">
        <f t="array" ref="AC170">_xlfn.XLOOKUP(1,('2016 E Maize Soil VWC'!$C$2:$C$4000=$AA170)*('2016 E Maize Soil VWC'!$E$2:$E$4000=$AB170)*('2016 E Maize Soil VWC'!$F$2:$F$4000=AC$5),'2016 E Maize Soil VWC'!$G$2:$G$4000)</f>
        <v>0.26723909144309332</v>
      </c>
      <c r="AD170" s="1" cm="1">
        <f t="array" ref="AD170">_xlfn.XLOOKUP(1,('2016 E Maize Soil VWC'!$C$2:$C$4000=$AA170)*('2016 E Maize Soil VWC'!$E$2:$E$4000=$AB170)*('2016 E Maize Soil VWC'!$F$2:$F$4000=AD$5),'2016 E Maize Soil VWC'!$G$2:$G$4000)</f>
        <v>0.25746790990559204</v>
      </c>
      <c r="AE170" s="1" cm="1">
        <f t="array" ref="AE170">_xlfn.XLOOKUP(1,('2016 E Maize Soil VWC'!$C$2:$C$4000=$AA170)*('2016 E Maize Soil VWC'!$E$2:$E$4000=$AB170)*('2016 E Maize Soil VWC'!$F$2:$F$4000=AE$5),'2016 E Maize Soil VWC'!$G$2:$G$4000)</f>
        <v>0.26700551738243594</v>
      </c>
      <c r="AF170" s="1" cm="1">
        <f t="array" ref="AF170">_xlfn.XLOOKUP(1,('2016 E Maize Soil VWC'!$C$2:$C$4000=$AA170)*('2016 E Maize Soil VWC'!$E$2:$E$4000=$AB170)*('2016 E Maize Soil VWC'!$F$2:$F$4000=AF$5),'2016 E Maize Soil VWC'!$G$2:$G$4000)</f>
        <v>0.27959905215288078</v>
      </c>
      <c r="AG170" s="1" cm="1">
        <f t="array" ref="AG170">_xlfn.XLOOKUP(1,('2016 E Maize Soil VWC'!$C$2:$C$4000=$AA170)*('2016 E Maize Soil VWC'!$E$2:$E$4000=$AB170)*('2016 E Maize Soil VWC'!$F$2:$F$4000=AG$5),'2016 E Maize Soil VWC'!$G$2:$G$4000)</f>
        <v>0.32238203426329465</v>
      </c>
      <c r="AH170" s="1" cm="1">
        <f t="array" ref="AH170">_xlfn.XLOOKUP(1,('2016 E Maize Soil VWC'!$C$2:$C$4000=$AA170)*('2016 E Maize Soil VWC'!$E$2:$E$4000=$AB170)*('2016 E Maize Soil VWC'!$F$2:$F$4000=AH$5),'2016 E Maize Soil VWC'!$G$2:$G$4000)</f>
        <v>0.32890264345664705</v>
      </c>
      <c r="AI170" s="1" cm="1">
        <f t="array" ref="AI170">_xlfn.XLOOKUP(1,('2016 E Maize Soil VWC'!$C$2:$C$4000=$AA170)*('2016 E Maize Soil VWC'!$E$2:$E$4000=$AB170)*('2016 E Maize Soil VWC'!$F$2:$F$4000=AI$5),'2016 E Maize Soil VWC'!$G$2:$G$4000)</f>
        <v>0.28892255007412199</v>
      </c>
      <c r="AJ170" s="1" cm="1">
        <f t="array" ref="AJ170">_xlfn.XLOOKUP(1,('2016 E Maize Soil VWC'!$C$2:$C$4000=$AA170)*('2016 E Maize Soil VWC'!$E$2:$E$4000=$AB170)*('2016 E Maize Soil VWC'!$F$2:$F$4000=AJ$5),'2016 E Maize Soil VWC'!$G$2:$G$4000)</f>
        <v>0.29701978417691188</v>
      </c>
      <c r="AK170" s="1" cm="1">
        <f t="array" ref="AK170">_xlfn.XLOOKUP(1,('2016 E Maize Soil VWC'!$C$2:$C$4000=$AA170)*('2016 E Maize Soil VWC'!$E$2:$E$4000=$AB170)*('2016 E Maize Soil VWC'!$F$2:$F$4000=AK$5),'2016 E Maize Soil VWC'!$G$2:$G$4000)</f>
        <v>0.28687877704336973</v>
      </c>
      <c r="AL170" s="1" cm="1">
        <f t="array" ref="AL170">_xlfn.XLOOKUP(1,('2016 E Maize Soil VWC'!$C$2:$C$4000=$AA170)*('2016 E Maize Soil VWC'!$E$2:$E$4000=$AB170)*('2016 E Maize Soil VWC'!$F$2:$F$4000=AL$5),'2016 E Maize Soil VWC'!$G$2:$G$4000)</f>
        <v>0.29717550021735017</v>
      </c>
      <c r="AM170" s="1" cm="1">
        <f t="array" ref="AM170">_xlfn.XLOOKUP(1,('2016 E Maize Soil VWC'!$C$2:$C$4000=$AA170)*('2016 E Maize Soil VWC'!$E$2:$E$4000=$AB170)*('2016 E Maize Soil VWC'!$F$2:$F$4000=AM$5),'2016 E Maize Soil VWC'!$G$2:$G$4000)</f>
        <v>0.31317532337238208</v>
      </c>
      <c r="AN170" s="1" cm="1">
        <f t="array" ref="AN170">_xlfn.XLOOKUP(1,('2016 E Maize Soil VWC'!$C$2:$C$4000=$AA170)*('2016 E Maize Soil VWC'!$E$2:$E$4000=$AB170)*('2016 E Maize Soil VWC'!$F$2:$F$4000=AN$5),'2016 E Maize Soil VWC'!$G$2:$G$4000)</f>
        <v>0.32822138577972965</v>
      </c>
      <c r="AO170" s="1" cm="1">
        <f t="array" ref="AO170">_xlfn.XLOOKUP(1,('2016 E Maize Soil VWC'!$C$2:$C$4000=$AA170)*('2016 E Maize Soil VWC'!$E$2:$E$4000=$AB170)*('2016 E Maize Soil VWC'!$F$2:$F$4000=AO$5),'2016 E Maize Soil VWC'!$G$2:$G$4000)</f>
        <v>0.28898094358928633</v>
      </c>
      <c r="AP170" s="1" cm="1">
        <f t="array" ref="AP170">_xlfn.XLOOKUP(1,('2016 E Maize Soil VWC'!$C$2:$C$4000=$AA170)*('2016 E Maize Soil VWC'!$E$2:$E$4000=$AB170)*('2016 E Maize Soil VWC'!$F$2:$F$4000=AP$5),'2016 E Maize Soil VWC'!$G$2:$G$4000)</f>
        <v>0.31286389129150555</v>
      </c>
      <c r="AQ170" s="1" cm="1">
        <f t="array" ref="AQ170">_xlfn.XLOOKUP(1,('2016 E Maize Soil VWC'!$C$2:$C$4000=$AA170)*('2016 E Maize Soil VWC'!$E$2:$E$4000=$AB170)*('2016 E Maize Soil VWC'!$F$2:$F$4000=AQ$5),'2016 E Maize Soil VWC'!$G$2:$G$4000)</f>
        <v>0.30583720496672873</v>
      </c>
      <c r="AR170" s="1" cm="1">
        <f t="array" ref="AR170">_xlfn.XLOOKUP(1,('2016 E Maize Soil VWC'!$C$2:$C$4000=$AA170)*('2016 E Maize Soil VWC'!$E$2:$E$4000=$AB170)*('2016 E Maize Soil VWC'!$F$2:$F$4000=AR$5),'2016 E Maize Soil VWC'!$G$2:$G$4000)</f>
        <v>0.32631386428436088</v>
      </c>
      <c r="AS170" s="1" cm="1">
        <f t="array" ref="AS170">_xlfn.XLOOKUP(1,('2016 E Maize Soil VWC'!$C$2:$C$4000=$AA170)*('2016 E Maize Soil VWC'!$E$2:$E$4000=$AB170)*('2016 E Maize Soil VWC'!$F$2:$F$4000=AS$5),'2016 E Maize Soil VWC'!$G$2:$G$4000)</f>
        <v>0.31006100256361674</v>
      </c>
      <c r="AT170" s="1" cm="1">
        <f t="array" ref="AT170">_xlfn.XLOOKUP(1,('2016 E Maize Soil VWC'!$C$2:$C$4000=$AA170)*('2016 E Maize Soil VWC'!$E$2:$E$4000=$AB170)*('2016 E Maize Soil VWC'!$F$2:$F$4000=AT$5),'2016 E Maize Soil VWC'!$G$2:$G$4000)</f>
        <v>0.3200657581617754</v>
      </c>
      <c r="AU170" s="1" cm="1">
        <f t="array" ref="AU170">_xlfn.XLOOKUP(1,('2016 E Maize Soil VWC'!$C$2:$C$4000=$AA170)*('2016 E Maize Soil VWC'!$E$2:$E$4000=$AB170)*('2016 E Maize Soil VWC'!$F$2:$F$4000=AU$5),'2016 E Maize Soil VWC'!$G$2:$G$4000)</f>
        <v>0.30661578516892007</v>
      </c>
      <c r="AV170" s="1" cm="1">
        <f t="array" ref="AV170">_xlfn.XLOOKUP(1,('2016 E Maize Soil VWC'!$C$2:$C$4000=$AA170)*('2016 E Maize Soil VWC'!$E$2:$E$4000=$AB170)*('2016 E Maize Soil VWC'!$F$2:$F$4000=AV$5),'2016 E Maize Soil VWC'!$G$2:$G$4000)</f>
        <v>0.31136512440228725</v>
      </c>
    </row>
    <row r="171" spans="25:64" x14ac:dyDescent="0.25">
      <c r="AA171" s="18">
        <f t="shared" si="27"/>
        <v>42625</v>
      </c>
      <c r="AB171" s="1">
        <f t="shared" si="28"/>
        <v>190</v>
      </c>
      <c r="AC171" s="1" cm="1">
        <f t="array" ref="AC171">_xlfn.XLOOKUP(1,('2016 E Maize Soil VWC'!$C$2:$C$4000=$AA171)*('2016 E Maize Soil VWC'!$E$2:$E$4000=$AB171)*('2016 E Maize Soil VWC'!$F$2:$F$4000=AC$5),'2016 E Maize Soil VWC'!$G$2:$G$4000)</f>
        <v>0.27148235354503608</v>
      </c>
      <c r="AD171" s="1" cm="1">
        <f t="array" ref="AD171">_xlfn.XLOOKUP(1,('2016 E Maize Soil VWC'!$C$2:$C$4000=$AA171)*('2016 E Maize Soil VWC'!$E$2:$E$4000=$AB171)*('2016 E Maize Soil VWC'!$F$2:$F$4000=AD$5),'2016 E Maize Soil VWC'!$G$2:$G$4000)</f>
        <v>0.27885940096079898</v>
      </c>
      <c r="AE171" s="1" cm="1">
        <f t="array" ref="AE171">_xlfn.XLOOKUP(1,('2016 E Maize Soil VWC'!$C$2:$C$4000=$AA171)*('2016 E Maize Soil VWC'!$E$2:$E$4000=$AB171)*('2016 E Maize Soil VWC'!$F$2:$F$4000=AE$5),'2016 E Maize Soil VWC'!$G$2:$G$4000)</f>
        <v>0.28199318627461911</v>
      </c>
      <c r="AF171" s="1" cm="1">
        <f t="array" ref="AF171">_xlfn.XLOOKUP(1,('2016 E Maize Soil VWC'!$C$2:$C$4000=$AA171)*('2016 E Maize Soil VWC'!$E$2:$E$4000=$AB171)*('2016 E Maize Soil VWC'!$F$2:$F$4000=AF$5),'2016 E Maize Soil VWC'!$G$2:$G$4000)</f>
        <v>0.28376445623460439</v>
      </c>
      <c r="AG171" s="1" cm="1">
        <f t="array" ref="AG171">_xlfn.XLOOKUP(1,('2016 E Maize Soil VWC'!$C$2:$C$4000=$AA171)*('2016 E Maize Soil VWC'!$E$2:$E$4000=$AB171)*('2016 E Maize Soil VWC'!$F$2:$F$4000=AG$5),'2016 E Maize Soil VWC'!$G$2:$G$4000)</f>
        <v>0.32812406325445576</v>
      </c>
      <c r="AH171" s="1" cm="1">
        <f t="array" ref="AH171">_xlfn.XLOOKUP(1,('2016 E Maize Soil VWC'!$C$2:$C$4000=$AA171)*('2016 E Maize Soil VWC'!$E$2:$E$4000=$AB171)*('2016 E Maize Soil VWC'!$F$2:$F$4000=AH$5),'2016 E Maize Soil VWC'!$G$2:$G$4000)</f>
        <v>0.34233315194444758</v>
      </c>
      <c r="AI171" s="1" cm="1">
        <f t="array" ref="AI171">_xlfn.XLOOKUP(1,('2016 E Maize Soil VWC'!$C$2:$C$4000=$AA171)*('2016 E Maize Soil VWC'!$E$2:$E$4000=$AB171)*('2016 E Maize Soil VWC'!$F$2:$F$4000=AI$5),'2016 E Maize Soil VWC'!$G$2:$G$4000)</f>
        <v>0.27288379790898049</v>
      </c>
      <c r="AJ171" s="1" cm="1">
        <f t="array" ref="AJ171">_xlfn.XLOOKUP(1,('2016 E Maize Soil VWC'!$C$2:$C$4000=$AA171)*('2016 E Maize Soil VWC'!$E$2:$E$4000=$AB171)*('2016 E Maize Soil VWC'!$F$2:$F$4000=AJ$5),'2016 E Maize Soil VWC'!$G$2:$G$4000)</f>
        <v>0.28818289888204024</v>
      </c>
      <c r="AK171" s="1" cm="1">
        <f t="array" ref="AK171">_xlfn.XLOOKUP(1,('2016 E Maize Soil VWC'!$C$2:$C$4000=$AA171)*('2016 E Maize Soil VWC'!$E$2:$E$4000=$AB171)*('2016 E Maize Soil VWC'!$F$2:$F$4000=AK$5),'2016 E Maize Soil VWC'!$G$2:$G$4000)</f>
        <v>0.27681562793004677</v>
      </c>
      <c r="AL171" s="1" cm="1">
        <f t="array" ref="AL171">_xlfn.XLOOKUP(1,('2016 E Maize Soil VWC'!$C$2:$C$4000=$AA171)*('2016 E Maize Soil VWC'!$E$2:$E$4000=$AB171)*('2016 E Maize Soil VWC'!$F$2:$F$4000=AL$5),'2016 E Maize Soil VWC'!$G$2:$G$4000)</f>
        <v>0.27956012314277118</v>
      </c>
      <c r="AM171" s="1" cm="1">
        <f t="array" ref="AM171">_xlfn.XLOOKUP(1,('2016 E Maize Soil VWC'!$C$2:$C$4000=$AA171)*('2016 E Maize Soil VWC'!$E$2:$E$4000=$AB171)*('2016 E Maize Soil VWC'!$F$2:$F$4000=AM$5),'2016 E Maize Soil VWC'!$G$2:$G$4000)</f>
        <v>0.30213894900631988</v>
      </c>
      <c r="AN171" s="1" cm="1">
        <f t="array" ref="AN171">_xlfn.XLOOKUP(1,('2016 E Maize Soil VWC'!$C$2:$C$4000=$AA171)*('2016 E Maize Soil VWC'!$E$2:$E$4000=$AB171)*('2016 E Maize Soil VWC'!$F$2:$F$4000=AN$5),'2016 E Maize Soil VWC'!$G$2:$G$4000)</f>
        <v>0.30535059234035916</v>
      </c>
      <c r="AO171" s="1" cm="1">
        <f t="array" ref="AO171">_xlfn.XLOOKUP(1,('2016 E Maize Soil VWC'!$C$2:$C$4000=$AA171)*('2016 E Maize Soil VWC'!$E$2:$E$4000=$AB171)*('2016 E Maize Soil VWC'!$F$2:$F$4000=AO$5),'2016 E Maize Soil VWC'!$G$2:$G$4000)</f>
        <v>0.28117567706231822</v>
      </c>
      <c r="AP171" s="1" cm="1">
        <f t="array" ref="AP171">_xlfn.XLOOKUP(1,('2016 E Maize Soil VWC'!$C$2:$C$4000=$AA171)*('2016 E Maize Soil VWC'!$E$2:$E$4000=$AB171)*('2016 E Maize Soil VWC'!$F$2:$F$4000=AP$5),'2016 E Maize Soil VWC'!$G$2:$G$4000)</f>
        <v>0.29121936167058643</v>
      </c>
      <c r="AQ171" s="1" cm="1">
        <f t="array" ref="AQ171">_xlfn.XLOOKUP(1,('2016 E Maize Soil VWC'!$C$2:$C$4000=$AA171)*('2016 E Maize Soil VWC'!$E$2:$E$4000=$AB171)*('2016 E Maize Soil VWC'!$F$2:$F$4000=AQ$5),'2016 E Maize Soil VWC'!$G$2:$G$4000)</f>
        <v>0.311384588907342</v>
      </c>
      <c r="AR171" s="1" cm="1">
        <f t="array" ref="AR171">_xlfn.XLOOKUP(1,('2016 E Maize Soil VWC'!$C$2:$C$4000=$AA171)*('2016 E Maize Soil VWC'!$E$2:$E$4000=$AB171)*('2016 E Maize Soil VWC'!$F$2:$F$4000=AR$5),'2016 E Maize Soil VWC'!$G$2:$G$4000)</f>
        <v>0.33326269258891855</v>
      </c>
      <c r="AS171" s="1" cm="1">
        <f t="array" ref="AS171">_xlfn.XLOOKUP(1,('2016 E Maize Soil VWC'!$C$2:$C$4000=$AA171)*('2016 E Maize Soil VWC'!$E$2:$E$4000=$AB171)*('2016 E Maize Soil VWC'!$F$2:$F$4000=AS$5),'2016 E Maize Soil VWC'!$G$2:$G$4000)</f>
        <v>0.31241620767524553</v>
      </c>
      <c r="AT171" s="1" cm="1">
        <f t="array" ref="AT171">_xlfn.XLOOKUP(1,('2016 E Maize Soil VWC'!$C$2:$C$4000=$AA171)*('2016 E Maize Soil VWC'!$E$2:$E$4000=$AB171)*('2016 E Maize Soil VWC'!$F$2:$F$4000=AT$5),'2016 E Maize Soil VWC'!$G$2:$G$4000)</f>
        <v>0.30597345650211222</v>
      </c>
      <c r="AU171" s="1" cm="1">
        <f t="array" ref="AU171">_xlfn.XLOOKUP(1,('2016 E Maize Soil VWC'!$C$2:$C$4000=$AA171)*('2016 E Maize Soil VWC'!$E$2:$E$4000=$AB171)*('2016 E Maize Soil VWC'!$F$2:$F$4000=AU$5),'2016 E Maize Soil VWC'!$G$2:$G$4000)</f>
        <v>0.29337992173166738</v>
      </c>
      <c r="AV171" s="1" cm="1">
        <f t="array" ref="AV171">_xlfn.XLOOKUP(1,('2016 E Maize Soil VWC'!$C$2:$C$4000=$AA171)*('2016 E Maize Soil VWC'!$E$2:$E$4000=$AB171)*('2016 E Maize Soil VWC'!$F$2:$F$4000=AV$5),'2016 E Maize Soil VWC'!$G$2:$G$4000)</f>
        <v>0.29628013298483014</v>
      </c>
    </row>
    <row r="172" spans="25:64" x14ac:dyDescent="0.25">
      <c r="AA172" s="18">
        <f t="shared" si="27"/>
        <v>42625</v>
      </c>
      <c r="AB172" s="1">
        <f t="shared" si="28"/>
        <v>210</v>
      </c>
      <c r="AC172" s="1" cm="1">
        <f t="array" ref="AC172">_xlfn.XLOOKUP(1,('2016 E Maize Soil VWC'!$C$2:$C$4000=$AA172)*('2016 E Maize Soil VWC'!$E$2:$E$4000=$AB172)*('2016 E Maize Soil VWC'!$F$2:$F$4000=AC$5),'2016 E Maize Soil VWC'!$G$2:$G$4000)</f>
        <v>0.29544315926747439</v>
      </c>
      <c r="AD172" s="1" cm="1">
        <f t="array" ref="AD172">_xlfn.XLOOKUP(1,('2016 E Maize Soil VWC'!$C$2:$C$4000=$AA172)*('2016 E Maize Soil VWC'!$E$2:$E$4000=$AB172)*('2016 E Maize Soil VWC'!$F$2:$F$4000=AD$5),'2016 E Maize Soil VWC'!$G$2:$G$4000)</f>
        <v>0.29330206371144829</v>
      </c>
      <c r="AE172" s="1" cm="1">
        <f t="array" ref="AE172">_xlfn.XLOOKUP(1,('2016 E Maize Soil VWC'!$C$2:$C$4000=$AA172)*('2016 E Maize Soil VWC'!$E$2:$E$4000=$AB172)*('2016 E Maize Soil VWC'!$F$2:$F$4000=AE$5),'2016 E Maize Soil VWC'!$G$2:$G$4000)</f>
        <v>0.26011508259304261</v>
      </c>
      <c r="AF172" s="1" cm="1">
        <f t="array" ref="AF172">_xlfn.XLOOKUP(1,('2016 E Maize Soil VWC'!$C$2:$C$4000=$AA172)*('2016 E Maize Soil VWC'!$E$2:$E$4000=$AB172)*('2016 E Maize Soil VWC'!$F$2:$F$4000=AF$5),'2016 E Maize Soil VWC'!$G$2:$G$4000)</f>
        <v>0.28031923883990773</v>
      </c>
      <c r="AG172" s="1" t="e" cm="1">
        <f t="array" ref="AG172">_xlfn.XLOOKUP(1,('2016 E Maize Soil VWC'!$C$2:$C$4000=$AA172)*('2016 E Maize Soil VWC'!$E$2:$E$4000=$AB172)*('2016 E Maize Soil VWC'!$F$2:$F$4000=AG$5),'2016 E Maize Soil VWC'!$G$2:$G$4000)</f>
        <v>#N/A</v>
      </c>
      <c r="AH172" s="1" t="e" cm="1">
        <f t="array" ref="AH172">_xlfn.XLOOKUP(1,('2016 E Maize Soil VWC'!$C$2:$C$4000=$AA172)*('2016 E Maize Soil VWC'!$E$2:$E$4000=$AB172)*('2016 E Maize Soil VWC'!$F$2:$F$4000=AH$5),'2016 E Maize Soil VWC'!$G$2:$G$4000)</f>
        <v>#N/A</v>
      </c>
      <c r="AI172" s="1" cm="1">
        <f t="array" ref="AI172">_xlfn.XLOOKUP(1,('2016 E Maize Soil VWC'!$C$2:$C$4000=$AA172)*('2016 E Maize Soil VWC'!$E$2:$E$4000=$AB172)*('2016 E Maize Soil VWC'!$F$2:$F$4000=AI$5),'2016 E Maize Soil VWC'!$G$2:$G$4000)</f>
        <v>0.26192528156313744</v>
      </c>
      <c r="AJ172" s="1" cm="1">
        <f t="array" ref="AJ172">_xlfn.XLOOKUP(1,('2016 E Maize Soil VWC'!$C$2:$C$4000=$AA172)*('2016 E Maize Soil VWC'!$E$2:$E$4000=$AB172)*('2016 E Maize Soil VWC'!$F$2:$F$4000=AJ$5),'2016 E Maize Soil VWC'!$G$2:$G$4000)</f>
        <v>0.29147240023629861</v>
      </c>
      <c r="AK172" s="1" cm="1">
        <f t="array" ref="AK172">_xlfn.XLOOKUP(1,('2016 E Maize Soil VWC'!$C$2:$C$4000=$AA172)*('2016 E Maize Soil VWC'!$E$2:$E$4000=$AB172)*('2016 E Maize Soil VWC'!$F$2:$F$4000=AK$5),'2016 E Maize Soil VWC'!$G$2:$G$4000)</f>
        <v>0.28565251322491836</v>
      </c>
      <c r="AL172" s="1" cm="1">
        <f t="array" ref="AL172">_xlfn.XLOOKUP(1,('2016 E Maize Soil VWC'!$C$2:$C$4000=$AA172)*('2016 E Maize Soil VWC'!$E$2:$E$4000=$AB172)*('2016 E Maize Soil VWC'!$F$2:$F$4000=AL$5),'2016 E Maize Soil VWC'!$G$2:$G$4000)</f>
        <v>0.25351661537947107</v>
      </c>
      <c r="AM172" s="1" cm="1">
        <f t="array" ref="AM172">_xlfn.XLOOKUP(1,('2016 E Maize Soil VWC'!$C$2:$C$4000=$AA172)*('2016 E Maize Soil VWC'!$E$2:$E$4000=$AB172)*('2016 E Maize Soil VWC'!$F$2:$F$4000=AM$5),'2016 E Maize Soil VWC'!$G$2:$G$4000)</f>
        <v>0.29655263605559712</v>
      </c>
      <c r="AN172" s="1" cm="1">
        <f t="array" ref="AN172">_xlfn.XLOOKUP(1,('2016 E Maize Soil VWC'!$C$2:$C$4000=$AA172)*('2016 E Maize Soil VWC'!$E$2:$E$4000=$AB172)*('2016 E Maize Soil VWC'!$F$2:$F$4000=AN$5),'2016 E Maize Soil VWC'!$G$2:$G$4000)</f>
        <v>0.30173019440016946</v>
      </c>
      <c r="AO172" s="1" cm="1">
        <f t="array" ref="AO172">_xlfn.XLOOKUP(1,('2016 E Maize Soil VWC'!$C$2:$C$4000=$AA172)*('2016 E Maize Soil VWC'!$E$2:$E$4000=$AB172)*('2016 E Maize Soil VWC'!$F$2:$F$4000=AO$5),'2016 E Maize Soil VWC'!$G$2:$G$4000)</f>
        <v>0.28781307328599931</v>
      </c>
      <c r="AP172" s="1" cm="1">
        <f t="array" ref="AP172">_xlfn.XLOOKUP(1,('2016 E Maize Soil VWC'!$C$2:$C$4000=$AA172)*('2016 E Maize Soil VWC'!$E$2:$E$4000=$AB172)*('2016 E Maize Soil VWC'!$F$2:$F$4000=AP$5),'2016 E Maize Soil VWC'!$G$2:$G$4000)</f>
        <v>0.26328779691697229</v>
      </c>
      <c r="AQ172" s="1" t="e" cm="1">
        <f t="array" ref="AQ172">_xlfn.XLOOKUP(1,('2016 E Maize Soil VWC'!$C$2:$C$4000=$AA172)*('2016 E Maize Soil VWC'!$E$2:$E$4000=$AB172)*('2016 E Maize Soil VWC'!$F$2:$F$4000=AQ$5),'2016 E Maize Soil VWC'!$G$2:$G$4000)</f>
        <v>#N/A</v>
      </c>
      <c r="AR172" s="1" t="e" cm="1">
        <f t="array" ref="AR172">_xlfn.XLOOKUP(1,('2016 E Maize Soil VWC'!$C$2:$C$4000=$AA172)*('2016 E Maize Soil VWC'!$E$2:$E$4000=$AB172)*('2016 E Maize Soil VWC'!$F$2:$F$4000=AR$5),'2016 E Maize Soil VWC'!$G$2:$G$4000)</f>
        <v>#N/A</v>
      </c>
      <c r="AS172" s="1" cm="1">
        <f t="array" ref="AS172">_xlfn.XLOOKUP(1,('2016 E Maize Soil VWC'!$C$2:$C$4000=$AA172)*('2016 E Maize Soil VWC'!$E$2:$E$4000=$AB172)*('2016 E Maize Soil VWC'!$F$2:$F$4000=AS$5),'2016 E Maize Soil VWC'!$G$2:$G$4000)</f>
        <v>0.29879105413689716</v>
      </c>
      <c r="AT172" s="1" cm="1">
        <f t="array" ref="AT172">_xlfn.XLOOKUP(1,('2016 E Maize Soil VWC'!$C$2:$C$4000=$AA172)*('2016 E Maize Soil VWC'!$E$2:$E$4000=$AB172)*('2016 E Maize Soil VWC'!$F$2:$F$4000=AT$5),'2016 E Maize Soil VWC'!$G$2:$G$4000)</f>
        <v>0.29766211284371974</v>
      </c>
      <c r="AU172" s="1" cm="1">
        <f t="array" ref="AU172">_xlfn.XLOOKUP(1,('2016 E Maize Soil VWC'!$C$2:$C$4000=$AA172)*('2016 E Maize Soil VWC'!$E$2:$E$4000=$AB172)*('2016 E Maize Soil VWC'!$F$2:$F$4000=AU$5),'2016 E Maize Soil VWC'!$G$2:$G$4000)</f>
        <v>0.28407588831548092</v>
      </c>
      <c r="AV172" s="1" cm="1">
        <f t="array" ref="AV172">_xlfn.XLOOKUP(1,('2016 E Maize Soil VWC'!$C$2:$C$4000=$AA172)*('2016 E Maize Soil VWC'!$E$2:$E$4000=$AB172)*('2016 E Maize Soil VWC'!$F$2:$F$4000=AV$5),'2016 E Maize Soil VWC'!$G$2:$G$4000)</f>
        <v>0.28685931253831493</v>
      </c>
    </row>
    <row r="173" spans="25:64" x14ac:dyDescent="0.25">
      <c r="AA173" s="18">
        <f t="shared" si="27"/>
        <v>42625</v>
      </c>
      <c r="AB173" s="1">
        <f t="shared" si="28"/>
        <v>230</v>
      </c>
      <c r="AC173" s="1" cm="1">
        <f t="array" ref="AC173">_xlfn.XLOOKUP(1,('2016 E Maize Soil VWC'!$C$2:$C$4000=$AA173)*('2016 E Maize Soil VWC'!$E$2:$E$4000=$AB173)*('2016 E Maize Soil VWC'!$F$2:$F$4000=AC$5),'2016 E Maize Soil VWC'!$G$2:$G$4000)</f>
        <v>0.29038238795323074</v>
      </c>
      <c r="AD173" s="1" cm="1">
        <f t="array" ref="AD173">_xlfn.XLOOKUP(1,('2016 E Maize Soil VWC'!$C$2:$C$4000=$AA173)*('2016 E Maize Soil VWC'!$E$2:$E$4000=$AB173)*('2016 E Maize Soil VWC'!$F$2:$F$4000=AD$5),'2016 E Maize Soil VWC'!$G$2:$G$4000)</f>
        <v>0.29252348350925694</v>
      </c>
      <c r="AE173" s="1" cm="1">
        <f t="array" ref="AE173">_xlfn.XLOOKUP(1,('2016 E Maize Soil VWC'!$C$2:$C$4000=$AA173)*('2016 E Maize Soil VWC'!$E$2:$E$4000=$AB173)*('2016 E Maize Soil VWC'!$F$2:$F$4000=AE$5),'2016 E Maize Soil VWC'!$G$2:$G$4000)</f>
        <v>0.26289850681587662</v>
      </c>
      <c r="AF173" s="1" cm="1">
        <f t="array" ref="AF173">_xlfn.XLOOKUP(1,('2016 E Maize Soil VWC'!$C$2:$C$4000=$AA173)*('2016 E Maize Soil VWC'!$E$2:$E$4000=$AB173)*('2016 E Maize Soil VWC'!$F$2:$F$4000=AF$5),'2016 E Maize Soil VWC'!$G$2:$G$4000)</f>
        <v>0.27000305116087259</v>
      </c>
      <c r="AG173" s="1" t="e" cm="1">
        <f t="array" ref="AG173">_xlfn.XLOOKUP(1,('2016 E Maize Soil VWC'!$C$2:$C$4000=$AA173)*('2016 E Maize Soil VWC'!$E$2:$E$4000=$AB173)*('2016 E Maize Soil VWC'!$F$2:$F$4000=AG$5),'2016 E Maize Soil VWC'!$G$2:$G$4000)</f>
        <v>#N/A</v>
      </c>
      <c r="AH173" s="1" t="e" cm="1">
        <f t="array" ref="AH173">_xlfn.XLOOKUP(1,('2016 E Maize Soil VWC'!$C$2:$C$4000=$AA173)*('2016 E Maize Soil VWC'!$E$2:$E$4000=$AB173)*('2016 E Maize Soil VWC'!$F$2:$F$4000=AH$5),'2016 E Maize Soil VWC'!$G$2:$G$4000)</f>
        <v>#N/A</v>
      </c>
      <c r="AI173" s="1" cm="1">
        <f t="array" ref="AI173">_xlfn.XLOOKUP(1,('2016 E Maize Soil VWC'!$C$2:$C$4000=$AA173)*('2016 E Maize Soil VWC'!$E$2:$E$4000=$AB173)*('2016 E Maize Soil VWC'!$F$2:$F$4000=AI$5),'2016 E Maize Soil VWC'!$G$2:$G$4000)</f>
        <v>0.26143866893676787</v>
      </c>
      <c r="AJ173" s="1" cm="1">
        <f t="array" ref="AJ173">_xlfn.XLOOKUP(1,('2016 E Maize Soil VWC'!$C$2:$C$4000=$AA173)*('2016 E Maize Soil VWC'!$E$2:$E$4000=$AB173)*('2016 E Maize Soil VWC'!$F$2:$F$4000=AJ$5),'2016 E Maize Soil VWC'!$G$2:$G$4000)</f>
        <v>0.30396861248146956</v>
      </c>
      <c r="AK173" s="1" cm="1">
        <f t="array" ref="AK173">_xlfn.XLOOKUP(1,('2016 E Maize Soil VWC'!$C$2:$C$4000=$AA173)*('2016 E Maize Soil VWC'!$E$2:$E$4000=$AB173)*('2016 E Maize Soil VWC'!$F$2:$F$4000=AK$5),'2016 E Maize Soil VWC'!$G$2:$G$4000)</f>
        <v>0.30178858791533381</v>
      </c>
      <c r="AL173" s="1" cm="1">
        <f t="array" ref="AL173">_xlfn.XLOOKUP(1,('2016 E Maize Soil VWC'!$C$2:$C$4000=$AA173)*('2016 E Maize Soil VWC'!$E$2:$E$4000=$AB173)*('2016 E Maize Soil VWC'!$F$2:$F$4000=AL$5),'2016 E Maize Soil VWC'!$G$2:$G$4000)</f>
        <v>0.25861631570382432</v>
      </c>
      <c r="AM173" s="1" cm="1">
        <f t="array" ref="AM173">_xlfn.XLOOKUP(1,('2016 E Maize Soil VWC'!$C$2:$C$4000=$AA173)*('2016 E Maize Soil VWC'!$E$2:$E$4000=$AB173)*('2016 E Maize Soil VWC'!$F$2:$F$4000=AM$5),'2016 E Maize Soil VWC'!$G$2:$G$4000)</f>
        <v>0.28859165348819066</v>
      </c>
      <c r="AN173" s="1" cm="1">
        <f t="array" ref="AN173">_xlfn.XLOOKUP(1,('2016 E Maize Soil VWC'!$C$2:$C$4000=$AA173)*('2016 E Maize Soil VWC'!$E$2:$E$4000=$AB173)*('2016 E Maize Soil VWC'!$F$2:$F$4000=AN$5),'2016 E Maize Soil VWC'!$G$2:$G$4000)</f>
        <v>0.29347724425694133</v>
      </c>
      <c r="AO173" s="1" cm="1">
        <f t="array" ref="AO173">_xlfn.XLOOKUP(1,('2016 E Maize Soil VWC'!$C$2:$C$4000=$AA173)*('2016 E Maize Soil VWC'!$E$2:$E$4000=$AB173)*('2016 E Maize Soil VWC'!$F$2:$F$4000=AO$5),'2016 E Maize Soil VWC'!$G$2:$G$4000)</f>
        <v>0.27885940096079898</v>
      </c>
      <c r="AP173" s="1" cm="1">
        <f t="array" ref="AP173">_xlfn.XLOOKUP(1,('2016 E Maize Soil VWC'!$C$2:$C$4000=$AA173)*('2016 E Maize Soil VWC'!$E$2:$E$4000=$AB173)*('2016 E Maize Soil VWC'!$F$2:$F$4000=AP$5),'2016 E Maize Soil VWC'!$G$2:$G$4000)</f>
        <v>0.27327308801007616</v>
      </c>
      <c r="AQ173" s="1" t="e" cm="1">
        <f t="array" ref="AQ173">_xlfn.XLOOKUP(1,('2016 E Maize Soil VWC'!$C$2:$C$4000=$AA173)*('2016 E Maize Soil VWC'!$E$2:$E$4000=$AB173)*('2016 E Maize Soil VWC'!$F$2:$F$4000=AQ$5),'2016 E Maize Soil VWC'!$G$2:$G$4000)</f>
        <v>#N/A</v>
      </c>
      <c r="AR173" s="1" t="e" cm="1">
        <f t="array" ref="AR173">_xlfn.XLOOKUP(1,('2016 E Maize Soil VWC'!$C$2:$C$4000=$AA173)*('2016 E Maize Soil VWC'!$E$2:$E$4000=$AB173)*('2016 E Maize Soil VWC'!$F$2:$F$4000=AR$5),'2016 E Maize Soil VWC'!$G$2:$G$4000)</f>
        <v>#N/A</v>
      </c>
      <c r="AS173" s="1" cm="1">
        <f t="array" ref="AS173">_xlfn.XLOOKUP(1,('2016 E Maize Soil VWC'!$C$2:$C$4000=$AA173)*('2016 E Maize Soil VWC'!$E$2:$E$4000=$AB173)*('2016 E Maize Soil VWC'!$F$2:$F$4000=AS$5),'2016 E Maize Soil VWC'!$G$2:$G$4000)</f>
        <v>0.29491761763099528</v>
      </c>
      <c r="AT173" s="1" cm="1">
        <f t="array" ref="AT173">_xlfn.XLOOKUP(1,('2016 E Maize Soil VWC'!$C$2:$C$4000=$AA173)*('2016 E Maize Soil VWC'!$E$2:$E$4000=$AB173)*('2016 E Maize Soil VWC'!$F$2:$F$4000=AT$5),'2016 E Maize Soil VWC'!$G$2:$G$4000)</f>
        <v>0.2938470698529822</v>
      </c>
      <c r="AU173" s="1" cm="1">
        <f t="array" ref="AU173">_xlfn.XLOOKUP(1,('2016 E Maize Soil VWC'!$C$2:$C$4000=$AA173)*('2016 E Maize Soil VWC'!$E$2:$E$4000=$AB173)*('2016 E Maize Soil VWC'!$F$2:$F$4000=AU$5),'2016 E Maize Soil VWC'!$G$2:$G$4000)</f>
        <v>0.27743849209179983</v>
      </c>
      <c r="AV173" s="1" cm="1">
        <f t="array" ref="AV173">_xlfn.XLOOKUP(1,('2016 E Maize Soil VWC'!$C$2:$C$4000=$AA173)*('2016 E Maize Soil VWC'!$E$2:$E$4000=$AB173)*('2016 E Maize Soil VWC'!$F$2:$F$4000=AV$5),'2016 E Maize Soil VWC'!$G$2:$G$4000)</f>
        <v>0.29719496472240498</v>
      </c>
    </row>
    <row r="175" spans="25:64" x14ac:dyDescent="0.25">
      <c r="Y175" s="1">
        <v>2016</v>
      </c>
      <c r="Z175" s="1">
        <v>263</v>
      </c>
      <c r="AA175" s="18">
        <f>DATE(Y175,1,Z175)</f>
        <v>42632</v>
      </c>
      <c r="AB175" s="1">
        <v>10</v>
      </c>
      <c r="AC175" s="1" cm="1">
        <f t="array" ref="AC175">_xlfn.XLOOKUP(1,('2016 E Maize Soil VWC'!$C$2:$C$4000=$AA175)*('2016 E Maize Soil VWC'!$E$2:$E$4000=$AB175)*('2016 E Maize Soil VWC'!$F$2:$F$4000=AC$5),'2016 E Maize Soil VWC'!$G$2:$G$4000)</f>
        <v>0.24024679847743458</v>
      </c>
      <c r="AD175" s="1" cm="1">
        <f t="array" ref="AD175">_xlfn.XLOOKUP(1,('2016 E Maize Soil VWC'!$C$2:$C$4000=$AA175)*('2016 E Maize Soil VWC'!$E$2:$E$4000=$AB175)*('2016 E Maize Soil VWC'!$F$2:$F$4000=AD$5),'2016 E Maize Soil VWC'!$G$2:$G$4000)</f>
        <v>0.26138471769006988</v>
      </c>
      <c r="AE175" s="1" cm="1">
        <f t="array" ref="AE175">_xlfn.XLOOKUP(1,('2016 E Maize Soil VWC'!$C$2:$C$4000=$AA175)*('2016 E Maize Soil VWC'!$E$2:$E$4000=$AB175)*('2016 E Maize Soil VWC'!$F$2:$F$4000=AE$5),'2016 E Maize Soil VWC'!$G$2:$G$4000)</f>
        <v>0.22854613539240054</v>
      </c>
      <c r="AF175" s="1" cm="1">
        <f t="array" ref="AF175">_xlfn.XLOOKUP(1,('2016 E Maize Soil VWC'!$C$2:$C$4000=$AA175)*('2016 E Maize Soil VWC'!$E$2:$E$4000=$AB175)*('2016 E Maize Soil VWC'!$F$2:$F$4000=AF$5),'2016 E Maize Soil VWC'!$G$2:$G$4000)</f>
        <v>0.23754221897745131</v>
      </c>
      <c r="AG175" s="1" cm="1">
        <f t="array" ref="AG175">_xlfn.XLOOKUP(1,('2016 E Maize Soil VWC'!$C$2:$C$4000=$AA175)*('2016 E Maize Soil VWC'!$E$2:$E$4000=$AB175)*('2016 E Maize Soil VWC'!$F$2:$F$4000=AG$5),'2016 E Maize Soil VWC'!$G$2:$G$4000)</f>
        <v>0.22302188790307298</v>
      </c>
      <c r="AH175" s="1" cm="1">
        <f t="array" ref="AH175">_xlfn.XLOOKUP(1,('2016 E Maize Soil VWC'!$C$2:$C$4000=$AA175)*('2016 E Maize Soil VWC'!$E$2:$E$4000=$AB175)*('2016 E Maize Soil VWC'!$F$2:$F$4000=AH$5),'2016 E Maize Soil VWC'!$G$2:$G$4000)</f>
        <v>0.23988235159445814</v>
      </c>
      <c r="AI175" s="1" cm="1">
        <f t="array" ref="AI175">_xlfn.XLOOKUP(1,('2016 E Maize Soil VWC'!$C$2:$C$4000=$AA175)*('2016 E Maize Soil VWC'!$E$2:$E$4000=$AB175)*('2016 E Maize Soil VWC'!$F$2:$F$4000=AI$5),'2016 E Maize Soil VWC'!$G$2:$G$4000)</f>
        <v>0.28701108798778385</v>
      </c>
      <c r="AJ175" s="1" cm="1">
        <f t="array" ref="AJ175">_xlfn.XLOOKUP(1,('2016 E Maize Soil VWC'!$C$2:$C$4000=$AA175)*('2016 E Maize Soil VWC'!$E$2:$E$4000=$AB175)*('2016 E Maize Soil VWC'!$F$2:$F$4000=AJ$5),'2016 E Maize Soil VWC'!$G$2:$G$4000)</f>
        <v>0.23911509499871819</v>
      </c>
      <c r="AK175" s="1" cm="1">
        <f t="array" ref="AK175">_xlfn.XLOOKUP(1,('2016 E Maize Soil VWC'!$C$2:$C$4000=$AA175)*('2016 E Maize Soil VWC'!$E$2:$E$4000=$AB175)*('2016 E Maize Soil VWC'!$F$2:$F$4000=AK$5),'2016 E Maize Soil VWC'!$G$2:$G$4000)</f>
        <v>0.25302162079650459</v>
      </c>
      <c r="AL175" s="1" cm="1">
        <f t="array" ref="AL175">_xlfn.XLOOKUP(1,('2016 E Maize Soil VWC'!$C$2:$C$4000=$AA175)*('2016 E Maize Soil VWC'!$E$2:$E$4000=$AB175)*('2016 E Maize Soil VWC'!$F$2:$F$4000=AL$5),'2016 E Maize Soil VWC'!$G$2:$G$4000)</f>
        <v>0.26251642116878632</v>
      </c>
      <c r="AM175" s="1" cm="1">
        <f t="array" ref="AM175">_xlfn.XLOOKUP(1,('2016 E Maize Soil VWC'!$C$2:$C$4000=$AA175)*('2016 E Maize Soil VWC'!$E$2:$E$4000=$AB175)*('2016 E Maize Soil VWC'!$F$2:$F$4000=AM$5),'2016 E Maize Soil VWC'!$G$2:$G$4000)</f>
        <v>0.20462691102020797</v>
      </c>
      <c r="AN175" s="1" cm="1">
        <f t="array" ref="AN175">_xlfn.XLOOKUP(1,('2016 E Maize Soil VWC'!$C$2:$C$4000=$AA175)*('2016 E Maize Soil VWC'!$E$2:$E$4000=$AB175)*('2016 E Maize Soil VWC'!$F$2:$F$4000=AN$5),'2016 E Maize Soil VWC'!$G$2:$G$4000)</f>
        <v>0.19033675692455165</v>
      </c>
      <c r="AO175" s="1" cm="1">
        <f t="array" ref="AO175">_xlfn.XLOOKUP(1,('2016 E Maize Soil VWC'!$C$2:$C$4000=$AA175)*('2016 E Maize Soil VWC'!$E$2:$E$4000=$AB175)*('2016 E Maize Soil VWC'!$F$2:$F$4000=AO$5),'2016 E Maize Soil VWC'!$G$2:$G$4000)</f>
        <v>0.22424949845625691</v>
      </c>
      <c r="AP175" s="1" cm="1">
        <f t="array" ref="AP175">_xlfn.XLOOKUP(1,('2016 E Maize Soil VWC'!$C$2:$C$4000=$AA175)*('2016 E Maize Soil VWC'!$E$2:$E$4000=$AB175)*('2016 E Maize Soil VWC'!$F$2:$F$4000=AP$5),'2016 E Maize Soil VWC'!$G$2:$G$4000)</f>
        <v>0.2255538346690148</v>
      </c>
      <c r="AQ175" s="1" cm="1">
        <f t="array" ref="AQ175">_xlfn.XLOOKUP(1,('2016 E Maize Soil VWC'!$C$2:$C$4000=$AA175)*('2016 E Maize Soil VWC'!$E$2:$E$4000=$AB175)*('2016 E Maize Soil VWC'!$F$2:$F$4000=AQ$5),'2016 E Maize Soil VWC'!$G$2:$G$4000)</f>
        <v>0.26006120006241851</v>
      </c>
      <c r="AR175" s="1" cm="1">
        <f t="array" ref="AR175">_xlfn.XLOOKUP(1,('2016 E Maize Soil VWC'!$C$2:$C$4000=$AA175)*('2016 E Maize Soil VWC'!$E$2:$E$4000=$AB175)*('2016 E Maize Soil VWC'!$F$2:$F$4000=AR$5),'2016 E Maize Soil VWC'!$G$2:$G$4000)</f>
        <v>0.24870580244546742</v>
      </c>
      <c r="AS175" s="1" cm="1">
        <f t="array" ref="AS175">_xlfn.XLOOKUP(1,('2016 E Maize Soil VWC'!$C$2:$C$4000=$AA175)*('2016 E Maize Soil VWC'!$E$2:$E$4000=$AB175)*('2016 E Maize Soil VWC'!$F$2:$F$4000=AS$5),'2016 E Maize Soil VWC'!$G$2:$G$4000)</f>
        <v>0.23744631190298382</v>
      </c>
      <c r="AT175" s="1" cm="1">
        <f t="array" ref="AT175">_xlfn.XLOOKUP(1,('2016 E Maize Soil VWC'!$C$2:$C$4000=$AA175)*('2016 E Maize Soil VWC'!$E$2:$E$4000=$AB175)*('2016 E Maize Soil VWC'!$F$2:$F$4000=AT$5),'2016 E Maize Soil VWC'!$G$2:$G$4000)</f>
        <v>0.22083520660521416</v>
      </c>
      <c r="AU175" s="1" cm="1">
        <f t="array" ref="AU175">_xlfn.XLOOKUP(1,('2016 E Maize Soil VWC'!$C$2:$C$4000=$AA175)*('2016 E Maize Soil VWC'!$E$2:$E$4000=$AB175)*('2016 E Maize Soil VWC'!$F$2:$F$4000=AU$5),'2016 E Maize Soil VWC'!$G$2:$G$4000)</f>
        <v>0.24076469667955908</v>
      </c>
      <c r="AV175" s="1" cm="1">
        <f t="array" ref="AV175">_xlfn.XLOOKUP(1,('2016 E Maize Soil VWC'!$C$2:$C$4000=$AA175)*('2016 E Maize Soil VWC'!$E$2:$E$4000=$AB175)*('2016 E Maize Soil VWC'!$F$2:$F$4000=AV$5),'2016 E Maize Soil VWC'!$G$2:$G$4000)</f>
        <v>0.23598852437107798</v>
      </c>
      <c r="AW175" s="1">
        <f>Z175</f>
        <v>263</v>
      </c>
      <c r="AX175" s="15">
        <f>AA175</f>
        <v>42632</v>
      </c>
      <c r="AY175" s="1">
        <f>1400*AVERAGE(AG175:AH181)+100*AVERAGE(AG182:AH182)</f>
        <v>467.05821528918716</v>
      </c>
      <c r="AZ175" s="1">
        <f>1400*AVERAGE(AC175:AF181,AI175:AL181)+100*AVERAGE(AC182:AF182,AI182:AL182)</f>
        <v>466.27337076794277</v>
      </c>
      <c r="BA175" s="1">
        <f>1400*AVERAGE(AQ175:AR181)+100*AVERAGE(AQ182:AR182)</f>
        <v>467.67266822229897</v>
      </c>
      <c r="BB175" s="1">
        <f>1400*AVERAGE(AM175:AP181,AS175:AV181)+100*AVERAGE(AM182:AP182,AS182:AV182)</f>
        <v>437.19299459188335</v>
      </c>
      <c r="BC175" s="1">
        <f>AVERAGE(AC175:AD186)*2400</f>
        <v>718.16250626191254</v>
      </c>
      <c r="BD175" s="1">
        <f>AVERAGE(AE175:AF186)*2400</f>
        <v>701.15956589052246</v>
      </c>
      <c r="BE175" s="1">
        <f>AVERAGE(AG175:AH184)*2000</f>
        <v>633.98931496148998</v>
      </c>
      <c r="BF175" s="1">
        <f>AVERAGE(AI175:AJ186)*2400</f>
        <v>742.10005454261727</v>
      </c>
      <c r="BG175" s="1">
        <f>AVERAGE(AK175:AL186)*2400</f>
        <v>721.15823694060214</v>
      </c>
      <c r="BH175" s="1">
        <f>AVERAGE(AM175:AN186)*2400</f>
        <v>701.43561024666462</v>
      </c>
      <c r="BI175" s="1">
        <f>AVERAGE(AO175:AP186)*2400</f>
        <v>673.15479336914962</v>
      </c>
      <c r="BJ175" s="1">
        <f>AVERAGE(AQ175:AR184)*2000</f>
        <v>633.08748295083433</v>
      </c>
      <c r="BK175" s="1">
        <f>AVERAGE(AS175:AT186)*2400</f>
        <v>731.28182899339038</v>
      </c>
      <c r="BL175" s="1">
        <f>AVERAGE(AU175:AV186)*2400</f>
        <v>714.46972684218144</v>
      </c>
    </row>
    <row r="176" spans="25:64" x14ac:dyDescent="0.25">
      <c r="AA176" s="18">
        <f t="shared" ref="AA176:AA186" si="29">AA175</f>
        <v>42632</v>
      </c>
      <c r="AB176" s="1">
        <f t="shared" ref="AB176:AB186" si="30">AB175+20</f>
        <v>30</v>
      </c>
      <c r="AC176" s="1" cm="1">
        <f t="array" ref="AC176">_xlfn.XLOOKUP(1,('2016 E Maize Soil VWC'!$C$2:$C$4000=$AA176)*('2016 E Maize Soil VWC'!$E$2:$E$4000=$AB176)*('2016 E Maize Soil VWC'!$F$2:$F$4000=AC$5),'2016 E Maize Soil VWC'!$G$2:$G$4000)</f>
        <v>0.30892951244468719</v>
      </c>
      <c r="AD176" s="1" cm="1">
        <f t="array" ref="AD176">_xlfn.XLOOKUP(1,('2016 E Maize Soil VWC'!$C$2:$C$4000=$AA176)*('2016 E Maize Soil VWC'!$E$2:$E$4000=$AB176)*('2016 E Maize Soil VWC'!$F$2:$F$4000=AD$5),'2016 E Maize Soil VWC'!$G$2:$G$4000)</f>
        <v>0.32088242631831204</v>
      </c>
      <c r="AE176" s="1" cm="1">
        <f t="array" ref="AE176">_xlfn.XLOOKUP(1,('2016 E Maize Soil VWC'!$C$2:$C$4000=$AA176)*('2016 E Maize Soil VWC'!$E$2:$E$4000=$AB176)*('2016 E Maize Soil VWC'!$F$2:$F$4000=AE$5),'2016 E Maize Soil VWC'!$G$2:$G$4000)</f>
        <v>0.30075481847364494</v>
      </c>
      <c r="AF176" s="1" cm="1">
        <f t="array" ref="AF176">_xlfn.XLOOKUP(1,('2016 E Maize Soil VWC'!$C$2:$C$4000=$AA176)*('2016 E Maize Soil VWC'!$E$2:$E$4000=$AB176)*('2016 E Maize Soil VWC'!$F$2:$F$4000=AF$5),'2016 E Maize Soil VWC'!$G$2:$G$4000)</f>
        <v>0.29436619209291442</v>
      </c>
      <c r="AG176" s="1" cm="1">
        <f t="array" ref="AG176">_xlfn.XLOOKUP(1,('2016 E Maize Soil VWC'!$C$2:$C$4000=$AA176)*('2016 E Maize Soil VWC'!$E$2:$E$4000=$AB176)*('2016 E Maize Soil VWC'!$F$2:$F$4000=AG$5),'2016 E Maize Soil VWC'!$G$2:$G$4000)</f>
        <v>0.32273718881594349</v>
      </c>
      <c r="AH176" s="1" cm="1">
        <f t="array" ref="AH176">_xlfn.XLOOKUP(1,('2016 E Maize Soil VWC'!$C$2:$C$4000=$AA176)*('2016 E Maize Soil VWC'!$E$2:$E$4000=$AB176)*('2016 E Maize Soil VWC'!$F$2:$F$4000=AH$5),'2016 E Maize Soil VWC'!$G$2:$G$4000)</f>
        <v>0.32995015408451017</v>
      </c>
      <c r="AI176" s="1" cm="1">
        <f t="array" ref="AI176">_xlfn.XLOOKUP(1,('2016 E Maize Soil VWC'!$C$2:$C$4000=$AA176)*('2016 E Maize Soil VWC'!$E$2:$E$4000=$AB176)*('2016 E Maize Soil VWC'!$F$2:$F$4000=AI$5),'2016 E Maize Soil VWC'!$G$2:$G$4000)</f>
        <v>0.33294983170413639</v>
      </c>
      <c r="AJ176" s="1" cm="1">
        <f t="array" ref="AJ176">_xlfn.XLOOKUP(1,('2016 E Maize Soil VWC'!$C$2:$C$4000=$AA176)*('2016 E Maize Soil VWC'!$E$2:$E$4000=$AB176)*('2016 E Maize Soil VWC'!$F$2:$F$4000=AJ$5),'2016 E Maize Soil VWC'!$G$2:$G$4000)</f>
        <v>0.31854679946944281</v>
      </c>
      <c r="AK176" s="1" cm="1">
        <f t="array" ref="AK176">_xlfn.XLOOKUP(1,('2016 E Maize Soil VWC'!$C$2:$C$4000=$AA176)*('2016 E Maize Soil VWC'!$E$2:$E$4000=$AB176)*('2016 E Maize Soil VWC'!$F$2:$F$4000=AK$5),'2016 E Maize Soil VWC'!$G$2:$G$4000)</f>
        <v>0.30627330936165947</v>
      </c>
      <c r="AL176" s="1" cm="1">
        <f t="array" ref="AL176">_xlfn.XLOOKUP(1,('2016 E Maize Soil VWC'!$C$2:$C$4000=$AA176)*('2016 E Maize Soil VWC'!$E$2:$E$4000=$AB176)*('2016 E Maize Soil VWC'!$F$2:$F$4000=AL$5),'2016 E Maize Soil VWC'!$G$2:$G$4000)</f>
        <v>0.32319515486474137</v>
      </c>
      <c r="AM176" s="1" cm="1">
        <f t="array" ref="AM176">_xlfn.XLOOKUP(1,('2016 E Maize Soil VWC'!$C$2:$C$4000=$AA176)*('2016 E Maize Soil VWC'!$E$2:$E$4000=$AB176)*('2016 E Maize Soil VWC'!$F$2:$F$4000=AM$5),'2016 E Maize Soil VWC'!$G$2:$G$4000)</f>
        <v>0.29331287018067925</v>
      </c>
      <c r="AN176" s="1" cm="1">
        <f t="array" ref="AN176">_xlfn.XLOOKUP(1,('2016 E Maize Soil VWC'!$C$2:$C$4000=$AA176)*('2016 E Maize Soil VWC'!$E$2:$E$4000=$AB176)*('2016 E Maize Soil VWC'!$F$2:$F$4000=AN$5),'2016 E Maize Soil VWC'!$G$2:$G$4000)</f>
        <v>0.26024772145747183</v>
      </c>
      <c r="AO176" s="1" cm="1">
        <f t="array" ref="AO176">_xlfn.XLOOKUP(1,('2016 E Maize Soil VWC'!$C$2:$C$4000=$AA176)*('2016 E Maize Soil VWC'!$E$2:$E$4000=$AB176)*('2016 E Maize Soil VWC'!$F$2:$F$4000=AO$5),'2016 E Maize Soil VWC'!$G$2:$G$4000)</f>
        <v>0.20996304929946386</v>
      </c>
      <c r="AP176" s="1" cm="1">
        <f t="array" ref="AP176">_xlfn.XLOOKUP(1,('2016 E Maize Soil VWC'!$C$2:$C$4000=$AA176)*('2016 E Maize Soil VWC'!$E$2:$E$4000=$AB176)*('2016 E Maize Soil VWC'!$F$2:$F$4000=AP$5),'2016 E Maize Soil VWC'!$G$2:$G$4000)</f>
        <v>0.21399315052888523</v>
      </c>
      <c r="AQ176" s="1" cm="1">
        <f t="array" ref="AQ176">_xlfn.XLOOKUP(1,('2016 E Maize Soil VWC'!$C$2:$C$4000=$AA176)*('2016 E Maize Soil VWC'!$E$2:$E$4000=$AB176)*('2016 E Maize Soil VWC'!$F$2:$F$4000=AQ$5),'2016 E Maize Soil VWC'!$G$2:$G$4000)</f>
        <v>0.33153013695286293</v>
      </c>
      <c r="AR176" s="1" cm="1">
        <f t="array" ref="AR176">_xlfn.XLOOKUP(1,('2016 E Maize Soil VWC'!$C$2:$C$4000=$AA176)*('2016 E Maize Soil VWC'!$E$2:$E$4000=$AB176)*('2016 E Maize Soil VWC'!$F$2:$F$4000=AR$5),'2016 E Maize Soil VWC'!$G$2:$G$4000)</f>
        <v>0.32873654405519581</v>
      </c>
      <c r="AS176" s="1" cm="1">
        <f t="array" ref="AS176">_xlfn.XLOOKUP(1,('2016 E Maize Soil VWC'!$C$2:$C$4000=$AA176)*('2016 E Maize Soil VWC'!$E$2:$E$4000=$AB176)*('2016 E Maize Soil VWC'!$F$2:$F$4000=AS$5),'2016 E Maize Soil VWC'!$G$2:$G$4000)</f>
        <v>0.32411108696233715</v>
      </c>
      <c r="AT176" s="1" cm="1">
        <f t="array" ref="AT176">_xlfn.XLOOKUP(1,('2016 E Maize Soil VWC'!$C$2:$C$4000=$AA176)*('2016 E Maize Soil VWC'!$E$2:$E$4000=$AB176)*('2016 E Maize Soil VWC'!$F$2:$F$4000=AT$5),'2016 E Maize Soil VWC'!$G$2:$G$4000)</f>
        <v>0.28880190460002003</v>
      </c>
      <c r="AU176" s="1" cm="1">
        <f t="array" ref="AU176">_xlfn.XLOOKUP(1,('2016 E Maize Soil VWC'!$C$2:$C$4000=$AA176)*('2016 E Maize Soil VWC'!$E$2:$E$4000=$AB176)*('2016 E Maize Soil VWC'!$F$2:$F$4000=AU$5),'2016 E Maize Soil VWC'!$G$2:$G$4000)</f>
        <v>0.30831125827881006</v>
      </c>
      <c r="AV176" s="1" cm="1">
        <f t="array" ref="AV176">_xlfn.XLOOKUP(1,('2016 E Maize Soil VWC'!$C$2:$C$4000=$AA176)*('2016 E Maize Soil VWC'!$E$2:$E$4000=$AB176)*('2016 E Maize Soil VWC'!$F$2:$F$4000=AV$5),'2016 E Maize Soil VWC'!$G$2:$G$4000)</f>
        <v>0.29132071786840846</v>
      </c>
    </row>
    <row r="177" spans="25:64" x14ac:dyDescent="0.25">
      <c r="AA177" s="18">
        <f t="shared" si="29"/>
        <v>42632</v>
      </c>
      <c r="AB177" s="1">
        <f t="shared" si="30"/>
        <v>50</v>
      </c>
      <c r="AC177" s="1" cm="1">
        <f t="array" ref="AC177">_xlfn.XLOOKUP(1,('2016 E Maize Soil VWC'!$C$2:$C$4000=$AA177)*('2016 E Maize Soil VWC'!$E$2:$E$4000=$AB177)*('2016 E Maize Soil VWC'!$F$2:$F$4000=AC$5),'2016 E Maize Soil VWC'!$G$2:$G$4000)</f>
        <v>0.33024783201622882</v>
      </c>
      <c r="AD177" s="1" cm="1">
        <f t="array" ref="AD177">_xlfn.XLOOKUP(1,('2016 E Maize Soil VWC'!$C$2:$C$4000=$AA177)*('2016 E Maize Soil VWC'!$E$2:$E$4000=$AB177)*('2016 E Maize Soil VWC'!$F$2:$F$4000=AD$5),'2016 E Maize Soil VWC'!$G$2:$G$4000)</f>
        <v>0.34735286393882986</v>
      </c>
      <c r="AE177" s="1" cm="1">
        <f t="array" ref="AE177">_xlfn.XLOOKUP(1,('2016 E Maize Soil VWC'!$C$2:$C$4000=$AA177)*('2016 E Maize Soil VWC'!$E$2:$E$4000=$AB177)*('2016 E Maize Soil VWC'!$F$2:$F$4000=AE$5),'2016 E Maize Soil VWC'!$G$2:$G$4000)</f>
        <v>0.35010066023161718</v>
      </c>
      <c r="AF177" s="1" cm="1">
        <f t="array" ref="AF177">_xlfn.XLOOKUP(1,('2016 E Maize Soil VWC'!$C$2:$C$4000=$AA177)*('2016 E Maize Soil VWC'!$E$2:$E$4000=$AB177)*('2016 E Maize Soil VWC'!$F$2:$F$4000=AF$5),'2016 E Maize Soil VWC'!$G$2:$G$4000)</f>
        <v>0.3361097974408418</v>
      </c>
      <c r="AG177" s="1" cm="1">
        <f t="array" ref="AG177">_xlfn.XLOOKUP(1,('2016 E Maize Soil VWC'!$C$2:$C$4000=$AA177)*('2016 E Maize Soil VWC'!$E$2:$E$4000=$AB177)*('2016 E Maize Soil VWC'!$F$2:$F$4000=AG$5),'2016 E Maize Soil VWC'!$G$2:$G$4000)</f>
        <v>0.33837672938239127</v>
      </c>
      <c r="AH177" s="1" cm="1">
        <f t="array" ref="AH177">_xlfn.XLOOKUP(1,('2016 E Maize Soil VWC'!$C$2:$C$4000=$AA177)*('2016 E Maize Soil VWC'!$E$2:$E$4000=$AB177)*('2016 E Maize Soil VWC'!$F$2:$F$4000=AH$5),'2016 E Maize Soil VWC'!$G$2:$G$4000)</f>
        <v>0.34485694897288144</v>
      </c>
      <c r="AI177" s="1" cm="1">
        <f t="array" ref="AI177">_xlfn.XLOOKUP(1,('2016 E Maize Soil VWC'!$C$2:$C$4000=$AA177)*('2016 E Maize Soil VWC'!$E$2:$E$4000=$AB177)*('2016 E Maize Soil VWC'!$F$2:$F$4000=AI$5),'2016 E Maize Soil VWC'!$G$2:$G$4000)</f>
        <v>0.3528255582219646</v>
      </c>
      <c r="AJ177" s="1" cm="1">
        <f t="array" ref="AJ177">_xlfn.XLOOKUP(1,('2016 E Maize Soil VWC'!$C$2:$C$4000=$AA177)*('2016 E Maize Soil VWC'!$E$2:$E$4000=$AB177)*('2016 E Maize Soil VWC'!$F$2:$F$4000=AJ$5),'2016 E Maize Soil VWC'!$G$2:$G$4000)</f>
        <v>0.33780427182139394</v>
      </c>
      <c r="AK177" s="1" cm="1">
        <f t="array" ref="AK177">_xlfn.XLOOKUP(1,('2016 E Maize Soil VWC'!$C$2:$C$4000=$AA177)*('2016 E Maize Soil VWC'!$E$2:$E$4000=$AB177)*('2016 E Maize Soil VWC'!$F$2:$F$4000=AK$5),'2016 E Maize Soil VWC'!$G$2:$G$4000)</f>
        <v>0.34275030514841109</v>
      </c>
      <c r="AL177" s="1" cm="1">
        <f t="array" ref="AL177">_xlfn.XLOOKUP(1,('2016 E Maize Soil VWC'!$C$2:$C$4000=$AA177)*('2016 E Maize Soil VWC'!$E$2:$E$4000=$AB177)*('2016 E Maize Soil VWC'!$F$2:$F$4000=AL$5),'2016 E Maize Soil VWC'!$G$2:$G$4000)</f>
        <v>0.34387232196796591</v>
      </c>
      <c r="AM177" s="1" cm="1">
        <f t="array" ref="AM177">_xlfn.XLOOKUP(1,('2016 E Maize Soil VWC'!$C$2:$C$4000=$AA177)*('2016 E Maize Soil VWC'!$E$2:$E$4000=$AB177)*('2016 E Maize Soil VWC'!$F$2:$F$4000=AM$5),'2016 E Maize Soil VWC'!$G$2:$G$4000)</f>
        <v>0.32864495084543621</v>
      </c>
      <c r="AN177" s="1" cm="1">
        <f t="array" ref="AN177">_xlfn.XLOOKUP(1,('2016 E Maize Soil VWC'!$C$2:$C$4000=$AA177)*('2016 E Maize Soil VWC'!$E$2:$E$4000=$AB177)*('2016 E Maize Soil VWC'!$F$2:$F$4000=AN$5),'2016 E Maize Soil VWC'!$G$2:$G$4000)</f>
        <v>0.32846176442591707</v>
      </c>
      <c r="AO177" s="1" cm="1">
        <f t="array" ref="AO177">_xlfn.XLOOKUP(1,('2016 E Maize Soil VWC'!$C$2:$C$4000=$AA177)*('2016 E Maize Soil VWC'!$E$2:$E$4000=$AB177)*('2016 E Maize Soil VWC'!$F$2:$F$4000=AO$5),'2016 E Maize Soil VWC'!$G$2:$G$4000)</f>
        <v>0.30304464871763437</v>
      </c>
      <c r="AP177" s="1" cm="1">
        <f t="array" ref="AP177">_xlfn.XLOOKUP(1,('2016 E Maize Soil VWC'!$C$2:$C$4000=$AA177)*('2016 E Maize Soil VWC'!$E$2:$E$4000=$AB177)*('2016 E Maize Soil VWC'!$F$2:$F$4000=AP$5),'2016 E Maize Soil VWC'!$G$2:$G$4000)</f>
        <v>0.29480125983927241</v>
      </c>
      <c r="AQ177" s="1" cm="1">
        <f t="array" ref="AQ177">_xlfn.XLOOKUP(1,('2016 E Maize Soil VWC'!$C$2:$C$4000=$AA177)*('2016 E Maize Soil VWC'!$E$2:$E$4000=$AB177)*('2016 E Maize Soil VWC'!$F$2:$F$4000=AQ$5),'2016 E Maize Soil VWC'!$G$2:$G$4000)</f>
        <v>0.33620139065060134</v>
      </c>
      <c r="AR177" s="1" cm="1">
        <f t="array" ref="AR177">_xlfn.XLOOKUP(1,('2016 E Maize Soil VWC'!$C$2:$C$4000=$AA177)*('2016 E Maize Soil VWC'!$E$2:$E$4000=$AB177)*('2016 E Maize Soil VWC'!$F$2:$F$4000=AR$5),'2016 E Maize Soil VWC'!$G$2:$G$4000)</f>
        <v>0.33681964481647853</v>
      </c>
      <c r="AS177" s="1" cm="1">
        <f t="array" ref="AS177">_xlfn.XLOOKUP(1,('2016 E Maize Soil VWC'!$C$2:$C$4000=$AA177)*('2016 E Maize Soil VWC'!$E$2:$E$4000=$AB177)*('2016 E Maize Soil VWC'!$F$2:$F$4000=AS$5),'2016 E Maize Soil VWC'!$G$2:$G$4000)</f>
        <v>0.35108528723653271</v>
      </c>
      <c r="AT177" s="1" cm="1">
        <f t="array" ref="AT177">_xlfn.XLOOKUP(1,('2016 E Maize Soil VWC'!$C$2:$C$4000=$AA177)*('2016 E Maize Soil VWC'!$E$2:$E$4000=$AB177)*('2016 E Maize Soil VWC'!$F$2:$F$4000=AT$5),'2016 E Maize Soil VWC'!$G$2:$G$4000)</f>
        <v>0.33617849234816144</v>
      </c>
      <c r="AU177" s="1" cm="1">
        <f t="array" ref="AU177">_xlfn.XLOOKUP(1,('2016 E Maize Soil VWC'!$C$2:$C$4000=$AA177)*('2016 E Maize Soil VWC'!$E$2:$E$4000=$AB177)*('2016 E Maize Soil VWC'!$F$2:$F$4000=AU$5),'2016 E Maize Soil VWC'!$G$2:$G$4000)</f>
        <v>0.34068945792882066</v>
      </c>
      <c r="AV177" s="1" cm="1">
        <f t="array" ref="AV177">_xlfn.XLOOKUP(1,('2016 E Maize Soil VWC'!$C$2:$C$4000=$AA177)*('2016 E Maize Soil VWC'!$E$2:$E$4000=$AB177)*('2016 E Maize Soil VWC'!$F$2:$F$4000=AV$5),'2016 E Maize Soil VWC'!$G$2:$G$4000)</f>
        <v>0.34217784758741376</v>
      </c>
    </row>
    <row r="178" spans="25:64" x14ac:dyDescent="0.25">
      <c r="AA178" s="18">
        <f t="shared" si="29"/>
        <v>42632</v>
      </c>
      <c r="AB178" s="1">
        <f t="shared" si="30"/>
        <v>70</v>
      </c>
      <c r="AC178" s="1" cm="1">
        <f t="array" ref="AC178">_xlfn.XLOOKUP(1,('2016 E Maize Soil VWC'!$C$2:$C$4000=$AA178)*('2016 E Maize Soil VWC'!$E$2:$E$4000=$AB178)*('2016 E Maize Soil VWC'!$F$2:$F$4000=AC$5),'2016 E Maize Soil VWC'!$G$2:$G$4000)</f>
        <v>0.32875944235763571</v>
      </c>
      <c r="AD178" s="1" cm="1">
        <f t="array" ref="AD178">_xlfn.XLOOKUP(1,('2016 E Maize Soil VWC'!$C$2:$C$4000=$AA178)*('2016 E Maize Soil VWC'!$E$2:$E$4000=$AB178)*('2016 E Maize Soil VWC'!$F$2:$F$4000=AD$5),'2016 E Maize Soil VWC'!$G$2:$G$4000)</f>
        <v>0.3291945101039937</v>
      </c>
      <c r="AE178" s="1" cm="1">
        <f t="array" ref="AE178">_xlfn.XLOOKUP(1,('2016 E Maize Soil VWC'!$C$2:$C$4000=$AA178)*('2016 E Maize Soil VWC'!$E$2:$E$4000=$AB178)*('2016 E Maize Soil VWC'!$F$2:$F$4000=AE$5),'2016 E Maize Soil VWC'!$G$2:$G$4000)</f>
        <v>0.34133061039713769</v>
      </c>
      <c r="AF178" s="1" cm="1">
        <f t="array" ref="AF178">_xlfn.XLOOKUP(1,('2016 E Maize Soil VWC'!$C$2:$C$4000=$AA178)*('2016 E Maize Soil VWC'!$E$2:$E$4000=$AB178)*('2016 E Maize Soil VWC'!$F$2:$F$4000=AF$5),'2016 E Maize Soil VWC'!$G$2:$G$4000)</f>
        <v>0.32628642569412708</v>
      </c>
      <c r="AG178" s="1" cm="1">
        <f t="array" ref="AG178">_xlfn.XLOOKUP(1,('2016 E Maize Soil VWC'!$C$2:$C$4000=$AA178)*('2016 E Maize Soil VWC'!$E$2:$E$4000=$AB178)*('2016 E Maize Soil VWC'!$F$2:$F$4000=AG$5),'2016 E Maize Soil VWC'!$G$2:$G$4000)</f>
        <v>0.3275229340258814</v>
      </c>
      <c r="AH178" s="1" cm="1">
        <f t="array" ref="AH178">_xlfn.XLOOKUP(1,('2016 E Maize Soil VWC'!$C$2:$C$4000=$AA178)*('2016 E Maize Soil VWC'!$E$2:$E$4000=$AB178)*('2016 E Maize Soil VWC'!$F$2:$F$4000=AH$5),'2016 E Maize Soil VWC'!$G$2:$G$4000)</f>
        <v>0.32978986596743093</v>
      </c>
      <c r="AI178" s="1" cm="1">
        <f t="array" ref="AI178">_xlfn.XLOOKUP(1,('2016 E Maize Soil VWC'!$C$2:$C$4000=$AA178)*('2016 E Maize Soil VWC'!$E$2:$E$4000=$AB178)*('2016 E Maize Soil VWC'!$F$2:$F$4000=AI$5),'2016 E Maize Soil VWC'!$G$2:$G$4000)</f>
        <v>0.34840618585106503</v>
      </c>
      <c r="AJ178" s="1" cm="1">
        <f t="array" ref="AJ178">_xlfn.XLOOKUP(1,('2016 E Maize Soil VWC'!$C$2:$C$4000=$AA178)*('2016 E Maize Soil VWC'!$E$2:$E$4000=$AB178)*('2016 E Maize Soil VWC'!$F$2:$F$4000=AJ$5),'2016 E Maize Soil VWC'!$G$2:$G$4000)</f>
        <v>0.32269139221106369</v>
      </c>
      <c r="AK178" s="1" cm="1">
        <f t="array" ref="AK178">_xlfn.XLOOKUP(1,('2016 E Maize Soil VWC'!$C$2:$C$4000=$AA178)*('2016 E Maize Soil VWC'!$E$2:$E$4000=$AB178)*('2016 E Maize Soil VWC'!$F$2:$F$4000=AK$5),'2016 E Maize Soil VWC'!$G$2:$G$4000)</f>
        <v>0.33047681504062776</v>
      </c>
      <c r="AL178" s="1" cm="1">
        <f t="array" ref="AL178">_xlfn.XLOOKUP(1,('2016 E Maize Soil VWC'!$C$2:$C$4000=$AA178)*('2016 E Maize Soil VWC'!$E$2:$E$4000=$AB178)*('2016 E Maize Soil VWC'!$F$2:$F$4000=AL$5),'2016 E Maize Soil VWC'!$G$2:$G$4000)</f>
        <v>0.32841596782103727</v>
      </c>
      <c r="AM178" s="1" cm="1">
        <f t="array" ref="AM178">_xlfn.XLOOKUP(1,('2016 E Maize Soil VWC'!$C$2:$C$4000=$AA178)*('2016 E Maize Soil VWC'!$E$2:$E$4000=$AB178)*('2016 E Maize Soil VWC'!$F$2:$F$4000=AM$5),'2016 E Maize Soil VWC'!$G$2:$G$4000)</f>
        <v>0.31788274869868588</v>
      </c>
      <c r="AN178" s="1" cm="1">
        <f t="array" ref="AN178">_xlfn.XLOOKUP(1,('2016 E Maize Soil VWC'!$C$2:$C$4000=$AA178)*('2016 E Maize Soil VWC'!$E$2:$E$4000=$AB178)*('2016 E Maize Soil VWC'!$F$2:$F$4000=AN$5),'2016 E Maize Soil VWC'!$G$2:$G$4000)</f>
        <v>0.29164129410256701</v>
      </c>
      <c r="AO178" s="1" cm="1">
        <f t="array" ref="AO178">_xlfn.XLOOKUP(1,('2016 E Maize Soil VWC'!$C$2:$C$4000=$AA178)*('2016 E Maize Soil VWC'!$E$2:$E$4000=$AB178)*('2016 E Maize Soil VWC'!$F$2:$F$4000=AO$5),'2016 E Maize Soil VWC'!$G$2:$G$4000)</f>
        <v>0.29216795505868454</v>
      </c>
      <c r="AP178" s="1" cm="1">
        <f t="array" ref="AP178">_xlfn.XLOOKUP(1,('2016 E Maize Soil VWC'!$C$2:$C$4000=$AA178)*('2016 E Maize Soil VWC'!$E$2:$E$4000=$AB178)*('2016 E Maize Soil VWC'!$F$2:$F$4000=AP$5),'2016 E Maize Soil VWC'!$G$2:$G$4000)</f>
        <v>0.3190963587280003</v>
      </c>
      <c r="AQ178" s="1" cm="1">
        <f t="array" ref="AQ178">_xlfn.XLOOKUP(1,('2016 E Maize Soil VWC'!$C$2:$C$4000=$AA178)*('2016 E Maize Soil VWC'!$E$2:$E$4000=$AB178)*('2016 E Maize Soil VWC'!$F$2:$F$4000=AQ$5),'2016 E Maize Soil VWC'!$G$2:$G$4000)</f>
        <v>0.32493542585017332</v>
      </c>
      <c r="AR178" s="1" cm="1">
        <f t="array" ref="AR178">_xlfn.XLOOKUP(1,('2016 E Maize Soil VWC'!$C$2:$C$4000=$AA178)*('2016 E Maize Soil VWC'!$E$2:$E$4000=$AB178)*('2016 E Maize Soil VWC'!$F$2:$F$4000=AR$5),'2016 E Maize Soil VWC'!$G$2:$G$4000)</f>
        <v>0.31799724021088538</v>
      </c>
      <c r="AS178" s="1" cm="1">
        <f t="array" ref="AS178">_xlfn.XLOOKUP(1,('2016 E Maize Soil VWC'!$C$2:$C$4000=$AA178)*('2016 E Maize Soil VWC'!$E$2:$E$4000=$AB178)*('2016 E Maize Soil VWC'!$F$2:$F$4000=AS$5),'2016 E Maize Soil VWC'!$G$2:$G$4000)</f>
        <v>0.33164462846506237</v>
      </c>
      <c r="AT178" s="1" cm="1">
        <f t="array" ref="AT178">_xlfn.XLOOKUP(1,('2016 E Maize Soil VWC'!$C$2:$C$4000=$AA178)*('2016 E Maize Soil VWC'!$E$2:$E$4000=$AB178)*('2016 E Maize Soil VWC'!$F$2:$F$4000=AT$5),'2016 E Maize Soil VWC'!$G$2:$G$4000)</f>
        <v>0.3206076466890333</v>
      </c>
      <c r="AU178" s="1" cm="1">
        <f t="array" ref="AU178">_xlfn.XLOOKUP(1,('2016 E Maize Soil VWC'!$C$2:$C$4000=$AA178)*('2016 E Maize Soil VWC'!$E$2:$E$4000=$AB178)*('2016 E Maize Soil VWC'!$F$2:$F$4000=AU$5),'2016 E Maize Soil VWC'!$G$2:$G$4000)</f>
        <v>0.31293671537166867</v>
      </c>
      <c r="AV178" s="1" cm="1">
        <f t="array" ref="AV178">_xlfn.XLOOKUP(1,('2016 E Maize Soil VWC'!$C$2:$C$4000=$AA178)*('2016 E Maize Soil VWC'!$E$2:$E$4000=$AB178)*('2016 E Maize Soil VWC'!$F$2:$F$4000=AV$5),'2016 E Maize Soil VWC'!$G$2:$G$4000)</f>
        <v>0.32248530748910464</v>
      </c>
    </row>
    <row r="179" spans="25:64" x14ac:dyDescent="0.25">
      <c r="AA179" s="18">
        <f t="shared" si="29"/>
        <v>42632</v>
      </c>
      <c r="AB179" s="1">
        <f t="shared" si="30"/>
        <v>90</v>
      </c>
      <c r="AC179" s="1" cm="1">
        <f t="array" ref="AC179">_xlfn.XLOOKUP(1,('2016 E Maize Soil VWC'!$C$2:$C$4000=$AA179)*('2016 E Maize Soil VWC'!$E$2:$E$4000=$AB179)*('2016 E Maize Soil VWC'!$F$2:$F$4000=AC$5),'2016 E Maize Soil VWC'!$G$2:$G$4000)</f>
        <v>0.30448724177134767</v>
      </c>
      <c r="AD179" s="1" cm="1">
        <f t="array" ref="AD179">_xlfn.XLOOKUP(1,('2016 E Maize Soil VWC'!$C$2:$C$4000=$AA179)*('2016 E Maize Soil VWC'!$E$2:$E$4000=$AB179)*('2016 E Maize Soil VWC'!$F$2:$F$4000=AD$5),'2016 E Maize Soil VWC'!$G$2:$G$4000)</f>
        <v>0.31465408805466077</v>
      </c>
      <c r="AE179" s="1" cm="1">
        <f t="array" ref="AE179">_xlfn.XLOOKUP(1,('2016 E Maize Soil VWC'!$C$2:$C$4000=$AA179)*('2016 E Maize Soil VWC'!$E$2:$E$4000=$AB179)*('2016 E Maize Soil VWC'!$F$2:$F$4000=AE$5),'2016 E Maize Soil VWC'!$G$2:$G$4000)</f>
        <v>0.31433351182050229</v>
      </c>
      <c r="AF179" s="1" cm="1">
        <f t="array" ref="AF179">_xlfn.XLOOKUP(1,('2016 E Maize Soil VWC'!$C$2:$C$4000=$AA179)*('2016 E Maize Soil VWC'!$E$2:$E$4000=$AB179)*('2016 E Maize Soil VWC'!$F$2:$F$4000=AF$5),'2016 E Maize Soil VWC'!$G$2:$G$4000)</f>
        <v>0.31016602077644151</v>
      </c>
      <c r="AG179" s="1" cm="1">
        <f t="array" ref="AG179">_xlfn.XLOOKUP(1,('2016 E Maize Soil VWC'!$C$2:$C$4000=$AA179)*('2016 E Maize Soil VWC'!$E$2:$E$4000=$AB179)*('2016 E Maize Soil VWC'!$F$2:$F$4000=AG$5),'2016 E Maize Soil VWC'!$G$2:$G$4000)</f>
        <v>0.32280588372326313</v>
      </c>
      <c r="AH179" s="1" cm="1">
        <f t="array" ref="AH179">_xlfn.XLOOKUP(1,('2016 E Maize Soil VWC'!$C$2:$C$4000=$AA179)*('2016 E Maize Soil VWC'!$E$2:$E$4000=$AB179)*('2016 E Maize Soil VWC'!$F$2:$F$4000=AH$5),'2016 E Maize Soil VWC'!$G$2:$G$4000)</f>
        <v>0.30755561429829353</v>
      </c>
      <c r="AI179" s="1" cm="1">
        <f t="array" ref="AI179">_xlfn.XLOOKUP(1,('2016 E Maize Soil VWC'!$C$2:$C$4000=$AA179)*('2016 E Maize Soil VWC'!$E$2:$E$4000=$AB179)*('2016 E Maize Soil VWC'!$F$2:$F$4000=AI$5),'2016 E Maize Soil VWC'!$G$2:$G$4000)</f>
        <v>0.34517752520703998</v>
      </c>
      <c r="AJ179" s="1" cm="1">
        <f t="array" ref="AJ179">_xlfn.XLOOKUP(1,('2016 E Maize Soil VWC'!$C$2:$C$4000=$AA179)*('2016 E Maize Soil VWC'!$E$2:$E$4000=$AB179)*('2016 E Maize Soil VWC'!$F$2:$F$4000=AJ$5),'2016 E Maize Soil VWC'!$G$2:$G$4000)</f>
        <v>0.31140252910819577</v>
      </c>
      <c r="AK179" s="1" cm="1">
        <f t="array" ref="AK179">_xlfn.XLOOKUP(1,('2016 E Maize Soil VWC'!$C$2:$C$4000=$AA179)*('2016 E Maize Soil VWC'!$E$2:$E$4000=$AB179)*('2016 E Maize Soil VWC'!$F$2:$F$4000=AK$5),'2016 E Maize Soil VWC'!$G$2:$G$4000)</f>
        <v>0.31634856243521298</v>
      </c>
      <c r="AL179" s="1" cm="1">
        <f t="array" ref="AL179">_xlfn.XLOOKUP(1,('2016 E Maize Soil VWC'!$C$2:$C$4000=$AA179)*('2016 E Maize Soil VWC'!$E$2:$E$4000=$AB179)*('2016 E Maize Soil VWC'!$F$2:$F$4000=AL$5),'2016 E Maize Soil VWC'!$G$2:$G$4000)</f>
        <v>0.31245585102043094</v>
      </c>
      <c r="AM179" s="1" cm="1">
        <f t="array" ref="AM179">_xlfn.XLOOKUP(1,('2016 E Maize Soil VWC'!$C$2:$C$4000=$AA179)*('2016 E Maize Soil VWC'!$E$2:$E$4000=$AB179)*('2016 E Maize Soil VWC'!$F$2:$F$4000=AM$5),'2016 E Maize Soil VWC'!$G$2:$G$4000)</f>
        <v>0.28761119287314557</v>
      </c>
      <c r="AN179" s="1" cm="1">
        <f t="array" ref="AN179">_xlfn.XLOOKUP(1,('2016 E Maize Soil VWC'!$C$2:$C$4000=$AA179)*('2016 E Maize Soil VWC'!$E$2:$E$4000=$AB179)*('2016 E Maize Soil VWC'!$F$2:$F$4000=AN$5),'2016 E Maize Soil VWC'!$G$2:$G$4000)</f>
        <v>0.2781541939654692</v>
      </c>
      <c r="AO179" s="1" cm="1">
        <f t="array" ref="AO179">_xlfn.XLOOKUP(1,('2016 E Maize Soil VWC'!$C$2:$C$4000=$AA179)*('2016 E Maize Soil VWC'!$E$2:$E$4000=$AB179)*('2016 E Maize Soil VWC'!$F$2:$F$4000=AO$5),'2016 E Maize Soil VWC'!$G$2:$G$4000)</f>
        <v>0.28083329535093687</v>
      </c>
      <c r="AP179" s="1" cm="1">
        <f t="array" ref="AP179">_xlfn.XLOOKUP(1,('2016 E Maize Soil VWC'!$C$2:$C$4000=$AA179)*('2016 E Maize Soil VWC'!$E$2:$E$4000=$AB179)*('2016 E Maize Soil VWC'!$F$2:$F$4000=AP$5),'2016 E Maize Soil VWC'!$G$2:$G$4000)</f>
        <v>0.28122256649241506</v>
      </c>
      <c r="AQ179" s="1" cm="1">
        <f t="array" ref="AQ179">_xlfn.XLOOKUP(1,('2016 E Maize Soil VWC'!$C$2:$C$4000=$AA179)*('2016 E Maize Soil VWC'!$E$2:$E$4000=$AB179)*('2016 E Maize Soil VWC'!$F$2:$F$4000=AQ$5),'2016 E Maize Soil VWC'!$G$2:$G$4000)</f>
        <v>0.31618827431813368</v>
      </c>
      <c r="AR179" s="1" cm="1">
        <f t="array" ref="AR179">_xlfn.XLOOKUP(1,('2016 E Maize Soil VWC'!$C$2:$C$4000=$AA179)*('2016 E Maize Soil VWC'!$E$2:$E$4000=$AB179)*('2016 E Maize Soil VWC'!$F$2:$F$4000=AR$5),'2016 E Maize Soil VWC'!$G$2:$G$4000)</f>
        <v>0.30934168188860534</v>
      </c>
      <c r="AS179" s="1" cm="1">
        <f t="array" ref="AS179">_xlfn.XLOOKUP(1,('2016 E Maize Soil VWC'!$C$2:$C$4000=$AA179)*('2016 E Maize Soil VWC'!$E$2:$E$4000=$AB179)*('2016 E Maize Soil VWC'!$F$2:$F$4000=AS$5),'2016 E Maize Soil VWC'!$G$2:$G$4000)</f>
        <v>0.32285168032814293</v>
      </c>
      <c r="AT179" s="1" cm="1">
        <f t="array" ref="AT179">_xlfn.XLOOKUP(1,('2016 E Maize Soil VWC'!$C$2:$C$4000=$AA179)*('2016 E Maize Soil VWC'!$E$2:$E$4000=$AB179)*('2016 E Maize Soil VWC'!$F$2:$F$4000=AT$5),'2016 E Maize Soil VWC'!$G$2:$G$4000)</f>
        <v>0.29773224255157887</v>
      </c>
      <c r="AU179" s="1" cm="1">
        <f t="array" ref="AU179">_xlfn.XLOOKUP(1,('2016 E Maize Soil VWC'!$C$2:$C$4000=$AA179)*('2016 E Maize Soil VWC'!$E$2:$E$4000=$AB179)*('2016 E Maize Soil VWC'!$F$2:$F$4000=AU$5),'2016 E Maize Soil VWC'!$G$2:$G$4000)</f>
        <v>0.28937436216101747</v>
      </c>
      <c r="AV179" s="1" cm="1">
        <f t="array" ref="AV179">_xlfn.XLOOKUP(1,('2016 E Maize Soil VWC'!$C$2:$C$4000=$AA179)*('2016 E Maize Soil VWC'!$E$2:$E$4000=$AB179)*('2016 E Maize Soil VWC'!$F$2:$F$4000=AV$5),'2016 E Maize Soil VWC'!$G$2:$G$4000)</f>
        <v>0.29997627619068851</v>
      </c>
    </row>
    <row r="180" spans="25:64" x14ac:dyDescent="0.25">
      <c r="AA180" s="18">
        <f t="shared" si="29"/>
        <v>42632</v>
      </c>
      <c r="AB180" s="1">
        <f t="shared" si="30"/>
        <v>110</v>
      </c>
      <c r="AC180" s="1" cm="1">
        <f t="array" ref="AC180">_xlfn.XLOOKUP(1,('2016 E Maize Soil VWC'!$C$2:$C$4000=$AA180)*('2016 E Maize Soil VWC'!$E$2:$E$4000=$AB180)*('2016 E Maize Soil VWC'!$F$2:$F$4000=AC$5),'2016 E Maize Soil VWC'!$G$2:$G$4000)</f>
        <v>0.31557002015225655</v>
      </c>
      <c r="AD180" s="1" cm="1">
        <f t="array" ref="AD180">_xlfn.XLOOKUP(1,('2016 E Maize Soil VWC'!$C$2:$C$4000=$AA180)*('2016 E Maize Soil VWC'!$E$2:$E$4000=$AB180)*('2016 E Maize Soil VWC'!$F$2:$F$4000=AD$5),'2016 E Maize Soil VWC'!$G$2:$G$4000)</f>
        <v>0.31518074901077836</v>
      </c>
      <c r="AE180" s="1" cm="1">
        <f t="array" ref="AE180">_xlfn.XLOOKUP(1,('2016 E Maize Soil VWC'!$C$2:$C$4000=$AA180)*('2016 E Maize Soil VWC'!$E$2:$E$4000=$AB180)*('2016 E Maize Soil VWC'!$F$2:$F$4000=AE$5),'2016 E Maize Soil VWC'!$G$2:$G$4000)</f>
        <v>0.30828835997637016</v>
      </c>
      <c r="AF180" s="1" cm="1">
        <f t="array" ref="AF180">_xlfn.XLOOKUP(1,('2016 E Maize Soil VWC'!$C$2:$C$4000=$AA180)*('2016 E Maize Soil VWC'!$E$2:$E$4000=$AB180)*('2016 E Maize Soil VWC'!$F$2:$F$4000=AF$5),'2016 E Maize Soil VWC'!$G$2:$G$4000)</f>
        <v>0.31518074901077836</v>
      </c>
      <c r="AG180" s="1" cm="1">
        <f t="array" ref="AG180">_xlfn.XLOOKUP(1,('2016 E Maize Soil VWC'!$C$2:$C$4000=$AA180)*('2016 E Maize Soil VWC'!$E$2:$E$4000=$AB180)*('2016 E Maize Soil VWC'!$F$2:$F$4000=AG$5),'2016 E Maize Soil VWC'!$G$2:$G$4000)</f>
        <v>0.32317225656230147</v>
      </c>
      <c r="AH180" s="1" cm="1">
        <f t="array" ref="AH180">_xlfn.XLOOKUP(1,('2016 E Maize Soil VWC'!$C$2:$C$4000=$AA180)*('2016 E Maize Soil VWC'!$E$2:$E$4000=$AB180)*('2016 E Maize Soil VWC'!$F$2:$F$4000=AH$5),'2016 E Maize Soil VWC'!$G$2:$G$4000)</f>
        <v>0.31176890194723411</v>
      </c>
      <c r="AI180" s="1" cm="1">
        <f t="array" ref="AI180">_xlfn.XLOOKUP(1,('2016 E Maize Soil VWC'!$C$2:$C$4000=$AA180)*('2016 E Maize Soil VWC'!$E$2:$E$4000=$AB180)*('2016 E Maize Soil VWC'!$F$2:$F$4000=AI$5),'2016 E Maize Soil VWC'!$G$2:$G$4000)</f>
        <v>0.32534759529409141</v>
      </c>
      <c r="AJ180" s="1" cm="1">
        <f t="array" ref="AJ180">_xlfn.XLOOKUP(1,('2016 E Maize Soil VWC'!$C$2:$C$4000=$AA180)*('2016 E Maize Soil VWC'!$E$2:$E$4000=$AB180)*('2016 E Maize Soil VWC'!$F$2:$F$4000=AJ$5),'2016 E Maize Soil VWC'!$G$2:$G$4000)</f>
        <v>0.32337834128426052</v>
      </c>
      <c r="AK180" s="1" cm="1">
        <f t="array" ref="AK180">_xlfn.XLOOKUP(1,('2016 E Maize Soil VWC'!$C$2:$C$4000=$AA180)*('2016 E Maize Soil VWC'!$E$2:$E$4000=$AB180)*('2016 E Maize Soil VWC'!$F$2:$F$4000=AK$5),'2016 E Maize Soil VWC'!$G$2:$G$4000)</f>
        <v>0.32317225656230147</v>
      </c>
      <c r="AL180" s="1" cm="1">
        <f t="array" ref="AL180">_xlfn.XLOOKUP(1,('2016 E Maize Soil VWC'!$C$2:$C$4000=$AA180)*('2016 E Maize Soil VWC'!$E$2:$E$4000=$AB180)*('2016 E Maize Soil VWC'!$F$2:$F$4000=AL$5),'2016 E Maize Soil VWC'!$G$2:$G$4000)</f>
        <v>0.32342413788914032</v>
      </c>
      <c r="AM180" s="1" cm="1">
        <f t="array" ref="AM180">_xlfn.XLOOKUP(1,('2016 E Maize Soil VWC'!$C$2:$C$4000=$AA180)*('2016 E Maize Soil VWC'!$E$2:$E$4000=$AB180)*('2016 E Maize Soil VWC'!$F$2:$F$4000=AM$5),'2016 E Maize Soil VWC'!$G$2:$G$4000)</f>
        <v>0.29154970089280735</v>
      </c>
      <c r="AN180" s="1" cm="1">
        <f t="array" ref="AN180">_xlfn.XLOOKUP(1,('2016 E Maize Soil VWC'!$C$2:$C$4000=$AA180)*('2016 E Maize Soil VWC'!$E$2:$E$4000=$AB180)*('2016 E Maize Soil VWC'!$F$2:$F$4000=AN$5),'2016 E Maize Soil VWC'!$G$2:$G$4000)</f>
        <v>0.30457883498110727</v>
      </c>
      <c r="AO180" s="1" cm="1">
        <f t="array" ref="AO180">_xlfn.XLOOKUP(1,('2016 E Maize Soil VWC'!$C$2:$C$4000=$AA180)*('2016 E Maize Soil VWC'!$E$2:$E$4000=$AB180)*('2016 E Maize Soil VWC'!$F$2:$F$4000=AO$5),'2016 E Maize Soil VWC'!$G$2:$G$4000)</f>
        <v>0.30728083466901479</v>
      </c>
      <c r="AP180" s="1" cm="1">
        <f t="array" ref="AP180">_xlfn.XLOOKUP(1,('2016 E Maize Soil VWC'!$C$2:$C$4000=$AA180)*('2016 E Maize Soil VWC'!$E$2:$E$4000=$AB180)*('2016 E Maize Soil VWC'!$F$2:$F$4000=AP$5),'2016 E Maize Soil VWC'!$G$2:$G$4000)</f>
        <v>0.30187683529319975</v>
      </c>
      <c r="AQ180" s="1" cm="1">
        <f t="array" ref="AQ180">_xlfn.XLOOKUP(1,('2016 E Maize Soil VWC'!$C$2:$C$4000=$AA180)*('2016 E Maize Soil VWC'!$E$2:$E$4000=$AB180)*('2016 E Maize Soil VWC'!$F$2:$F$4000=AQ$5),'2016 E Maize Soil VWC'!$G$2:$G$4000)</f>
        <v>0.32337834128426052</v>
      </c>
      <c r="AR180" s="1" cm="1">
        <f t="array" ref="AR180">_xlfn.XLOOKUP(1,('2016 E Maize Soil VWC'!$C$2:$C$4000=$AA180)*('2016 E Maize Soil VWC'!$E$2:$E$4000=$AB180)*('2016 E Maize Soil VWC'!$F$2:$F$4000=AR$5),'2016 E Maize Soil VWC'!$G$2:$G$4000)</f>
        <v>0.31685232508889066</v>
      </c>
      <c r="AS180" s="1" cm="1">
        <f t="array" ref="AS180">_xlfn.XLOOKUP(1,('2016 E Maize Soil VWC'!$C$2:$C$4000=$AA180)*('2016 E Maize Soil VWC'!$E$2:$E$4000=$AB180)*('2016 E Maize Soil VWC'!$F$2:$F$4000=AS$5),'2016 E Maize Soil VWC'!$G$2:$G$4000)</f>
        <v>0.31797434190844548</v>
      </c>
      <c r="AT180" s="1" cm="1">
        <f t="array" ref="AT180">_xlfn.XLOOKUP(1,('2016 E Maize Soil VWC'!$C$2:$C$4000=$AA180)*('2016 E Maize Soil VWC'!$E$2:$E$4000=$AB180)*('2016 E Maize Soil VWC'!$F$2:$F$4000=AT$5),'2016 E Maize Soil VWC'!$G$2:$G$4000)</f>
        <v>0.31547842694249695</v>
      </c>
      <c r="AU180" s="1" cm="1">
        <f t="array" ref="AU180">_xlfn.XLOOKUP(1,('2016 E Maize Soil VWC'!$C$2:$C$4000=$AA180)*('2016 E Maize Soil VWC'!$E$2:$E$4000=$AB180)*('2016 E Maize Soil VWC'!$F$2:$F$4000=AU$5),'2016 E Maize Soil VWC'!$G$2:$G$4000)</f>
        <v>0.31792854530356568</v>
      </c>
      <c r="AV180" s="1" cm="1">
        <f t="array" ref="AV180">_xlfn.XLOOKUP(1,('2016 E Maize Soil VWC'!$C$2:$C$4000=$AA180)*('2016 E Maize Soil VWC'!$E$2:$E$4000=$AB180)*('2016 E Maize Soil VWC'!$F$2:$F$4000=AV$5),'2016 E Maize Soil VWC'!$G$2:$G$4000)</f>
        <v>0.29244273468796328</v>
      </c>
    </row>
    <row r="181" spans="25:64" x14ac:dyDescent="0.25">
      <c r="AA181" s="18">
        <f t="shared" si="29"/>
        <v>42632</v>
      </c>
      <c r="AB181" s="1">
        <f t="shared" si="30"/>
        <v>130</v>
      </c>
      <c r="AC181" s="1" cm="1">
        <f t="array" ref="AC181">_xlfn.XLOOKUP(1,('2016 E Maize Soil VWC'!$C$2:$C$4000=$AA181)*('2016 E Maize Soil VWC'!$E$2:$E$4000=$AB181)*('2016 E Maize Soil VWC'!$F$2:$F$4000=AC$5),'2016 E Maize Soil VWC'!$G$2:$G$4000)</f>
        <v>0.30313163876411386</v>
      </c>
      <c r="AD181" s="1" cm="1">
        <f t="array" ref="AD181">_xlfn.XLOOKUP(1,('2016 E Maize Soil VWC'!$C$2:$C$4000=$AA181)*('2016 E Maize Soil VWC'!$E$2:$E$4000=$AB181)*('2016 E Maize Soil VWC'!$F$2:$F$4000=AD$5),'2016 E Maize Soil VWC'!$G$2:$G$4000)</f>
        <v>0.29661102957076146</v>
      </c>
      <c r="AE181" s="1" cm="1">
        <f t="array" ref="AE181">_xlfn.XLOOKUP(1,('2016 E Maize Soil VWC'!$C$2:$C$4000=$AA181)*('2016 E Maize Soil VWC'!$E$2:$E$4000=$AB181)*('2016 E Maize Soil VWC'!$F$2:$F$4000=AE$5),'2016 E Maize Soil VWC'!$G$2:$G$4000)</f>
        <v>0.2938470698529822</v>
      </c>
      <c r="AF181" s="1" cm="1">
        <f t="array" ref="AF181">_xlfn.XLOOKUP(1,('2016 E Maize Soil VWC'!$C$2:$C$4000=$AA181)*('2016 E Maize Soil VWC'!$E$2:$E$4000=$AB181)*('2016 E Maize Soil VWC'!$F$2:$F$4000=AF$5),'2016 E Maize Soil VWC'!$G$2:$G$4000)</f>
        <v>0.29787622239932238</v>
      </c>
      <c r="AG181" s="1" cm="1">
        <f t="array" ref="AG181">_xlfn.XLOOKUP(1,('2016 E Maize Soil VWC'!$C$2:$C$4000=$AA181)*('2016 E Maize Soil VWC'!$E$2:$E$4000=$AB181)*('2016 E Maize Soil VWC'!$F$2:$F$4000=AG$5),'2016 E Maize Soil VWC'!$G$2:$G$4000)</f>
        <v>0.30320949678433301</v>
      </c>
      <c r="AH181" s="1" cm="1">
        <f t="array" ref="AH181">_xlfn.XLOOKUP(1,('2016 E Maize Soil VWC'!$C$2:$C$4000=$AA181)*('2016 E Maize Soil VWC'!$E$2:$E$4000=$AB181)*('2016 E Maize Soil VWC'!$F$2:$F$4000=AH$5),'2016 E Maize Soil VWC'!$G$2:$G$4000)</f>
        <v>0.29719496472240498</v>
      </c>
      <c r="AI181" s="1" cm="1">
        <f t="array" ref="AI181">_xlfn.XLOOKUP(1,('2016 E Maize Soil VWC'!$C$2:$C$4000=$AA181)*('2016 E Maize Soil VWC'!$E$2:$E$4000=$AB181)*('2016 E Maize Soil VWC'!$F$2:$F$4000=AI$5),'2016 E Maize Soil VWC'!$G$2:$G$4000)</f>
        <v>0.30544791486563311</v>
      </c>
      <c r="AJ181" s="1" cm="1">
        <f t="array" ref="AJ181">_xlfn.XLOOKUP(1,('2016 E Maize Soil VWC'!$C$2:$C$4000=$AA181)*('2016 E Maize Soil VWC'!$E$2:$E$4000=$AB181)*('2016 E Maize Soil VWC'!$F$2:$F$4000=AJ$5),'2016 E Maize Soil VWC'!$G$2:$G$4000)</f>
        <v>0.32755959260786699</v>
      </c>
      <c r="AK181" s="1" cm="1">
        <f t="array" ref="AK181">_xlfn.XLOOKUP(1,('2016 E Maize Soil VWC'!$C$2:$C$4000=$AA181)*('2016 E Maize Soil VWC'!$E$2:$E$4000=$AB181)*('2016 E Maize Soil VWC'!$F$2:$F$4000=AK$5),'2016 E Maize Soil VWC'!$G$2:$G$4000)</f>
        <v>0.28993470433697072</v>
      </c>
      <c r="AL181" s="1" cm="1">
        <f t="array" ref="AL181">_xlfn.XLOOKUP(1,('2016 E Maize Soil VWC'!$C$2:$C$4000=$AA181)*('2016 E Maize Soil VWC'!$E$2:$E$4000=$AB181)*('2016 E Maize Soil VWC'!$F$2:$F$4000=AL$5),'2016 E Maize Soil VWC'!$G$2:$G$4000)</f>
        <v>0.30060125310699204</v>
      </c>
      <c r="AM181" s="1" cm="1">
        <f t="array" ref="AM181">_xlfn.XLOOKUP(1,('2016 E Maize Soil VWC'!$C$2:$C$4000=$AA181)*('2016 E Maize Soil VWC'!$E$2:$E$4000=$AB181)*('2016 E Maize Soil VWC'!$F$2:$F$4000=AM$5),'2016 E Maize Soil VWC'!$G$2:$G$4000)</f>
        <v>0.2916281162767369</v>
      </c>
      <c r="AN181" s="1" cm="1">
        <f t="array" ref="AN181">_xlfn.XLOOKUP(1,('2016 E Maize Soil VWC'!$C$2:$C$4000=$AA181)*('2016 E Maize Soil VWC'!$E$2:$E$4000=$AB181)*('2016 E Maize Soil VWC'!$F$2:$F$4000=AN$5),'2016 E Maize Soil VWC'!$G$2:$G$4000)</f>
        <v>0.28448464292163139</v>
      </c>
      <c r="AO181" s="1" cm="1">
        <f t="array" ref="AO181">_xlfn.XLOOKUP(1,('2016 E Maize Soil VWC'!$C$2:$C$4000=$AA181)*('2016 E Maize Soil VWC'!$E$2:$E$4000=$AB181)*('2016 E Maize Soil VWC'!$F$2:$F$4000=AO$5),'2016 E Maize Soil VWC'!$G$2:$G$4000)</f>
        <v>0.3105670796950411</v>
      </c>
      <c r="AP181" s="1" cm="1">
        <f t="array" ref="AP181">_xlfn.XLOOKUP(1,('2016 E Maize Soil VWC'!$C$2:$C$4000=$AA181)*('2016 E Maize Soil VWC'!$E$2:$E$4000=$AB181)*('2016 E Maize Soil VWC'!$F$2:$F$4000=AP$5),'2016 E Maize Soil VWC'!$G$2:$G$4000)</f>
        <v>0.3040075414915791</v>
      </c>
      <c r="AQ181" s="1" cm="1">
        <f t="array" ref="AQ181">_xlfn.XLOOKUP(1,('2016 E Maize Soil VWC'!$C$2:$C$4000=$AA181)*('2016 E Maize Soil VWC'!$E$2:$E$4000=$AB181)*('2016 E Maize Soil VWC'!$F$2:$F$4000=AQ$5),'2016 E Maize Soil VWC'!$G$2:$G$4000)</f>
        <v>0.29853801557118498</v>
      </c>
      <c r="AR181" s="1" cm="1">
        <f t="array" ref="AR181">_xlfn.XLOOKUP(1,('2016 E Maize Soil VWC'!$C$2:$C$4000=$AA181)*('2016 E Maize Soil VWC'!$E$2:$E$4000=$AB181)*('2016 E Maize Soil VWC'!$F$2:$F$4000=AR$5),'2016 E Maize Soil VWC'!$G$2:$G$4000)</f>
        <v>0.29661102957076146</v>
      </c>
      <c r="AS181" s="1" cm="1">
        <f t="array" ref="AS181">_xlfn.XLOOKUP(1,('2016 E Maize Soil VWC'!$C$2:$C$4000=$AA181)*('2016 E Maize Soil VWC'!$E$2:$E$4000=$AB181)*('2016 E Maize Soil VWC'!$F$2:$F$4000=AS$5),'2016 E Maize Soil VWC'!$G$2:$G$4000)</f>
        <v>0.30204162648104599</v>
      </c>
      <c r="AT181" s="1" cm="1">
        <f t="array" ref="AT181">_xlfn.XLOOKUP(1,('2016 E Maize Soil VWC'!$C$2:$C$4000=$AA181)*('2016 E Maize Soil VWC'!$E$2:$E$4000=$AB181)*('2016 E Maize Soil VWC'!$F$2:$F$4000=AT$5),'2016 E Maize Soil VWC'!$G$2:$G$4000)</f>
        <v>0.29974481488458155</v>
      </c>
      <c r="AU181" s="1" cm="1">
        <f t="array" ref="AU181">_xlfn.XLOOKUP(1,('2016 E Maize Soil VWC'!$C$2:$C$4000=$AA181)*('2016 E Maize Soil VWC'!$E$2:$E$4000=$AB181)*('2016 E Maize Soil VWC'!$F$2:$F$4000=AU$5),'2016 E Maize Soil VWC'!$G$2:$G$4000)</f>
        <v>0.29668888759098055</v>
      </c>
      <c r="AV181" s="1" cm="1">
        <f t="array" ref="AV181">_xlfn.XLOOKUP(1,('2016 E Maize Soil VWC'!$C$2:$C$4000=$AA181)*('2016 E Maize Soil VWC'!$E$2:$E$4000=$AB181)*('2016 E Maize Soil VWC'!$F$2:$F$4000=AV$5),'2016 E Maize Soil VWC'!$G$2:$G$4000)</f>
        <v>0.26505906687695757</v>
      </c>
    </row>
    <row r="182" spans="25:64" x14ac:dyDescent="0.25">
      <c r="AA182" s="18">
        <f t="shared" si="29"/>
        <v>42632</v>
      </c>
      <c r="AB182" s="1">
        <f t="shared" si="30"/>
        <v>150</v>
      </c>
      <c r="AC182" s="1" cm="1">
        <f t="array" ref="AC182">_xlfn.XLOOKUP(1,('2016 E Maize Soil VWC'!$C$2:$C$4000=$AA182)*('2016 E Maize Soil VWC'!$E$2:$E$4000=$AB182)*('2016 E Maize Soil VWC'!$F$2:$F$4000=AC$5),'2016 E Maize Soil VWC'!$G$2:$G$4000)</f>
        <v>0.32037719024265193</v>
      </c>
      <c r="AD182" s="1" cm="1">
        <f t="array" ref="AD182">_xlfn.XLOOKUP(1,('2016 E Maize Soil VWC'!$C$2:$C$4000=$AA182)*('2016 E Maize Soil VWC'!$E$2:$E$4000=$AB182)*('2016 E Maize Soil VWC'!$F$2:$F$4000=AD$5),'2016 E Maize Soil VWC'!$G$2:$G$4000)</f>
        <v>0.31553052848401092</v>
      </c>
      <c r="AE182" s="1" cm="1">
        <f t="array" ref="AE182">_xlfn.XLOOKUP(1,('2016 E Maize Soil VWC'!$C$2:$C$4000=$AA182)*('2016 E Maize Soil VWC'!$E$2:$E$4000=$AB182)*('2016 E Maize Soil VWC'!$F$2:$F$4000=AE$5),'2016 E Maize Soil VWC'!$G$2:$G$4000)</f>
        <v>0.2981876544801989</v>
      </c>
      <c r="AF182" s="1" cm="1">
        <f t="array" ref="AF182">_xlfn.XLOOKUP(1,('2016 E Maize Soil VWC'!$C$2:$C$4000=$AA182)*('2016 E Maize Soil VWC'!$E$2:$E$4000=$AB182)*('2016 E Maize Soil VWC'!$F$2:$F$4000=AF$5),'2016 E Maize Soil VWC'!$G$2:$G$4000)</f>
        <v>0.27662098287949888</v>
      </c>
      <c r="AG182" s="1" cm="1">
        <f t="array" ref="AG182">_xlfn.XLOOKUP(1,('2016 E Maize Soil VWC'!$C$2:$C$4000=$AA182)*('2016 E Maize Soil VWC'!$E$2:$E$4000=$AB182)*('2016 E Maize Soil VWC'!$F$2:$F$4000=AG$5),'2016 E Maize Soil VWC'!$G$2:$G$4000)</f>
        <v>0.35763225291750733</v>
      </c>
      <c r="AH182" s="1" cm="1">
        <f t="array" ref="AH182">_xlfn.XLOOKUP(1,('2016 E Maize Soil VWC'!$C$2:$C$4000=$AA182)*('2016 E Maize Soil VWC'!$E$2:$E$4000=$AB182)*('2016 E Maize Soil VWC'!$F$2:$F$4000=AH$5),'2016 E Maize Soil VWC'!$G$2:$G$4000)</f>
        <v>0.3398416952974353</v>
      </c>
      <c r="AI182" s="1" cm="1">
        <f t="array" ref="AI182">_xlfn.XLOOKUP(1,('2016 E Maize Soil VWC'!$C$2:$C$4000=$AA182)*('2016 E Maize Soil VWC'!$E$2:$E$4000=$AB182)*('2016 E Maize Soil VWC'!$F$2:$F$4000=AI$5),'2016 E Maize Soil VWC'!$G$2:$G$4000)</f>
        <v>0.30200269747093644</v>
      </c>
      <c r="AJ182" s="1" cm="1">
        <f t="array" ref="AJ182">_xlfn.XLOOKUP(1,('2016 E Maize Soil VWC'!$C$2:$C$4000=$AA182)*('2016 E Maize Soil VWC'!$E$2:$E$4000=$AB182)*('2016 E Maize Soil VWC'!$F$2:$F$4000=AJ$5),'2016 E Maize Soil VWC'!$G$2:$G$4000)</f>
        <v>0.33211428679068633</v>
      </c>
      <c r="AK182" s="1" cm="1">
        <f t="array" ref="AK182">_xlfn.XLOOKUP(1,('2016 E Maize Soil VWC'!$C$2:$C$4000=$AA182)*('2016 E Maize Soil VWC'!$E$2:$E$4000=$AB182)*('2016 E Maize Soil VWC'!$F$2:$F$4000=AK$5),'2016 E Maize Soil VWC'!$G$2:$G$4000)</f>
        <v>0.31963753905057019</v>
      </c>
      <c r="AL182" s="1" cm="1">
        <f t="array" ref="AL182">_xlfn.XLOOKUP(1,('2016 E Maize Soil VWC'!$C$2:$C$4000=$AA182)*('2016 E Maize Soil VWC'!$E$2:$E$4000=$AB182)*('2016 E Maize Soil VWC'!$F$2:$F$4000=AL$5),'2016 E Maize Soil VWC'!$G$2:$G$4000)</f>
        <v>0.32643065131468957</v>
      </c>
      <c r="AM182" s="1" cm="1">
        <f t="array" ref="AM182">_xlfn.XLOOKUP(1,('2016 E Maize Soil VWC'!$C$2:$C$4000=$AA182)*('2016 E Maize Soil VWC'!$E$2:$E$4000=$AB182)*('2016 E Maize Soil VWC'!$F$2:$F$4000=AM$5),'2016 E Maize Soil VWC'!$G$2:$G$4000)</f>
        <v>0.3229854339199929</v>
      </c>
      <c r="AN182" s="1" cm="1">
        <f t="array" ref="AN182">_xlfn.XLOOKUP(1,('2016 E Maize Soil VWC'!$C$2:$C$4000=$AA182)*('2016 E Maize Soil VWC'!$E$2:$E$4000=$AB182)*('2016 E Maize Soil VWC'!$F$2:$F$4000=AN$5),'2016 E Maize Soil VWC'!$G$2:$G$4000)</f>
        <v>0.31076172474558894</v>
      </c>
      <c r="AO182" s="1" cm="1">
        <f t="array" ref="AO182">_xlfn.XLOOKUP(1,('2016 E Maize Soil VWC'!$C$2:$C$4000=$AA182)*('2016 E Maize Soil VWC'!$E$2:$E$4000=$AB182)*('2016 E Maize Soil VWC'!$F$2:$F$4000=AO$5),'2016 E Maize Soil VWC'!$G$2:$G$4000)</f>
        <v>0.29448939851979006</v>
      </c>
      <c r="AP182" s="1" cm="1">
        <f t="array" ref="AP182">_xlfn.XLOOKUP(1,('2016 E Maize Soil VWC'!$C$2:$C$4000=$AA182)*('2016 E Maize Soil VWC'!$E$2:$E$4000=$AB182)*('2016 E Maize Soil VWC'!$F$2:$F$4000=AP$5),'2016 E Maize Soil VWC'!$G$2:$G$4000)</f>
        <v>0.29026560092290205</v>
      </c>
      <c r="AQ182" s="1" cm="1">
        <f t="array" ref="AQ182">_xlfn.XLOOKUP(1,('2016 E Maize Soil VWC'!$C$2:$C$4000=$AA182)*('2016 E Maize Soil VWC'!$E$2:$E$4000=$AB182)*('2016 E Maize Soil VWC'!$F$2:$F$4000=AQ$5),'2016 E Maize Soil VWC'!$G$2:$G$4000)</f>
        <v>0.34042563044907881</v>
      </c>
      <c r="AR182" s="1" cm="1">
        <f t="array" ref="AR182">_xlfn.XLOOKUP(1,('2016 E Maize Soil VWC'!$C$2:$C$4000=$AA182)*('2016 E Maize Soil VWC'!$E$2:$E$4000=$AB182)*('2016 E Maize Soil VWC'!$F$2:$F$4000=AR$5),'2016 E Maize Soil VWC'!$G$2:$G$4000)</f>
        <v>0.32123362846506237</v>
      </c>
      <c r="AS182" s="1" cm="1">
        <f t="array" ref="AS182">_xlfn.XLOOKUP(1,('2016 E Maize Soil VWC'!$C$2:$C$4000=$AA182)*('2016 E Maize Soil VWC'!$E$2:$E$4000=$AB182)*('2016 E Maize Soil VWC'!$F$2:$F$4000=AS$5),'2016 E Maize Soil VWC'!$G$2:$G$4000)</f>
        <v>0.30727757834078268</v>
      </c>
      <c r="AT182" s="1" cm="1">
        <f t="array" ref="AT182">_xlfn.XLOOKUP(1,('2016 E Maize Soil VWC'!$C$2:$C$4000=$AA182)*('2016 E Maize Soil VWC'!$E$2:$E$4000=$AB182)*('2016 E Maize Soil VWC'!$F$2:$F$4000=AT$5),'2016 E Maize Soil VWC'!$G$2:$G$4000)</f>
        <v>0.31521909640313434</v>
      </c>
      <c r="AU182" s="1" cm="1">
        <f t="array" ref="AU182">_xlfn.XLOOKUP(1,('2016 E Maize Soil VWC'!$C$2:$C$4000=$AA182)*('2016 E Maize Soil VWC'!$E$2:$E$4000=$AB182)*('2016 E Maize Soil VWC'!$F$2:$F$4000=AU$5),'2016 E Maize Soil VWC'!$G$2:$G$4000)</f>
        <v>0.31905360389892667</v>
      </c>
      <c r="AV182" s="1" cm="1">
        <f t="array" ref="AV182">_xlfn.XLOOKUP(1,('2016 E Maize Soil VWC'!$C$2:$C$4000=$AA182)*('2016 E Maize Soil VWC'!$E$2:$E$4000=$AB182)*('2016 E Maize Soil VWC'!$F$2:$F$4000=AV$5),'2016 E Maize Soil VWC'!$G$2:$G$4000)</f>
        <v>0.32639172230457997</v>
      </c>
    </row>
    <row r="183" spans="25:64" x14ac:dyDescent="0.25">
      <c r="AA183" s="18">
        <f t="shared" si="29"/>
        <v>42632</v>
      </c>
      <c r="AB183" s="1">
        <f t="shared" si="30"/>
        <v>170</v>
      </c>
      <c r="AC183" s="1" cm="1">
        <f t="array" ref="AC183">_xlfn.XLOOKUP(1,('2016 E Maize Soil VWC'!$C$2:$C$4000=$AA183)*('2016 E Maize Soil VWC'!$E$2:$E$4000=$AB183)*('2016 E Maize Soil VWC'!$F$2:$F$4000=AC$5),'2016 E Maize Soil VWC'!$G$2:$G$4000)</f>
        <v>0.25857738669371472</v>
      </c>
      <c r="AD183" s="1" cm="1">
        <f t="array" ref="AD183">_xlfn.XLOOKUP(1,('2016 E Maize Soil VWC'!$C$2:$C$4000=$AA183)*('2016 E Maize Soil VWC'!$E$2:$E$4000=$AB183)*('2016 E Maize Soil VWC'!$F$2:$F$4000=AD$5),'2016 E Maize Soil VWC'!$G$2:$G$4000)</f>
        <v>0.26048490818908349</v>
      </c>
      <c r="AE183" s="1" cm="1">
        <f t="array" ref="AE183">_xlfn.XLOOKUP(1,('2016 E Maize Soil VWC'!$C$2:$C$4000=$AA183)*('2016 E Maize Soil VWC'!$E$2:$E$4000=$AB183)*('2016 E Maize Soil VWC'!$F$2:$F$4000=AE$5),'2016 E Maize Soil VWC'!$G$2:$G$4000)</f>
        <v>0.26875732283736642</v>
      </c>
      <c r="AF183" s="1" cm="1">
        <f t="array" ref="AF183">_xlfn.XLOOKUP(1,('2016 E Maize Soil VWC'!$C$2:$C$4000=$AA183)*('2016 E Maize Soil VWC'!$E$2:$E$4000=$AB183)*('2016 E Maize Soil VWC'!$F$2:$F$4000=AF$5),'2016 E Maize Soil VWC'!$G$2:$G$4000)</f>
        <v>0.27340933954545965</v>
      </c>
      <c r="AG183" s="1" cm="1">
        <f t="array" ref="AG183">_xlfn.XLOOKUP(1,('2016 E Maize Soil VWC'!$C$2:$C$4000=$AA183)*('2016 E Maize Soil VWC'!$E$2:$E$4000=$AB183)*('2016 E Maize Soil VWC'!$F$2:$F$4000=AG$5),'2016 E Maize Soil VWC'!$G$2:$G$4000)</f>
        <v>0.32639172230457997</v>
      </c>
      <c r="AH183" s="1" cm="1">
        <f t="array" ref="AH183">_xlfn.XLOOKUP(1,('2016 E Maize Soil VWC'!$C$2:$C$4000=$AA183)*('2016 E Maize Soil VWC'!$E$2:$E$4000=$AB183)*('2016 E Maize Soil VWC'!$F$2:$F$4000=AH$5),'2016 E Maize Soil VWC'!$G$2:$G$4000)</f>
        <v>0.32899996598192094</v>
      </c>
      <c r="AI183" s="1" cm="1">
        <f t="array" ref="AI183">_xlfn.XLOOKUP(1,('2016 E Maize Soil VWC'!$C$2:$C$4000=$AA183)*('2016 E Maize Soil VWC'!$E$2:$E$4000=$AB183)*('2016 E Maize Soil VWC'!$F$2:$F$4000=AI$5),'2016 E Maize Soil VWC'!$G$2:$G$4000)</f>
        <v>0.29859640908634932</v>
      </c>
      <c r="AJ183" s="1" cm="1">
        <f t="array" ref="AJ183">_xlfn.XLOOKUP(1,('2016 E Maize Soil VWC'!$C$2:$C$4000=$AA183)*('2016 E Maize Soil VWC'!$E$2:$E$4000=$AB183)*('2016 E Maize Soil VWC'!$F$2:$F$4000=AJ$5),'2016 E Maize Soil VWC'!$G$2:$G$4000)</f>
        <v>0.29881051864195196</v>
      </c>
      <c r="AK183" s="1" cm="1">
        <f t="array" ref="AK183">_xlfn.XLOOKUP(1,('2016 E Maize Soil VWC'!$C$2:$C$4000=$AA183)*('2016 E Maize Soil VWC'!$E$2:$E$4000=$AB183)*('2016 E Maize Soil VWC'!$F$2:$F$4000=AK$5),'2016 E Maize Soil VWC'!$G$2:$G$4000)</f>
        <v>0.28442624940646705</v>
      </c>
      <c r="AL183" s="1" cm="1">
        <f t="array" ref="AL183">_xlfn.XLOOKUP(1,('2016 E Maize Soil VWC'!$C$2:$C$4000=$AA183)*('2016 E Maize Soil VWC'!$E$2:$E$4000=$AB183)*('2016 E Maize Soil VWC'!$F$2:$F$4000=AL$5),'2016 E Maize Soil VWC'!$G$2:$G$4000)</f>
        <v>0.29398332138836569</v>
      </c>
      <c r="AM183" s="1" cm="1">
        <f t="array" ref="AM183">_xlfn.XLOOKUP(1,('2016 E Maize Soil VWC'!$C$2:$C$4000=$AA183)*('2016 E Maize Soil VWC'!$E$2:$E$4000=$AB183)*('2016 E Maize Soil VWC'!$F$2:$F$4000=AM$5),'2016 E Maize Soil VWC'!$G$2:$G$4000)</f>
        <v>0.31665946977718834</v>
      </c>
      <c r="AN183" s="1" cm="1">
        <f t="array" ref="AN183">_xlfn.XLOOKUP(1,('2016 E Maize Soil VWC'!$C$2:$C$4000=$AA183)*('2016 E Maize Soil VWC'!$E$2:$E$4000=$AB183)*('2016 E Maize Soil VWC'!$F$2:$F$4000=AN$5),'2016 E Maize Soil VWC'!$G$2:$G$4000)</f>
        <v>0.32820192127467485</v>
      </c>
      <c r="AO183" s="1" cm="1">
        <f t="array" ref="AO183">_xlfn.XLOOKUP(1,('2016 E Maize Soil VWC'!$C$2:$C$4000=$AA183)*('2016 E Maize Soil VWC'!$E$2:$E$4000=$AB183)*('2016 E Maize Soil VWC'!$F$2:$F$4000=AO$5),'2016 E Maize Soil VWC'!$G$2:$G$4000)</f>
        <v>0.29096632310487425</v>
      </c>
      <c r="AP183" s="1" cm="1">
        <f t="array" ref="AP183">_xlfn.XLOOKUP(1,('2016 E Maize Soil VWC'!$C$2:$C$4000=$AA183)*('2016 E Maize Soil VWC'!$E$2:$E$4000=$AB183)*('2016 E Maize Soil VWC'!$F$2:$F$4000=AP$5),'2016 E Maize Soil VWC'!$G$2:$G$4000)</f>
        <v>0.31045029266471241</v>
      </c>
      <c r="AQ183" s="1" cm="1">
        <f t="array" ref="AQ183">_xlfn.XLOOKUP(1,('2016 E Maize Soil VWC'!$C$2:$C$4000=$AA183)*('2016 E Maize Soil VWC'!$E$2:$E$4000=$AB183)*('2016 E Maize Soil VWC'!$F$2:$F$4000=AQ$5),'2016 E Maize Soil VWC'!$G$2:$G$4000)</f>
        <v>0.33121891955816624</v>
      </c>
      <c r="AR183" s="1" cm="1">
        <f t="array" ref="AR183">_xlfn.XLOOKUP(1,('2016 E Maize Soil VWC'!$C$2:$C$4000=$AA183)*('2016 E Maize Soil VWC'!$E$2:$E$4000=$AB183)*('2016 E Maize Soil VWC'!$F$2:$F$4000=AR$5),'2016 E Maize Soil VWC'!$G$2:$G$4000)</f>
        <v>0.32043558375781628</v>
      </c>
      <c r="AS183" s="1" cm="1">
        <f t="array" ref="AS183">_xlfn.XLOOKUP(1,('2016 E Maize Soil VWC'!$C$2:$C$4000=$AA183)*('2016 E Maize Soil VWC'!$E$2:$E$4000=$AB183)*('2016 E Maize Soil VWC'!$F$2:$F$4000=AS$5),'2016 E Maize Soil VWC'!$G$2:$G$4000)</f>
        <v>0.30737490086605662</v>
      </c>
      <c r="AT183" s="1" cm="1">
        <f t="array" ref="AT183">_xlfn.XLOOKUP(1,('2016 E Maize Soil VWC'!$C$2:$C$4000=$AA183)*('2016 E Maize Soil VWC'!$E$2:$E$4000=$AB183)*('2016 E Maize Soil VWC'!$F$2:$F$4000=AT$5),'2016 E Maize Soil VWC'!$G$2:$G$4000)</f>
        <v>0.31883949434332404</v>
      </c>
      <c r="AU183" s="1" cm="1">
        <f t="array" ref="AU183">_xlfn.XLOOKUP(1,('2016 E Maize Soil VWC'!$C$2:$C$4000=$AA183)*('2016 E Maize Soil VWC'!$E$2:$E$4000=$AB183)*('2016 E Maize Soil VWC'!$F$2:$F$4000=AU$5),'2016 E Maize Soil VWC'!$G$2:$G$4000)</f>
        <v>0.30609024353244096</v>
      </c>
      <c r="AV183" s="1" cm="1">
        <f t="array" ref="AV183">_xlfn.XLOOKUP(1,('2016 E Maize Soil VWC'!$C$2:$C$4000=$AA183)*('2016 E Maize Soil VWC'!$E$2:$E$4000=$AB183)*('2016 E Maize Soil VWC'!$F$2:$F$4000=AV$5),'2016 E Maize Soil VWC'!$G$2:$G$4000)</f>
        <v>0.30844544864406975</v>
      </c>
    </row>
    <row r="184" spans="25:64" x14ac:dyDescent="0.25">
      <c r="AA184" s="18">
        <f t="shared" si="29"/>
        <v>42632</v>
      </c>
      <c r="AB184" s="1">
        <f t="shared" si="30"/>
        <v>190</v>
      </c>
      <c r="AC184" s="1" cm="1">
        <f t="array" ref="AC184">_xlfn.XLOOKUP(1,('2016 E Maize Soil VWC'!$C$2:$C$4000=$AA184)*('2016 E Maize Soil VWC'!$E$2:$E$4000=$AB184)*('2016 E Maize Soil VWC'!$F$2:$F$4000=AC$5),'2016 E Maize Soil VWC'!$G$2:$G$4000)</f>
        <v>0.26951643853450297</v>
      </c>
      <c r="AD184" s="1" cm="1">
        <f t="array" ref="AD184">_xlfn.XLOOKUP(1,('2016 E Maize Soil VWC'!$C$2:$C$4000=$AA184)*('2016 E Maize Soil VWC'!$E$2:$E$4000=$AB184)*('2016 E Maize Soil VWC'!$F$2:$F$4000=AD$5),'2016 E Maize Soil VWC'!$G$2:$G$4000)</f>
        <v>0.27948226512255209</v>
      </c>
      <c r="AE184" s="1" cm="1">
        <f t="array" ref="AE184">_xlfn.XLOOKUP(1,('2016 E Maize Soil VWC'!$C$2:$C$4000=$AA184)*('2016 E Maize Soil VWC'!$E$2:$E$4000=$AB184)*('2016 E Maize Soil VWC'!$F$2:$F$4000=AE$5),'2016 E Maize Soil VWC'!$G$2:$G$4000)</f>
        <v>0.28022191631463383</v>
      </c>
      <c r="AF184" s="1" cm="1">
        <f t="array" ref="AF184">_xlfn.XLOOKUP(1,('2016 E Maize Soil VWC'!$C$2:$C$4000=$AA184)*('2016 E Maize Soil VWC'!$E$2:$E$4000=$AB184)*('2016 E Maize Soil VWC'!$F$2:$F$4000=AF$5),'2016 E Maize Soil VWC'!$G$2:$G$4000)</f>
        <v>0.28323891459812528</v>
      </c>
      <c r="AG184" s="1" cm="1">
        <f t="array" ref="AG184">_xlfn.XLOOKUP(1,('2016 E Maize Soil VWC'!$C$2:$C$4000=$AA184)*('2016 E Maize Soil VWC'!$E$2:$E$4000=$AB184)*('2016 E Maize Soil VWC'!$F$2:$F$4000=AG$5),'2016 E Maize Soil VWC'!$G$2:$G$4000)</f>
        <v>0.32584671616304606</v>
      </c>
      <c r="AH184" s="1" cm="1">
        <f t="array" ref="AH184">_xlfn.XLOOKUP(1,('2016 E Maize Soil VWC'!$C$2:$C$4000=$AA184)*('2016 E Maize Soil VWC'!$E$2:$E$4000=$AB184)*('2016 E Maize Soil VWC'!$F$2:$F$4000=AH$5),'2016 E Maize Soil VWC'!$G$2:$G$4000)</f>
        <v>0.33933561816601099</v>
      </c>
      <c r="AI184" s="1" cm="1">
        <f t="array" ref="AI184">_xlfn.XLOOKUP(1,('2016 E Maize Soil VWC'!$C$2:$C$4000=$AA184)*('2016 E Maize Soil VWC'!$E$2:$E$4000=$AB184)*('2016 E Maize Soil VWC'!$F$2:$F$4000=AI$5),'2016 E Maize Soil VWC'!$G$2:$G$4000)</f>
        <v>0.29591030738878921</v>
      </c>
      <c r="AJ184" s="1" cm="1">
        <f t="array" ref="AJ184">_xlfn.XLOOKUP(1,('2016 E Maize Soil VWC'!$C$2:$C$4000=$AA184)*('2016 E Maize Soil VWC'!$E$2:$E$4000=$AB184)*('2016 E Maize Soil VWC'!$F$2:$F$4000=AJ$5),'2016 E Maize Soil VWC'!$G$2:$G$4000)</f>
        <v>0.28442624940646705</v>
      </c>
      <c r="AK184" s="1" cm="1">
        <f t="array" ref="AK184">_xlfn.XLOOKUP(1,('2016 E Maize Soil VWC'!$C$2:$C$4000=$AA184)*('2016 E Maize Soil VWC'!$E$2:$E$4000=$AB184)*('2016 E Maize Soil VWC'!$F$2:$F$4000=AK$5),'2016 E Maize Soil VWC'!$G$2:$G$4000)</f>
        <v>0.27360398459600749</v>
      </c>
      <c r="AL184" s="1" cm="1">
        <f t="array" ref="AL184">_xlfn.XLOOKUP(1,('2016 E Maize Soil VWC'!$C$2:$C$4000=$AA184)*('2016 E Maize Soil VWC'!$E$2:$E$4000=$AB184)*('2016 E Maize Soil VWC'!$F$2:$F$4000=AL$5),'2016 E Maize Soil VWC'!$G$2:$G$4000)</f>
        <v>0.27835332382937461</v>
      </c>
      <c r="AM184" s="1" cm="1">
        <f t="array" ref="AM184">_xlfn.XLOOKUP(1,('2016 E Maize Soil VWC'!$C$2:$C$4000=$AA184)*('2016 E Maize Soil VWC'!$E$2:$E$4000=$AB184)*('2016 E Maize Soil VWC'!$F$2:$F$4000=AM$5),'2016 E Maize Soil VWC'!$G$2:$G$4000)</f>
        <v>0.29947231181381456</v>
      </c>
      <c r="AN184" s="1" cm="1">
        <f t="array" ref="AN184">_xlfn.XLOOKUP(1,('2016 E Maize Soil VWC'!$C$2:$C$4000=$AA184)*('2016 E Maize Soil VWC'!$E$2:$E$4000=$AB184)*('2016 E Maize Soil VWC'!$F$2:$F$4000=AN$5),'2016 E Maize Soil VWC'!$G$2:$G$4000)</f>
        <v>0.30926295785637059</v>
      </c>
      <c r="AO184" s="1" cm="1">
        <f t="array" ref="AO184">_xlfn.XLOOKUP(1,('2016 E Maize Soil VWC'!$C$2:$C$4000=$AA184)*('2016 E Maize Soil VWC'!$E$2:$E$4000=$AB184)*('2016 E Maize Soil VWC'!$F$2:$F$4000=AO$5),'2016 E Maize Soil VWC'!$G$2:$G$4000)</f>
        <v>0.28158443166846864</v>
      </c>
      <c r="AP184" s="1" cm="1">
        <f t="array" ref="AP184">_xlfn.XLOOKUP(1,('2016 E Maize Soil VWC'!$C$2:$C$4000=$AA184)*('2016 E Maize Soil VWC'!$E$2:$E$4000=$AB184)*('2016 E Maize Soil VWC'!$F$2:$F$4000=AP$5),'2016 E Maize Soil VWC'!$G$2:$G$4000)</f>
        <v>0.29199794187277778</v>
      </c>
      <c r="AQ184" s="1" cm="1">
        <f t="array" ref="AQ184">_xlfn.XLOOKUP(1,('2016 E Maize Soil VWC'!$C$2:$C$4000=$AA184)*('2016 E Maize Soil VWC'!$E$2:$E$4000=$AB184)*('2016 E Maize Soil VWC'!$F$2:$F$4000=AQ$5),'2016 E Maize Soil VWC'!$G$2:$G$4000)</f>
        <v>0.33781738677173784</v>
      </c>
      <c r="AR184" s="1" cm="1">
        <f t="array" ref="AR184">_xlfn.XLOOKUP(1,('2016 E Maize Soil VWC'!$C$2:$C$4000=$AA184)*('2016 E Maize Soil VWC'!$E$2:$E$4000=$AB184)*('2016 E Maize Soil VWC'!$F$2:$F$4000=AR$5),'2016 E Maize Soil VWC'!$G$2:$G$4000)</f>
        <v>0.33384662774056201</v>
      </c>
      <c r="AS184" s="1" cm="1">
        <f t="array" ref="AS184">_xlfn.XLOOKUP(1,('2016 E Maize Soil VWC'!$C$2:$C$4000=$AA184)*('2016 E Maize Soil VWC'!$E$2:$E$4000=$AB184)*('2016 E Maize Soil VWC'!$F$2:$F$4000=AS$5),'2016 E Maize Soil VWC'!$G$2:$G$4000)</f>
        <v>0.31154030494778029</v>
      </c>
      <c r="AT184" s="1" cm="1">
        <f t="array" ref="AT184">_xlfn.XLOOKUP(1,('2016 E Maize Soil VWC'!$C$2:$C$4000=$AA184)*('2016 E Maize Soil VWC'!$E$2:$E$4000=$AB184)*('2016 E Maize Soil VWC'!$F$2:$F$4000=AT$5),'2016 E Maize Soil VWC'!$G$2:$G$4000)</f>
        <v>0.30609024353244096</v>
      </c>
      <c r="AU184" s="1" cm="1">
        <f t="array" ref="AU184">_xlfn.XLOOKUP(1,('2016 E Maize Soil VWC'!$C$2:$C$4000=$AA184)*('2016 E Maize Soil VWC'!$E$2:$E$4000=$AB184)*('2016 E Maize Soil VWC'!$F$2:$F$4000=AU$5),'2016 E Maize Soil VWC'!$G$2:$G$4000)</f>
        <v>0.2901682783976281</v>
      </c>
      <c r="AV184" s="1" cm="1">
        <f t="array" ref="AV184">_xlfn.XLOOKUP(1,('2016 E Maize Soil VWC'!$C$2:$C$4000=$AA184)*('2016 E Maize Soil VWC'!$E$2:$E$4000=$AB184)*('2016 E Maize Soil VWC'!$F$2:$F$4000=AV$5),'2016 E Maize Soil VWC'!$G$2:$G$4000)</f>
        <v>0.29188115484244903</v>
      </c>
    </row>
    <row r="185" spans="25:64" x14ac:dyDescent="0.25">
      <c r="AA185" s="18">
        <f t="shared" si="29"/>
        <v>42632</v>
      </c>
      <c r="AB185" s="1">
        <f t="shared" si="30"/>
        <v>210</v>
      </c>
      <c r="AC185" s="1" cm="1">
        <f t="array" ref="AC185">_xlfn.XLOOKUP(1,('2016 E Maize Soil VWC'!$C$2:$C$4000=$AA185)*('2016 E Maize Soil VWC'!$E$2:$E$4000=$AB185)*('2016 E Maize Soil VWC'!$F$2:$F$4000=AC$5),'2016 E Maize Soil VWC'!$G$2:$G$4000)</f>
        <v>0.29211472890310647</v>
      </c>
      <c r="AD185" s="1" cm="1">
        <f t="array" ref="AD185">_xlfn.XLOOKUP(1,('2016 E Maize Soil VWC'!$C$2:$C$4000=$AA185)*('2016 E Maize Soil VWC'!$E$2:$E$4000=$AB185)*('2016 E Maize Soil VWC'!$F$2:$F$4000=AD$5),'2016 E Maize Soil VWC'!$G$2:$G$4000)</f>
        <v>0.29024613641784724</v>
      </c>
      <c r="AE185" s="1" cm="1">
        <f t="array" ref="AE185">_xlfn.XLOOKUP(1,('2016 E Maize Soil VWC'!$C$2:$C$4000=$AA185)*('2016 E Maize Soil VWC'!$E$2:$E$4000=$AB185)*('2016 E Maize Soil VWC'!$F$2:$F$4000=AE$5),'2016 E Maize Soil VWC'!$G$2:$G$4000)</f>
        <v>0.26332672592708184</v>
      </c>
      <c r="AF185" s="1" cm="1">
        <f t="array" ref="AF185">_xlfn.XLOOKUP(1,('2016 E Maize Soil VWC'!$C$2:$C$4000=$AA185)*('2016 E Maize Soil VWC'!$E$2:$E$4000=$AB185)*('2016 E Maize Soil VWC'!$F$2:$F$4000=AF$5),'2016 E Maize Soil VWC'!$G$2:$G$4000)</f>
        <v>0.27989101972870251</v>
      </c>
      <c r="AG185" s="1" t="e" cm="1">
        <f t="array" ref="AG185">_xlfn.XLOOKUP(1,('2016 E Maize Soil VWC'!$C$2:$C$4000=$AA185)*('2016 E Maize Soil VWC'!$E$2:$E$4000=$AB185)*('2016 E Maize Soil VWC'!$F$2:$F$4000=AG$5),'2016 E Maize Soil VWC'!$G$2:$G$4000)</f>
        <v>#N/A</v>
      </c>
      <c r="AH185" s="1" t="e" cm="1">
        <f t="array" ref="AH185">_xlfn.XLOOKUP(1,('2016 E Maize Soil VWC'!$C$2:$C$4000=$AA185)*('2016 E Maize Soil VWC'!$E$2:$E$4000=$AB185)*('2016 E Maize Soil VWC'!$F$2:$F$4000=AH$5),'2016 E Maize Soil VWC'!$G$2:$G$4000)</f>
        <v>#N/A</v>
      </c>
      <c r="AI185" s="1" cm="1">
        <f t="array" ref="AI185">_xlfn.XLOOKUP(1,('2016 E Maize Soil VWC'!$C$2:$C$4000=$AA185)*('2016 E Maize Soil VWC'!$E$2:$E$4000=$AB185)*('2016 E Maize Soil VWC'!$F$2:$F$4000=AI$5),'2016 E Maize Soil VWC'!$G$2:$G$4000)</f>
        <v>0.26342404845235573</v>
      </c>
      <c r="AJ185" s="1" cm="1">
        <f t="array" ref="AJ185">_xlfn.XLOOKUP(1,('2016 E Maize Soil VWC'!$C$2:$C$4000=$AA185)*('2016 E Maize Soil VWC'!$E$2:$E$4000=$AB185)*('2016 E Maize Soil VWC'!$F$2:$F$4000=AJ$5),'2016 E Maize Soil VWC'!$G$2:$G$4000)</f>
        <v>0.29659156506570666</v>
      </c>
      <c r="AK185" s="1" cm="1">
        <f t="array" ref="AK185">_xlfn.XLOOKUP(1,('2016 E Maize Soil VWC'!$C$2:$C$4000=$AA185)*('2016 E Maize Soil VWC'!$E$2:$E$4000=$AB185)*('2016 E Maize Soil VWC'!$F$2:$F$4000=AK$5),'2016 E Maize Soil VWC'!$G$2:$G$4000)</f>
        <v>0.28148710914319475</v>
      </c>
      <c r="AL185" s="1" cm="1">
        <f t="array" ref="AL185">_xlfn.XLOOKUP(1,('2016 E Maize Soil VWC'!$C$2:$C$4000=$AA185)*('2016 E Maize Soil VWC'!$E$2:$E$4000=$AB185)*('2016 E Maize Soil VWC'!$F$2:$F$4000=AL$5),'2016 E Maize Soil VWC'!$G$2:$G$4000)</f>
        <v>0.24868941812588474</v>
      </c>
      <c r="AM185" s="1" cm="1">
        <f t="array" ref="AM185">_xlfn.XLOOKUP(1,('2016 E Maize Soil VWC'!$C$2:$C$4000=$AA185)*('2016 E Maize Soil VWC'!$E$2:$E$4000=$AB185)*('2016 E Maize Soil VWC'!$F$2:$F$4000=AM$5),'2016 E Maize Soil VWC'!$G$2:$G$4000)</f>
        <v>0.29540423025736484</v>
      </c>
      <c r="AN185" s="1" cm="1">
        <f t="array" ref="AN185">_xlfn.XLOOKUP(1,('2016 E Maize Soil VWC'!$C$2:$C$4000=$AA185)*('2016 E Maize Soil VWC'!$E$2:$E$4000=$AB185)*('2016 E Maize Soil VWC'!$F$2:$F$4000=AN$5),'2016 E Maize Soil VWC'!$G$2:$G$4000)</f>
        <v>0.30564255991618094</v>
      </c>
      <c r="AO185" s="1" cm="1">
        <f t="array" ref="AO185">_xlfn.XLOOKUP(1,('2016 E Maize Soil VWC'!$C$2:$C$4000=$AA185)*('2016 E Maize Soil VWC'!$E$2:$E$4000=$AB185)*('2016 E Maize Soil VWC'!$F$2:$F$4000=AO$5),'2016 E Maize Soil VWC'!$G$2:$G$4000)</f>
        <v>0.28666466748776714</v>
      </c>
      <c r="AP185" s="1" cm="1">
        <f t="array" ref="AP185">_xlfn.XLOOKUP(1,('2016 E Maize Soil VWC'!$C$2:$C$4000=$AA185)*('2016 E Maize Soil VWC'!$E$2:$E$4000=$AB185)*('2016 E Maize Soil VWC'!$F$2:$F$4000=AP$5),'2016 E Maize Soil VWC'!$G$2:$G$4000)</f>
        <v>0.26258707473500009</v>
      </c>
      <c r="AQ185" s="1" t="e" cm="1">
        <f t="array" ref="AQ185">_xlfn.XLOOKUP(1,('2016 E Maize Soil VWC'!$C$2:$C$4000=$AA185)*('2016 E Maize Soil VWC'!$E$2:$E$4000=$AB185)*('2016 E Maize Soil VWC'!$F$2:$F$4000=AQ$5),'2016 E Maize Soil VWC'!$G$2:$G$4000)</f>
        <v>#N/A</v>
      </c>
      <c r="AR185" s="1" t="e" cm="1">
        <f t="array" ref="AR185">_xlfn.XLOOKUP(1,('2016 E Maize Soil VWC'!$C$2:$C$4000=$AA185)*('2016 E Maize Soil VWC'!$E$2:$E$4000=$AB185)*('2016 E Maize Soil VWC'!$F$2:$F$4000=AR$5),'2016 E Maize Soil VWC'!$G$2:$G$4000)</f>
        <v>#N/A</v>
      </c>
      <c r="AS185" s="1" cm="1">
        <f t="array" ref="AS185">_xlfn.XLOOKUP(1,('2016 E Maize Soil VWC'!$C$2:$C$4000=$AA185)*('2016 E Maize Soil VWC'!$E$2:$E$4000=$AB185)*('2016 E Maize Soil VWC'!$F$2:$F$4000=AS$5),'2016 E Maize Soil VWC'!$G$2:$G$4000)</f>
        <v>0.30116572375358075</v>
      </c>
      <c r="AT185" s="1" cm="1">
        <f t="array" ref="AT185">_xlfn.XLOOKUP(1,('2016 E Maize Soil VWC'!$C$2:$C$4000=$AA185)*('2016 E Maize Soil VWC'!$E$2:$E$4000=$AB185)*('2016 E Maize Soil VWC'!$F$2:$F$4000=AT$5),'2016 E Maize Soil VWC'!$G$2:$G$4000)</f>
        <v>0.29645531353032317</v>
      </c>
      <c r="AU185" s="1" cm="1">
        <f t="array" ref="AU185">_xlfn.XLOOKUP(1,('2016 E Maize Soil VWC'!$C$2:$C$4000=$AA185)*('2016 E Maize Soil VWC'!$E$2:$E$4000=$AB185)*('2016 E Maize Soil VWC'!$F$2:$F$4000=AU$5),'2016 E Maize Soil VWC'!$G$2:$G$4000)</f>
        <v>0.28464035896206968</v>
      </c>
      <c r="AV185" s="1" cm="1">
        <f t="array" ref="AV185">_xlfn.XLOOKUP(1,('2016 E Maize Soil VWC'!$C$2:$C$4000=$AA185)*('2016 E Maize Soil VWC'!$E$2:$E$4000=$AB185)*('2016 E Maize Soil VWC'!$F$2:$F$4000=AV$5),'2016 E Maize Soil VWC'!$G$2:$G$4000)</f>
        <v>0.28843593744775242</v>
      </c>
    </row>
    <row r="186" spans="25:64" x14ac:dyDescent="0.25">
      <c r="AA186" s="18">
        <f t="shared" si="29"/>
        <v>42632</v>
      </c>
      <c r="AB186" s="1">
        <f t="shared" si="30"/>
        <v>230</v>
      </c>
      <c r="AC186" s="1" cm="1">
        <f t="array" ref="AC186">_xlfn.XLOOKUP(1,('2016 E Maize Soil VWC'!$C$2:$C$4000=$AA186)*('2016 E Maize Soil VWC'!$E$2:$E$4000=$AB186)*('2016 E Maize Soil VWC'!$F$2:$F$4000=AC$5),'2016 E Maize Soil VWC'!$G$2:$G$4000)</f>
        <v>0.28853325997302631</v>
      </c>
      <c r="AD186" s="1" cm="1">
        <f t="array" ref="AD186">_xlfn.XLOOKUP(1,('2016 E Maize Soil VWC'!$C$2:$C$4000=$AA186)*('2016 E Maize Soil VWC'!$E$2:$E$4000=$AB186)*('2016 E Maize Soil VWC'!$F$2:$F$4000=AD$5),'2016 E Maize Soil VWC'!$G$2:$G$4000)</f>
        <v>0.29012934938751855</v>
      </c>
      <c r="AE186" s="1" cm="1">
        <f t="array" ref="AE186">_xlfn.XLOOKUP(1,('2016 E Maize Soil VWC'!$C$2:$C$4000=$AA186)*('2016 E Maize Soil VWC'!$E$2:$E$4000=$AB186)*('2016 E Maize Soil VWC'!$F$2:$F$4000=AE$5),'2016 E Maize Soil VWC'!$G$2:$G$4000)</f>
        <v>0.26266493275521924</v>
      </c>
      <c r="AF186" s="1" cm="1">
        <f t="array" ref="AF186">_xlfn.XLOOKUP(1,('2016 E Maize Soil VWC'!$C$2:$C$4000=$AA186)*('2016 E Maize Soil VWC'!$E$2:$E$4000=$AB186)*('2016 E Maize Soil VWC'!$F$2:$F$4000=AF$5),'2016 E Maize Soil VWC'!$G$2:$G$4000)</f>
        <v>0.2705480573024065</v>
      </c>
      <c r="AG186" s="1" t="e" cm="1">
        <f t="array" ref="AG186">_xlfn.XLOOKUP(1,('2016 E Maize Soil VWC'!$C$2:$C$4000=$AA186)*('2016 E Maize Soil VWC'!$E$2:$E$4000=$AB186)*('2016 E Maize Soil VWC'!$F$2:$F$4000=AG$5),'2016 E Maize Soil VWC'!$G$2:$G$4000)</f>
        <v>#N/A</v>
      </c>
      <c r="AH186" s="1" t="e" cm="1">
        <f t="array" ref="AH186">_xlfn.XLOOKUP(1,('2016 E Maize Soil VWC'!$C$2:$C$4000=$AA186)*('2016 E Maize Soil VWC'!$E$2:$E$4000=$AB186)*('2016 E Maize Soil VWC'!$F$2:$F$4000=AH$5),'2016 E Maize Soil VWC'!$G$2:$G$4000)</f>
        <v>#N/A</v>
      </c>
      <c r="AI186" s="1" cm="1">
        <f t="array" ref="AI186">_xlfn.XLOOKUP(1,('2016 E Maize Soil VWC'!$C$2:$C$4000=$AA186)*('2016 E Maize Soil VWC'!$E$2:$E$4000=$AB186)*('2016 E Maize Soil VWC'!$F$2:$F$4000=AI$5),'2016 E Maize Soil VWC'!$G$2:$G$4000)</f>
        <v>0.26788142010990118</v>
      </c>
      <c r="AJ186" s="1" cm="1">
        <f t="array" ref="AJ186">_xlfn.XLOOKUP(1,('2016 E Maize Soil VWC'!$C$2:$C$4000=$AA186)*('2016 E Maize Soil VWC'!$E$2:$E$4000=$AB186)*('2016 E Maize Soil VWC'!$F$2:$F$4000=AJ$5),'2016 E Maize Soil VWC'!$G$2:$G$4000)</f>
        <v>0.30357932238037388</v>
      </c>
      <c r="AK186" s="1" cm="1">
        <f t="array" ref="AK186">_xlfn.XLOOKUP(1,('2016 E Maize Soil VWC'!$C$2:$C$4000=$AA186)*('2016 E Maize Soil VWC'!$E$2:$E$4000=$AB186)*('2016 E Maize Soil VWC'!$F$2:$F$4000=AK$5),'2016 E Maize Soil VWC'!$G$2:$G$4000)</f>
        <v>0.2961049524393371</v>
      </c>
      <c r="AL186" s="1" cm="1">
        <f t="array" ref="AL186">_xlfn.XLOOKUP(1,('2016 E Maize Soil VWC'!$C$2:$C$4000=$AA186)*('2016 E Maize Soil VWC'!$E$2:$E$4000=$AB186)*('2016 E Maize Soil VWC'!$F$2:$F$4000=AL$5),'2016 E Maize Soil VWC'!$G$2:$G$4000)</f>
        <v>0.25240713859134839</v>
      </c>
      <c r="AM186" s="1" cm="1">
        <f t="array" ref="AM186">_xlfn.XLOOKUP(1,('2016 E Maize Soil VWC'!$C$2:$C$4000=$AA186)*('2016 E Maize Soil VWC'!$E$2:$E$4000=$AB186)*('2016 E Maize Soil VWC'!$F$2:$F$4000=AM$5),'2016 E Maize Soil VWC'!$G$2:$G$4000)</f>
        <v>0.28549679718448012</v>
      </c>
      <c r="AN186" s="1" cm="1">
        <f t="array" ref="AN186">_xlfn.XLOOKUP(1,('2016 E Maize Soil VWC'!$C$2:$C$4000=$AA186)*('2016 E Maize Soil VWC'!$E$2:$E$4000=$AB186)*('2016 E Maize Soil VWC'!$F$2:$F$4000=AN$5),'2016 E Maize Soil VWC'!$G$2:$G$4000)</f>
        <v>0.287306996154575</v>
      </c>
      <c r="AO186" s="1" cm="1">
        <f t="array" ref="AO186">_xlfn.XLOOKUP(1,('2016 E Maize Soil VWC'!$C$2:$C$4000=$AA186)*('2016 E Maize Soil VWC'!$E$2:$E$4000=$AB186)*('2016 E Maize Soil VWC'!$F$2:$F$4000=AO$5),'2016 E Maize Soil VWC'!$G$2:$G$4000)</f>
        <v>0.28057227740561996</v>
      </c>
      <c r="AP186" s="1" cm="1">
        <f t="array" ref="AP186">_xlfn.XLOOKUP(1,('2016 E Maize Soil VWC'!$C$2:$C$4000=$AA186)*('2016 E Maize Soil VWC'!$E$2:$E$4000=$AB186)*('2016 E Maize Soil VWC'!$F$2:$F$4000=AP$5),'2016 E Maize Soil VWC'!$G$2:$G$4000)</f>
        <v>0.2733120170201857</v>
      </c>
      <c r="AQ186" s="1" t="e" cm="1">
        <f t="array" ref="AQ186">_xlfn.XLOOKUP(1,('2016 E Maize Soil VWC'!$C$2:$C$4000=$AA186)*('2016 E Maize Soil VWC'!$E$2:$E$4000=$AB186)*('2016 E Maize Soil VWC'!$F$2:$F$4000=AQ$5),'2016 E Maize Soil VWC'!$G$2:$G$4000)</f>
        <v>#N/A</v>
      </c>
      <c r="AR186" s="1" t="e" cm="1">
        <f t="array" ref="AR186">_xlfn.XLOOKUP(1,('2016 E Maize Soil VWC'!$C$2:$C$4000=$AA186)*('2016 E Maize Soil VWC'!$E$2:$E$4000=$AB186)*('2016 E Maize Soil VWC'!$F$2:$F$4000=AR$5),'2016 E Maize Soil VWC'!$G$2:$G$4000)</f>
        <v>#N/A</v>
      </c>
      <c r="AS186" s="1" cm="1">
        <f t="array" ref="AS186">_xlfn.XLOOKUP(1,('2016 E Maize Soil VWC'!$C$2:$C$4000=$AA186)*('2016 E Maize Soil VWC'!$E$2:$E$4000=$AB186)*('2016 E Maize Soil VWC'!$F$2:$F$4000=AS$5),'2016 E Maize Soil VWC'!$G$2:$G$4000)</f>
        <v>0.29207579989299692</v>
      </c>
      <c r="AT186" s="1" cm="1">
        <f t="array" ref="AT186">_xlfn.XLOOKUP(1,('2016 E Maize Soil VWC'!$C$2:$C$4000=$AA186)*('2016 E Maize Soil VWC'!$E$2:$E$4000=$AB186)*('2016 E Maize Soil VWC'!$F$2:$F$4000=AT$5),'2016 E Maize Soil VWC'!$G$2:$G$4000)</f>
        <v>0.29024613641784724</v>
      </c>
      <c r="AU186" s="1" cm="1">
        <f t="array" ref="AU186">_xlfn.XLOOKUP(1,('2016 E Maize Soil VWC'!$C$2:$C$4000=$AA186)*('2016 E Maize Soil VWC'!$E$2:$E$4000=$AB186)*('2016 E Maize Soil VWC'!$F$2:$F$4000=AU$5),'2016 E Maize Soil VWC'!$G$2:$G$4000)</f>
        <v>0.27747742110190937</v>
      </c>
      <c r="AV186" s="1" cm="1">
        <f t="array" ref="AV186">_xlfn.XLOOKUP(1,('2016 E Maize Soil VWC'!$C$2:$C$4000=$AA186)*('2016 E Maize Soil VWC'!$E$2:$E$4000=$AB186)*('2016 E Maize Soil VWC'!$F$2:$F$4000=AV$5),'2016 E Maize Soil VWC'!$G$2:$G$4000)</f>
        <v>0.29596870090395361</v>
      </c>
    </row>
    <row r="188" spans="25:64" x14ac:dyDescent="0.25">
      <c r="Y188" s="1">
        <v>2016</v>
      </c>
      <c r="Z188" s="1">
        <v>270</v>
      </c>
      <c r="AA188" s="18">
        <f>DATE(Y188,1,Z188)</f>
        <v>42639</v>
      </c>
      <c r="AB188" s="1">
        <v>10</v>
      </c>
      <c r="AC188" s="1" cm="1">
        <f t="array" ref="AC188">_xlfn.XLOOKUP(1,('2016 E Maize Soil VWC'!$C$2:$C$4000=$AA188)*('2016 E Maize Soil VWC'!$E$2:$E$4000=$AB188)*('2016 E Maize Soil VWC'!$F$2:$F$4000=AC$5),'2016 E Maize Soil VWC'!$G$2:$G$4000)</f>
        <v>0.22511266212646436</v>
      </c>
      <c r="AD188" s="1" cm="1">
        <f t="array" ref="AD188">_xlfn.XLOOKUP(1,('2016 E Maize Soil VWC'!$C$2:$C$4000=$AA188)*('2016 E Maize Soil VWC'!$E$2:$E$4000=$AB188)*('2016 E Maize Soil VWC'!$F$2:$F$4000=AD$5),'2016 E Maize Soil VWC'!$G$2:$G$4000)</f>
        <v>0.20161542888192874</v>
      </c>
      <c r="AE188" s="1" cm="1">
        <f t="array" ref="AE188">_xlfn.XLOOKUP(1,('2016 E Maize Soil VWC'!$C$2:$C$4000=$AA188)*('2016 E Maize Soil VWC'!$E$2:$E$4000=$AB188)*('2016 E Maize Soil VWC'!$F$2:$F$4000=AE$5),'2016 E Maize Soil VWC'!$G$2:$G$4000)</f>
        <v>0.20385965442446807</v>
      </c>
      <c r="AF188" s="1" cm="1">
        <f t="array" ref="AF188">_xlfn.XLOOKUP(1,('2016 E Maize Soil VWC'!$C$2:$C$4000=$AA188)*('2016 E Maize Soil VWC'!$E$2:$E$4000=$AB188)*('2016 E Maize Soil VWC'!$F$2:$F$4000=AF$5),'2016 E Maize Soil VWC'!$G$2:$G$4000)</f>
        <v>0.20946062757336958</v>
      </c>
      <c r="AG188" s="1" cm="1">
        <f t="array" ref="AG188">_xlfn.XLOOKUP(1,('2016 E Maize Soil VWC'!$C$2:$C$4000=$AA188)*('2016 E Maize Soil VWC'!$E$2:$E$4000=$AB188)*('2016 E Maize Soil VWC'!$F$2:$F$4000=AG$5),'2016 E Maize Soil VWC'!$G$2:$G$4000)</f>
        <v>0.19820113703088599</v>
      </c>
      <c r="AH188" s="1" cm="1">
        <f t="array" ref="AH188">_xlfn.XLOOKUP(1,('2016 E Maize Soil VWC'!$C$2:$C$4000=$AA188)*('2016 E Maize Soil VWC'!$E$2:$E$4000=$AB188)*('2016 E Maize Soil VWC'!$F$2:$F$4000=AH$5),'2016 E Maize Soil VWC'!$G$2:$G$4000)</f>
        <v>0.23380184307321911</v>
      </c>
      <c r="AI188" s="1" cm="1">
        <f t="array" ref="AI188">_xlfn.XLOOKUP(1,('2016 E Maize Soil VWC'!$C$2:$C$4000=$AA188)*('2016 E Maize Soil VWC'!$E$2:$E$4000=$AB188)*('2016 E Maize Soil VWC'!$F$2:$F$4000=AI$5),'2016 E Maize Soil VWC'!$G$2:$G$4000)</f>
        <v>0.23299622364769218</v>
      </c>
      <c r="AJ188" s="1" cm="1">
        <f t="array" ref="AJ188">_xlfn.XLOOKUP(1,('2016 E Maize Soil VWC'!$C$2:$C$4000=$AA188)*('2016 E Maize Soil VWC'!$E$2:$E$4000=$AB188)*('2016 E Maize Soil VWC'!$F$2:$F$4000=AJ$5),'2016 E Maize Soil VWC'!$G$2:$G$4000)</f>
        <v>0.20270876953085815</v>
      </c>
      <c r="AK188" s="1" cm="1">
        <f t="array" ref="AK188">_xlfn.XLOOKUP(1,('2016 E Maize Soil VWC'!$C$2:$C$4000=$AA188)*('2016 E Maize Soil VWC'!$E$2:$E$4000=$AB188)*('2016 E Maize Soil VWC'!$F$2:$F$4000=AK$5),'2016 E Maize Soil VWC'!$G$2:$G$4000)</f>
        <v>0.21861016247756837</v>
      </c>
      <c r="AL188" s="1" cm="1">
        <f t="array" ref="AL188">_xlfn.XLOOKUP(1,('2016 E Maize Soil VWC'!$C$2:$C$4000=$AA188)*('2016 E Maize Soil VWC'!$E$2:$E$4000=$AB188)*('2016 E Maize Soil VWC'!$F$2:$F$4000=AL$5),'2016 E Maize Soil VWC'!$G$2:$G$4000)</f>
        <v>0.24291301514763092</v>
      </c>
      <c r="AM188" s="1" cm="1">
        <f t="array" ref="AM188">_xlfn.XLOOKUP(1,('2016 E Maize Soil VWC'!$C$2:$C$4000=$AA188)*('2016 E Maize Soil VWC'!$E$2:$E$4000=$AB188)*('2016 E Maize Soil VWC'!$F$2:$F$4000=AM$5),'2016 E Maize Soil VWC'!$G$2:$G$4000)</f>
        <v>0.1809570450416309</v>
      </c>
      <c r="AN188" s="1" cm="1">
        <f t="array" ref="AN188">_xlfn.XLOOKUP(1,('2016 E Maize Soil VWC'!$C$2:$C$4000=$AA188)*('2016 E Maize Soil VWC'!$E$2:$E$4000=$AB188)*('2016 E Maize Soil VWC'!$F$2:$F$4000=AN$5),'2016 E Maize Soil VWC'!$G$2:$G$4000)</f>
        <v>0.17581642585017332</v>
      </c>
      <c r="AO188" s="1" cm="1">
        <f t="array" ref="AO188">_xlfn.XLOOKUP(1,('2016 E Maize Soil VWC'!$C$2:$C$4000=$AA188)*('2016 E Maize Soil VWC'!$E$2:$E$4000=$AB188)*('2016 E Maize Soil VWC'!$F$2:$F$4000=AO$5),'2016 E Maize Soil VWC'!$G$2:$G$4000)</f>
        <v>0.1997164688074724</v>
      </c>
      <c r="AP188" s="1" cm="1">
        <f t="array" ref="AP188">_xlfn.XLOOKUP(1,('2016 E Maize Soil VWC'!$C$2:$C$4000=$AA188)*('2016 E Maize Soil VWC'!$E$2:$E$4000=$AB188)*('2016 E Maize Soil VWC'!$F$2:$F$4000=AP$5),'2016 E Maize Soil VWC'!$G$2:$G$4000)</f>
        <v>0.1749148993501789</v>
      </c>
      <c r="AQ188" s="1" cm="1">
        <f t="array" ref="AQ188">_xlfn.XLOOKUP(1,('2016 E Maize Soil VWC'!$C$2:$C$4000=$AA188)*('2016 E Maize Soil VWC'!$E$2:$E$4000=$AB188)*('2016 E Maize Soil VWC'!$F$2:$F$4000=AQ$5),'2016 E Maize Soil VWC'!$G$2:$G$4000)</f>
        <v>0.24945387762631382</v>
      </c>
      <c r="AR188" s="1" cm="1">
        <f t="array" ref="AR188">_xlfn.XLOOKUP(1,('2016 E Maize Soil VWC'!$C$2:$C$4000=$AA188)*('2016 E Maize Soil VWC'!$E$2:$E$4000=$AB188)*('2016 E Maize Soil VWC'!$F$2:$F$4000=AR$5),'2016 E Maize Soil VWC'!$G$2:$G$4000)</f>
        <v>0.20792611438188974</v>
      </c>
      <c r="AS188" s="1" cm="1">
        <f t="array" ref="AS188">_xlfn.XLOOKUP(1,('2016 E Maize Soil VWC'!$C$2:$C$4000=$AA188)*('2016 E Maize Soil VWC'!$E$2:$E$4000=$AB188)*('2016 E Maize Soil VWC'!$F$2:$F$4000=AS$5),'2016 E Maize Soil VWC'!$G$2:$G$4000)</f>
        <v>0.15519640483966252</v>
      </c>
      <c r="AT188" s="1" cm="1">
        <f t="array" ref="AT188">_xlfn.XLOOKUP(1,('2016 E Maize Soil VWC'!$C$2:$C$4000=$AA188)*('2016 E Maize Soil VWC'!$E$2:$E$4000=$AB188)*('2016 E Maize Soil VWC'!$F$2:$F$4000=AT$5),'2016 E Maize Soil VWC'!$G$2:$G$4000)</f>
        <v>0.1918712701160315</v>
      </c>
      <c r="AU188" s="1" cm="1">
        <f t="array" ref="AU188">_xlfn.XLOOKUP(1,('2016 E Maize Soil VWC'!$C$2:$C$4000=$AA188)*('2016 E Maize Soil VWC'!$E$2:$E$4000=$AB188)*('2016 E Maize Soil VWC'!$F$2:$F$4000=AU$5),'2016 E Maize Soil VWC'!$G$2:$G$4000)</f>
        <v>0.20520235346701293</v>
      </c>
      <c r="AV188" s="1" cm="1">
        <f t="array" ref="AV188">_xlfn.XLOOKUP(1,('2016 E Maize Soil VWC'!$C$2:$C$4000=$AA188)*('2016 E Maize Soil VWC'!$E$2:$E$4000=$AB188)*('2016 E Maize Soil VWC'!$F$2:$F$4000=AV$5),'2016 E Maize Soil VWC'!$G$2:$G$4000)</f>
        <v>0.17713994347782469</v>
      </c>
      <c r="AW188" s="1">
        <f>Z188</f>
        <v>270</v>
      </c>
      <c r="AX188" s="15">
        <f>AA188</f>
        <v>42639</v>
      </c>
      <c r="AY188" s="1">
        <f>1400*AVERAGE(AG188:AH194)+100*AVERAGE(AG195:AH195)</f>
        <v>460.17067241325492</v>
      </c>
      <c r="AZ188" s="1">
        <f>1400*AVERAGE(AC188:AF194,AI188:AL194)+100*AVERAGE(AC195:AF195,AI195:AL195)</f>
        <v>450.87921330503144</v>
      </c>
      <c r="BA188" s="1">
        <f>1400*AVERAGE(AQ188:AR194)+100*AVERAGE(AQ195:AR195)</f>
        <v>457.62337783196057</v>
      </c>
      <c r="BB188" s="1">
        <f>1400*AVERAGE(AM188:AP194,AS188:AV194)+100*AVERAGE(AM195:AP195,AS195:AV195)</f>
        <v>422.2202984995875</v>
      </c>
      <c r="BC188" s="1">
        <f>AVERAGE(AC188:AD199)*2400</f>
        <v>702.42458605615434</v>
      </c>
      <c r="BD188" s="1">
        <f>AVERAGE(AE188:AF199)*2400</f>
        <v>684.90046729828248</v>
      </c>
      <c r="BE188" s="1">
        <f>AVERAGE(AG188:AH197)*2000</f>
        <v>626.1188145802912</v>
      </c>
      <c r="BF188" s="1">
        <f>AVERAGE(AI188:AJ199)*2400</f>
        <v>714.97471377553882</v>
      </c>
      <c r="BG188" s="1">
        <f>AVERAGE(AK188:AL199)*2400</f>
        <v>709.56732798131918</v>
      </c>
      <c r="BH188" s="1">
        <f>AVERAGE(AM188:AN199)*2400</f>
        <v>690.2476759588485</v>
      </c>
      <c r="BI188" s="1">
        <f>AVERAGE(AO188:AP199)*2400</f>
        <v>655.99890844210154</v>
      </c>
      <c r="BJ188" s="1">
        <f>AVERAGE(AQ188:AR197)*2000</f>
        <v>622.63819698162013</v>
      </c>
      <c r="BK188" s="1">
        <f>AVERAGE(AS188:AT199)*2400</f>
        <v>712.53102821204459</v>
      </c>
      <c r="BL188" s="1">
        <f>AVERAGE(AU188:AV199)*2400</f>
        <v>694.79188670709016</v>
      </c>
    </row>
    <row r="189" spans="25:64" x14ac:dyDescent="0.25">
      <c r="AA189" s="18">
        <f t="shared" ref="AA189:AA199" si="31">AA188</f>
        <v>42639</v>
      </c>
      <c r="AB189" s="1">
        <f t="shared" ref="AB189:AB199" si="32">AB188+20</f>
        <v>30</v>
      </c>
      <c r="AC189" s="1" cm="1">
        <f t="array" ref="AC189">_xlfn.XLOOKUP(1,('2016 E Maize Soil VWC'!$C$2:$C$4000=$AA189)*('2016 E Maize Soil VWC'!$E$2:$E$4000=$AB189)*('2016 E Maize Soil VWC'!$F$2:$F$4000=AC$5),'2016 E Maize Soil VWC'!$G$2:$G$4000)</f>
        <v>0.28694714210238864</v>
      </c>
      <c r="AD189" s="1" cm="1">
        <f t="array" ref="AD189">_xlfn.XLOOKUP(1,('2016 E Maize Soil VWC'!$C$2:$C$4000=$AA189)*('2016 E Maize Soil VWC'!$E$2:$E$4000=$AB189)*('2016 E Maize Soil VWC'!$F$2:$F$4000=AD$5),'2016 E Maize Soil VWC'!$G$2:$G$4000)</f>
        <v>0.30048003884436619</v>
      </c>
      <c r="AE189" s="1" cm="1">
        <f t="array" ref="AE189">_xlfn.XLOOKUP(1,('2016 E Maize Soil VWC'!$C$2:$C$4000=$AA189)*('2016 E Maize Soil VWC'!$E$2:$E$4000=$AB189)*('2016 E Maize Soil VWC'!$F$2:$F$4000=AE$5),'2016 E Maize Soil VWC'!$G$2:$G$4000)</f>
        <v>0.28271095615100816</v>
      </c>
      <c r="AF189" s="1" cm="1">
        <f t="array" ref="AF189">_xlfn.XLOOKUP(1,('2016 E Maize Soil VWC'!$C$2:$C$4000=$AA189)*('2016 E Maize Soil VWC'!$E$2:$E$4000=$AB189)*('2016 E Maize Soil VWC'!$F$2:$F$4000=AF$5),'2016 E Maize Soil VWC'!$G$2:$G$4000)</f>
        <v>0.28110807498021556</v>
      </c>
      <c r="AG189" s="1" cm="1">
        <f t="array" ref="AG189">_xlfn.XLOOKUP(1,('2016 E Maize Soil VWC'!$C$2:$C$4000=$AA189)*('2016 E Maize Soil VWC'!$E$2:$E$4000=$AB189)*('2016 E Maize Soil VWC'!$F$2:$F$4000=AG$5),'2016 E Maize Soil VWC'!$G$2:$G$4000)</f>
        <v>0.31247874932287084</v>
      </c>
      <c r="AH189" s="1" cm="1">
        <f t="array" ref="AH189">_xlfn.XLOOKUP(1,('2016 E Maize Soil VWC'!$C$2:$C$4000=$AA189)*('2016 E Maize Soil VWC'!$E$2:$E$4000=$AB189)*('2016 E Maize Soil VWC'!$F$2:$F$4000=AH$5),'2016 E Maize Soil VWC'!$G$2:$G$4000)</f>
        <v>0.31788274869868588</v>
      </c>
      <c r="AI189" s="1" cm="1">
        <f t="array" ref="AI189">_xlfn.XLOOKUP(1,('2016 E Maize Soil VWC'!$C$2:$C$4000=$AA189)*('2016 E Maize Soil VWC'!$E$2:$E$4000=$AB189)*('2016 E Maize Soil VWC'!$F$2:$F$4000=AI$5),'2016 E Maize Soil VWC'!$G$2:$G$4000)</f>
        <v>0.30716634315681535</v>
      </c>
      <c r="AJ189" s="1" cm="1">
        <f t="array" ref="AJ189">_xlfn.XLOOKUP(1,('2016 E Maize Soil VWC'!$C$2:$C$4000=$AA189)*('2016 E Maize Soil VWC'!$E$2:$E$4000=$AB189)*('2016 E Maize Soil VWC'!$F$2:$F$4000=AJ$5),'2016 E Maize Soil VWC'!$G$2:$G$4000)</f>
        <v>0.30061742865900554</v>
      </c>
      <c r="AK189" s="1" cm="1">
        <f t="array" ref="AK189">_xlfn.XLOOKUP(1,('2016 E Maize Soil VWC'!$C$2:$C$4000=$AA189)*('2016 E Maize Soil VWC'!$E$2:$E$4000=$AB189)*('2016 E Maize Soil VWC'!$F$2:$F$4000=AK$5),'2016 E Maize Soil VWC'!$G$2:$G$4000)</f>
        <v>0.29496154795635166</v>
      </c>
      <c r="AL189" s="1" cm="1">
        <f t="array" ref="AL189">_xlfn.XLOOKUP(1,('2016 E Maize Soil VWC'!$C$2:$C$4000=$AA189)*('2016 E Maize Soil VWC'!$E$2:$E$4000=$AB189)*('2016 E Maize Soil VWC'!$F$2:$F$4000=AL$5),'2016 E Maize Soil VWC'!$G$2:$G$4000)</f>
        <v>0.31444800333270173</v>
      </c>
      <c r="AM189" s="1" cm="1">
        <f t="array" ref="AM189">_xlfn.XLOOKUP(1,('2016 E Maize Soil VWC'!$C$2:$C$4000=$AA189)*('2016 E Maize Soil VWC'!$E$2:$E$4000=$AB189)*('2016 E Maize Soil VWC'!$F$2:$F$4000=AM$5),'2016 E Maize Soil VWC'!$G$2:$G$4000)</f>
        <v>0.27714666865811388</v>
      </c>
      <c r="AN189" s="1" cm="1">
        <f t="array" ref="AN189">_xlfn.XLOOKUP(1,('2016 E Maize Soil VWC'!$C$2:$C$4000=$AA189)*('2016 E Maize Soil VWC'!$E$2:$E$4000=$AB189)*('2016 E Maize Soil VWC'!$F$2:$F$4000=AN$5),'2016 E Maize Soil VWC'!$G$2:$G$4000)</f>
        <v>0.26065989090138997</v>
      </c>
      <c r="AO189" s="1" cm="1">
        <f t="array" ref="AO189">_xlfn.XLOOKUP(1,('2016 E Maize Soil VWC'!$C$2:$C$4000=$AA189)*('2016 E Maize Soil VWC'!$E$2:$E$4000=$AB189)*('2016 E Maize Soil VWC'!$F$2:$F$4000=AO$5),'2016 E Maize Soil VWC'!$G$2:$G$4000)</f>
        <v>0.19743767786484168</v>
      </c>
      <c r="AP189" s="1" cm="1">
        <f t="array" ref="AP189">_xlfn.XLOOKUP(1,('2016 E Maize Soil VWC'!$C$2:$C$4000=$AA189)*('2016 E Maize Soil VWC'!$E$2:$E$4000=$AB189)*('2016 E Maize Soil VWC'!$F$2:$F$4000=AP$5),'2016 E Maize Soil VWC'!$G$2:$G$4000)</f>
        <v>0.20080372832350613</v>
      </c>
      <c r="AQ189" s="1" cm="1">
        <f t="array" ref="AQ189">_xlfn.XLOOKUP(1,('2016 E Maize Soil VWC'!$C$2:$C$4000=$AA189)*('2016 E Maize Soil VWC'!$E$2:$E$4000=$AB189)*('2016 E Maize Soil VWC'!$F$2:$F$4000=AQ$5),'2016 E Maize Soil VWC'!$G$2:$G$4000)</f>
        <v>0.33210259451386026</v>
      </c>
      <c r="AR189" s="1" cm="1">
        <f t="array" ref="AR189">_xlfn.XLOOKUP(1,('2016 E Maize Soil VWC'!$C$2:$C$4000=$AA189)*('2016 E Maize Soil VWC'!$E$2:$E$4000=$AB189)*('2016 E Maize Soil VWC'!$F$2:$F$4000=AR$5),'2016 E Maize Soil VWC'!$G$2:$G$4000)</f>
        <v>0.31179180024967401</v>
      </c>
      <c r="AS189" s="1" cm="1">
        <f t="array" ref="AS189">_xlfn.XLOOKUP(1,('2016 E Maize Soil VWC'!$C$2:$C$4000=$AA189)*('2016 E Maize Soil VWC'!$E$2:$E$4000=$AB189)*('2016 E Maize Soil VWC'!$F$2:$F$4000=AS$5),'2016 E Maize Soil VWC'!$G$2:$G$4000)</f>
        <v>0.30540317386894344</v>
      </c>
      <c r="AT189" s="1" cm="1">
        <f t="array" ref="AT189">_xlfn.XLOOKUP(1,('2016 E Maize Soil VWC'!$C$2:$C$4000=$AA189)*('2016 E Maize Soil VWC'!$E$2:$E$4000=$AB189)*('2016 E Maize Soil VWC'!$F$2:$F$4000=AT$5),'2016 E Maize Soil VWC'!$G$2:$G$4000)</f>
        <v>0.27492553332144415</v>
      </c>
      <c r="AU189" s="1" cm="1">
        <f t="array" ref="AU189">_xlfn.XLOOKUP(1,('2016 E Maize Soil VWC'!$C$2:$C$4000=$AA189)*('2016 E Maize Soil VWC'!$E$2:$E$4000=$AB189)*('2016 E Maize Soil VWC'!$F$2:$F$4000=AU$5),'2016 E Maize Soil VWC'!$G$2:$G$4000)</f>
        <v>0.29152680259036751</v>
      </c>
      <c r="AV189" s="1" cm="1">
        <f t="array" ref="AV189">_xlfn.XLOOKUP(1,('2016 E Maize Soil VWC'!$C$2:$C$4000=$AA189)*('2016 E Maize Soil VWC'!$E$2:$E$4000=$AB189)*('2016 E Maize Soil VWC'!$F$2:$F$4000=AV$5),'2016 E Maize Soil VWC'!$G$2:$G$4000)</f>
        <v>0.2696589237602684</v>
      </c>
      <c r="AX189" s="15"/>
    </row>
    <row r="190" spans="25:64" x14ac:dyDescent="0.25">
      <c r="AA190" s="18">
        <f t="shared" si="31"/>
        <v>42639</v>
      </c>
      <c r="AB190" s="1">
        <f t="shared" si="32"/>
        <v>50</v>
      </c>
      <c r="AC190" s="1" cm="1">
        <f t="array" ref="AC190">_xlfn.XLOOKUP(1,('2016 E Maize Soil VWC'!$C$2:$C$4000=$AA190)*('2016 E Maize Soil VWC'!$E$2:$E$4000=$AB190)*('2016 E Maize Soil VWC'!$F$2:$F$4000=AC$5),'2016 E Maize Soil VWC'!$G$2:$G$4000)</f>
        <v>0.32873654405519581</v>
      </c>
      <c r="AD190" s="1" cm="1">
        <f t="array" ref="AD190">_xlfn.XLOOKUP(1,('2016 E Maize Soil VWC'!$C$2:$C$4000=$AA190)*('2016 E Maize Soil VWC'!$E$2:$E$4000=$AB190)*('2016 E Maize Soil VWC'!$F$2:$F$4000=AD$5),'2016 E Maize Soil VWC'!$G$2:$G$4000)</f>
        <v>0.33972772922634509</v>
      </c>
      <c r="AE190" s="1" cm="1">
        <f t="array" ref="AE190">_xlfn.XLOOKUP(1,('2016 E Maize Soil VWC'!$C$2:$C$4000=$AA190)*('2016 E Maize Soil VWC'!$E$2:$E$4000=$AB190)*('2016 E Maize Soil VWC'!$F$2:$F$4000=AE$5),'2016 E Maize Soil VWC'!$G$2:$G$4000)</f>
        <v>0.34405550838748511</v>
      </c>
      <c r="AF190" s="1" cm="1">
        <f t="array" ref="AF190">_xlfn.XLOOKUP(1,('2016 E Maize Soil VWC'!$C$2:$C$4000=$AA190)*('2016 E Maize Soil VWC'!$E$2:$E$4000=$AB190)*('2016 E Maize Soil VWC'!$F$2:$F$4000=AF$5),'2016 E Maize Soil VWC'!$G$2:$G$4000)</f>
        <v>0.32995015408451017</v>
      </c>
      <c r="AG190" s="1" cm="1">
        <f t="array" ref="AG190">_xlfn.XLOOKUP(1,('2016 E Maize Soil VWC'!$C$2:$C$4000=$AA190)*('2016 E Maize Soil VWC'!$E$2:$E$4000=$AB190)*('2016 E Maize Soil VWC'!$F$2:$F$4000=AG$5),'2016 E Maize Soil VWC'!$G$2:$G$4000)</f>
        <v>0.3309118827869858</v>
      </c>
      <c r="AH190" s="1" cm="1">
        <f t="array" ref="AH190">_xlfn.XLOOKUP(1,('2016 E Maize Soil VWC'!$C$2:$C$4000=$AA190)*('2016 E Maize Soil VWC'!$E$2:$E$4000=$AB190)*('2016 E Maize Soil VWC'!$F$2:$F$4000=AH$5),'2016 E Maize Soil VWC'!$G$2:$G$4000)</f>
        <v>0.34284189835817075</v>
      </c>
      <c r="AI190" s="1" cm="1">
        <f t="array" ref="AI190">_xlfn.XLOOKUP(1,('2016 E Maize Soil VWC'!$C$2:$C$4000=$AA190)*('2016 E Maize Soil VWC'!$E$2:$E$4000=$AB190)*('2016 E Maize Soil VWC'!$F$2:$F$4000=AI$5),'2016 E Maize Soil VWC'!$G$2:$G$4000)</f>
        <v>0.34581867767535696</v>
      </c>
      <c r="AJ190" s="1" cm="1">
        <f t="array" ref="AJ190">_xlfn.XLOOKUP(1,('2016 E Maize Soil VWC'!$C$2:$C$4000=$AA190)*('2016 E Maize Soil VWC'!$E$2:$E$4000=$AB190)*('2016 E Maize Soil VWC'!$F$2:$F$4000=AJ$5),'2016 E Maize Soil VWC'!$G$2:$G$4000)</f>
        <v>0.32816408649419848</v>
      </c>
      <c r="AK190" s="1" cm="1">
        <f t="array" ref="AK190">_xlfn.XLOOKUP(1,('2016 E Maize Soil VWC'!$C$2:$C$4000=$AA190)*('2016 E Maize Soil VWC'!$E$2:$E$4000=$AB190)*('2016 E Maize Soil VWC'!$F$2:$F$4000=AK$5),'2016 E Maize Soil VWC'!$G$2:$G$4000)</f>
        <v>0.3393384580848669</v>
      </c>
      <c r="AL190" s="1" cm="1">
        <f t="array" ref="AL190">_xlfn.XLOOKUP(1,('2016 E Maize Soil VWC'!$C$2:$C$4000=$AA190)*('2016 E Maize Soil VWC'!$E$2:$E$4000=$AB190)*('2016 E Maize Soil VWC'!$F$2:$F$4000=AL$5),'2016 E Maize Soil VWC'!$G$2:$G$4000)</f>
        <v>0.33670515330427903</v>
      </c>
      <c r="AM190" s="1" cm="1">
        <f t="array" ref="AM190">_xlfn.XLOOKUP(1,('2016 E Maize Soil VWC'!$C$2:$C$4000=$AA190)*('2016 E Maize Soil VWC'!$E$2:$E$4000=$AB190)*('2016 E Maize Soil VWC'!$F$2:$F$4000=AM$5),'2016 E Maize Soil VWC'!$G$2:$G$4000)</f>
        <v>0.31685232508889066</v>
      </c>
      <c r="AN190" s="1" cm="1">
        <f t="array" ref="AN190">_xlfn.XLOOKUP(1,('2016 E Maize Soil VWC'!$C$2:$C$4000=$AA190)*('2016 E Maize Soil VWC'!$E$2:$E$4000=$AB190)*('2016 E Maize Soil VWC'!$F$2:$F$4000=AN$5),'2016 E Maize Soil VWC'!$G$2:$G$4000)</f>
        <v>0.32601164606484839</v>
      </c>
      <c r="AO190" s="1" cm="1">
        <f t="array" ref="AO190">_xlfn.XLOOKUP(1,('2016 E Maize Soil VWC'!$C$2:$C$4000=$AA190)*('2016 E Maize Soil VWC'!$E$2:$E$4000=$AB190)*('2016 E Maize Soil VWC'!$F$2:$F$4000=AO$5),'2016 E Maize Soil VWC'!$G$2:$G$4000)</f>
        <v>0.28857292157562114</v>
      </c>
      <c r="AP190" s="1" cm="1">
        <f t="array" ref="AP190">_xlfn.XLOOKUP(1,('2016 E Maize Soil VWC'!$C$2:$C$4000=$AA190)*('2016 E Maize Soil VWC'!$E$2:$E$4000=$AB190)*('2016 E Maize Soil VWC'!$F$2:$F$4000=AP$5),'2016 E Maize Soil VWC'!$G$2:$G$4000)</f>
        <v>0.28784017589754451</v>
      </c>
      <c r="AQ190" s="1" cm="1">
        <f t="array" ref="AQ190">_xlfn.XLOOKUP(1,('2016 E Maize Soil VWC'!$C$2:$C$4000=$AA190)*('2016 E Maize Soil VWC'!$E$2:$E$4000=$AB190)*('2016 E Maize Soil VWC'!$F$2:$F$4000=AQ$5),'2016 E Maize Soil VWC'!$G$2:$G$4000)</f>
        <v>0.32646961211364622</v>
      </c>
      <c r="AR190" s="1" cm="1">
        <f t="array" ref="AR190">_xlfn.XLOOKUP(1,('2016 E Maize Soil VWC'!$C$2:$C$4000=$AA190)*('2016 E Maize Soil VWC'!$E$2:$E$4000=$AB190)*('2016 E Maize Soil VWC'!$F$2:$F$4000=AR$5),'2016 E Maize Soil VWC'!$G$2:$G$4000)</f>
        <v>0.33040812013330811</v>
      </c>
      <c r="AS190" s="1" cm="1">
        <f t="array" ref="AS190">_xlfn.XLOOKUP(1,('2016 E Maize Soil VWC'!$C$2:$C$4000=$AA190)*('2016 E Maize Soil VWC'!$E$2:$E$4000=$AB190)*('2016 E Maize Soil VWC'!$F$2:$F$4000=AS$5),'2016 E Maize Soil VWC'!$G$2:$G$4000)</f>
        <v>0.34984877890477839</v>
      </c>
      <c r="AT190" s="1" cm="1">
        <f t="array" ref="AT190">_xlfn.XLOOKUP(1,('2016 E Maize Soil VWC'!$C$2:$C$4000=$AA190)*('2016 E Maize Soil VWC'!$E$2:$E$4000=$AB190)*('2016 E Maize Soil VWC'!$F$2:$F$4000=AT$5),'2016 E Maize Soil VWC'!$G$2:$G$4000)</f>
        <v>0.33704862784087741</v>
      </c>
      <c r="AU190" s="1" cm="1">
        <f t="array" ref="AU190">_xlfn.XLOOKUP(1,('2016 E Maize Soil VWC'!$C$2:$C$4000=$AA190)*('2016 E Maize Soil VWC'!$E$2:$E$4000=$AB190)*('2016 E Maize Soil VWC'!$F$2:$F$4000=AU$5),'2016 E Maize Soil VWC'!$G$2:$G$4000)</f>
        <v>0.33290403509925653</v>
      </c>
      <c r="AV190" s="1" cm="1">
        <f t="array" ref="AV190">_xlfn.XLOOKUP(1,('2016 E Maize Soil VWC'!$C$2:$C$4000=$AA190)*('2016 E Maize Soil VWC'!$E$2:$E$4000=$AB190)*('2016 E Maize Soil VWC'!$F$2:$F$4000=AV$5),'2016 E Maize Soil VWC'!$G$2:$G$4000)</f>
        <v>0.33478169589932794</v>
      </c>
      <c r="AX190" s="15"/>
    </row>
    <row r="191" spans="25:64" x14ac:dyDescent="0.25">
      <c r="AA191" s="18">
        <f t="shared" si="31"/>
        <v>42639</v>
      </c>
      <c r="AB191" s="1">
        <f t="shared" si="32"/>
        <v>70</v>
      </c>
      <c r="AC191" s="1" cm="1">
        <f t="array" ref="AC191">_xlfn.XLOOKUP(1,('2016 E Maize Soil VWC'!$C$2:$C$4000=$AA191)*('2016 E Maize Soil VWC'!$E$2:$E$4000=$AB191)*('2016 E Maize Soil VWC'!$F$2:$F$4000=AC$5),'2016 E Maize Soil VWC'!$G$2:$G$4000)</f>
        <v>0.32257690069886424</v>
      </c>
      <c r="AD191" s="1" cm="1">
        <f t="array" ref="AD191">_xlfn.XLOOKUP(1,('2016 E Maize Soil VWC'!$C$2:$C$4000=$AA191)*('2016 E Maize Soil VWC'!$E$2:$E$4000=$AB191)*('2016 E Maize Soil VWC'!$F$2:$F$4000=AD$5),'2016 E Maize Soil VWC'!$G$2:$G$4000)</f>
        <v>0.32266849390862379</v>
      </c>
      <c r="AE191" s="1" cm="1">
        <f t="array" ref="AE191">_xlfn.XLOOKUP(1,('2016 E Maize Soil VWC'!$C$2:$C$4000=$AA191)*('2016 E Maize Soil VWC'!$E$2:$E$4000=$AB191)*('2016 E Maize Soil VWC'!$F$2:$F$4000=AE$5),'2016 E Maize Soil VWC'!$G$2:$G$4000)</f>
        <v>0.33047681504062776</v>
      </c>
      <c r="AF191" s="1" cm="1">
        <f t="array" ref="AF191">_xlfn.XLOOKUP(1,('2016 E Maize Soil VWC'!$C$2:$C$4000=$AA191)*('2016 E Maize Soil VWC'!$E$2:$E$4000=$AB191)*('2016 E Maize Soil VWC'!$F$2:$F$4000=AF$5),'2016 E Maize Soil VWC'!$G$2:$G$4000)</f>
        <v>0.31685232508889066</v>
      </c>
      <c r="AG191" s="1" cm="1">
        <f t="array" ref="AG191">_xlfn.XLOOKUP(1,('2016 E Maize Soil VWC'!$C$2:$C$4000=$AA191)*('2016 E Maize Soil VWC'!$E$2:$E$4000=$AB191)*('2016 E Maize Soil VWC'!$F$2:$F$4000=AG$5),'2016 E Maize Soil VWC'!$G$2:$G$4000)</f>
        <v>0.32713366288440321</v>
      </c>
      <c r="AH191" s="1" cm="1">
        <f t="array" ref="AH191">_xlfn.XLOOKUP(1,('2016 E Maize Soil VWC'!$C$2:$C$4000=$AA191)*('2016 E Maize Soil VWC'!$E$2:$E$4000=$AB191)*('2016 E Maize Soil VWC'!$F$2:$F$4000=AH$5),'2016 E Maize Soil VWC'!$G$2:$G$4000)</f>
        <v>0.32420268017209675</v>
      </c>
      <c r="AI191" s="1" cm="1">
        <f t="array" ref="AI191">_xlfn.XLOOKUP(1,('2016 E Maize Soil VWC'!$C$2:$C$4000=$AA191)*('2016 E Maize Soil VWC'!$E$2:$E$4000=$AB191)*('2016 E Maize Soil VWC'!$F$2:$F$4000=AI$5),'2016 E Maize Soil VWC'!$G$2:$G$4000)</f>
        <v>0.33146144204554323</v>
      </c>
      <c r="AJ191" s="1" cm="1">
        <f t="array" ref="AJ191">_xlfn.XLOOKUP(1,('2016 E Maize Soil VWC'!$C$2:$C$4000=$AA191)*('2016 E Maize Soil VWC'!$E$2:$E$4000=$AB191)*('2016 E Maize Soil VWC'!$F$2:$F$4000=AJ$5),'2016 E Maize Soil VWC'!$G$2:$G$4000)</f>
        <v>0.32136329066954983</v>
      </c>
      <c r="AK191" s="1" cm="1">
        <f t="array" ref="AK191">_xlfn.XLOOKUP(1,('2016 E Maize Soil VWC'!$C$2:$C$4000=$AA191)*('2016 E Maize Soil VWC'!$E$2:$E$4000=$AB191)*('2016 E Maize Soil VWC'!$F$2:$F$4000=AK$5),'2016 E Maize Soil VWC'!$G$2:$G$4000)</f>
        <v>0.32324095146962117</v>
      </c>
      <c r="AL191" s="1" cm="1">
        <f t="array" ref="AL191">_xlfn.XLOOKUP(1,('2016 E Maize Soil VWC'!$C$2:$C$4000=$AA191)*('2016 E Maize Soil VWC'!$E$2:$E$4000=$AB191)*('2016 E Maize Soil VWC'!$F$2:$F$4000=AL$5),'2016 E Maize Soil VWC'!$G$2:$G$4000)</f>
        <v>0.32269139221106369</v>
      </c>
      <c r="AM191" s="1" cm="1">
        <f t="array" ref="AM191">_xlfn.XLOOKUP(1,('2016 E Maize Soil VWC'!$C$2:$C$4000=$AA191)*('2016 E Maize Soil VWC'!$E$2:$E$4000=$AB191)*('2016 E Maize Soil VWC'!$F$2:$F$4000=AM$5),'2016 E Maize Soil VWC'!$G$2:$G$4000)</f>
        <v>0.30542607217138334</v>
      </c>
      <c r="AN191" s="1" cm="1">
        <f t="array" ref="AN191">_xlfn.XLOOKUP(1,('2016 E Maize Soil VWC'!$C$2:$C$4000=$AA191)*('2016 E Maize Soil VWC'!$E$2:$E$4000=$AB191)*('2016 E Maize Soil VWC'!$F$2:$F$4000=AN$5),'2016 E Maize Soil VWC'!$G$2:$G$4000)</f>
        <v>0.29633544610274531</v>
      </c>
      <c r="AO191" s="1" cm="1">
        <f t="array" ref="AO191">_xlfn.XLOOKUP(1,('2016 E Maize Soil VWC'!$C$2:$C$4000=$AA191)*('2016 E Maize Soil VWC'!$E$2:$E$4000=$AB191)*('2016 E Maize Soil VWC'!$F$2:$F$4000=AO$5),'2016 E Maize Soil VWC'!$G$2:$G$4000)</f>
        <v>0.29132071786840846</v>
      </c>
      <c r="AP191" s="1" cm="1">
        <f t="array" ref="AP191">_xlfn.XLOOKUP(1,('2016 E Maize Soil VWC'!$C$2:$C$4000=$AA191)*('2016 E Maize Soil VWC'!$E$2:$E$4000=$AB191)*('2016 E Maize Soil VWC'!$F$2:$F$4000=AP$5),'2016 E Maize Soil VWC'!$G$2:$G$4000)</f>
        <v>0.31717290132304915</v>
      </c>
      <c r="AQ191" s="1" cm="1">
        <f t="array" ref="AQ191">_xlfn.XLOOKUP(1,('2016 E Maize Soil VWC'!$C$2:$C$4000=$AA191)*('2016 E Maize Soil VWC'!$E$2:$E$4000=$AB191)*('2016 E Maize Soil VWC'!$F$2:$F$4000=AQ$5),'2016 E Maize Soil VWC'!$G$2:$G$4000)</f>
        <v>0.31790564700112578</v>
      </c>
      <c r="AR191" s="1" cm="1">
        <f t="array" ref="AR191">_xlfn.XLOOKUP(1,('2016 E Maize Soil VWC'!$C$2:$C$4000=$AA191)*('2016 E Maize Soil VWC'!$E$2:$E$4000=$AB191)*('2016 E Maize Soil VWC'!$F$2:$F$4000=AR$5),'2016 E Maize Soil VWC'!$G$2:$G$4000)</f>
        <v>0.31412742709854324</v>
      </c>
      <c r="AS191" s="1" cm="1">
        <f t="array" ref="AS191">_xlfn.XLOOKUP(1,('2016 E Maize Soil VWC'!$C$2:$C$4000=$AA191)*('2016 E Maize Soil VWC'!$E$2:$E$4000=$AB191)*('2016 E Maize Soil VWC'!$F$2:$F$4000=AS$5),'2016 E Maize Soil VWC'!$G$2:$G$4000)</f>
        <v>0.33157593355774267</v>
      </c>
      <c r="AT191" s="1" cm="1">
        <f t="array" ref="AT191">_xlfn.XLOOKUP(1,('2016 E Maize Soil VWC'!$C$2:$C$4000=$AA191)*('2016 E Maize Soil VWC'!$E$2:$E$4000=$AB191)*('2016 E Maize Soil VWC'!$F$2:$F$4000=AT$5),'2016 E Maize Soil VWC'!$G$2:$G$4000)</f>
        <v>0.31497466428881926</v>
      </c>
      <c r="AU191" s="1" cm="1">
        <f t="array" ref="AU191">_xlfn.XLOOKUP(1,('2016 E Maize Soil VWC'!$C$2:$C$4000=$AA191)*('2016 E Maize Soil VWC'!$E$2:$E$4000=$AB191)*('2016 E Maize Soil VWC'!$F$2:$F$4000=AU$5),'2016 E Maize Soil VWC'!$G$2:$G$4000)</f>
        <v>0.30416666553718918</v>
      </c>
      <c r="AV191" s="1" cm="1">
        <f t="array" ref="AV191">_xlfn.XLOOKUP(1,('2016 E Maize Soil VWC'!$C$2:$C$4000=$AA191)*('2016 E Maize Soil VWC'!$E$2:$E$4000=$AB191)*('2016 E Maize Soil VWC'!$F$2:$F$4000=AV$5),'2016 E Maize Soil VWC'!$G$2:$G$4000)</f>
        <v>0.31137963080575592</v>
      </c>
      <c r="AX191" s="15"/>
    </row>
    <row r="192" spans="25:64" x14ac:dyDescent="0.25">
      <c r="AA192" s="18">
        <f t="shared" si="31"/>
        <v>42639</v>
      </c>
      <c r="AB192" s="1">
        <f t="shared" si="32"/>
        <v>90</v>
      </c>
      <c r="AC192" s="1" cm="1">
        <f t="array" ref="AC192">_xlfn.XLOOKUP(1,('2016 E Maize Soil VWC'!$C$2:$C$4000=$AA192)*('2016 E Maize Soil VWC'!$E$2:$E$4000=$AB192)*('2016 E Maize Soil VWC'!$F$2:$F$4000=AC$5),'2016 E Maize Soil VWC'!$G$2:$G$4000)</f>
        <v>0.29777803915645862</v>
      </c>
      <c r="AD192" s="1" cm="1">
        <f t="array" ref="AD192">_xlfn.XLOOKUP(1,('2016 E Maize Soil VWC'!$C$2:$C$4000=$AA192)*('2016 E Maize Soil VWC'!$E$2:$E$4000=$AB192)*('2016 E Maize Soil VWC'!$F$2:$F$4000=AD$5),'2016 E Maize Soil VWC'!$G$2:$G$4000)</f>
        <v>0.31458539314734107</v>
      </c>
      <c r="AE192" s="1" cm="1">
        <f t="array" ref="AE192">_xlfn.XLOOKUP(1,('2016 E Maize Soil VWC'!$C$2:$C$4000=$AA192)*('2016 E Maize Soil VWC'!$E$2:$E$4000=$AB192)*('2016 E Maize Soil VWC'!$F$2:$F$4000=AE$5),'2016 E Maize Soil VWC'!$G$2:$G$4000)</f>
        <v>0.30872342772272815</v>
      </c>
      <c r="AF192" s="1" cm="1">
        <f t="array" ref="AF192">_xlfn.XLOOKUP(1,('2016 E Maize Soil VWC'!$C$2:$C$4000=$AA192)*('2016 E Maize Soil VWC'!$E$2:$E$4000=$AB192)*('2016 E Maize Soil VWC'!$F$2:$F$4000=AF$5),'2016 E Maize Soil VWC'!$G$2:$G$4000)</f>
        <v>0.30080061507852474</v>
      </c>
      <c r="AG192" s="1" cm="1">
        <f t="array" ref="AG192">_xlfn.XLOOKUP(1,('2016 E Maize Soil VWC'!$C$2:$C$4000=$AA192)*('2016 E Maize Soil VWC'!$E$2:$E$4000=$AB192)*('2016 E Maize Soil VWC'!$F$2:$F$4000=AG$5),'2016 E Maize Soil VWC'!$G$2:$G$4000)</f>
        <v>0.3206992398987929</v>
      </c>
      <c r="AH192" s="1" cm="1">
        <f t="array" ref="AH192">_xlfn.XLOOKUP(1,('2016 E Maize Soil VWC'!$C$2:$C$4000=$AA192)*('2016 E Maize Soil VWC'!$E$2:$E$4000=$AB192)*('2016 E Maize Soil VWC'!$F$2:$F$4000=AH$5),'2016 E Maize Soil VWC'!$G$2:$G$4000)</f>
        <v>0.30448724177134767</v>
      </c>
      <c r="AI192" s="1" cm="1">
        <f t="array" ref="AI192">_xlfn.XLOOKUP(1,('2016 E Maize Soil VWC'!$C$2:$C$4000=$AA192)*('2016 E Maize Soil VWC'!$E$2:$E$4000=$AB192)*('2016 E Maize Soil VWC'!$F$2:$F$4000=AI$5),'2016 E Maize Soil VWC'!$G$2:$G$4000)</f>
        <v>0.31405873219122349</v>
      </c>
      <c r="AJ192" s="1" cm="1">
        <f t="array" ref="AJ192">_xlfn.XLOOKUP(1,('2016 E Maize Soil VWC'!$C$2:$C$4000=$AA192)*('2016 E Maize Soil VWC'!$E$2:$E$4000=$AB192)*('2016 E Maize Soil VWC'!$F$2:$F$4000=AJ$5),'2016 E Maize Soil VWC'!$G$2:$G$4000)</f>
        <v>0.30808227525441112</v>
      </c>
      <c r="AK192" s="1" cm="1">
        <f t="array" ref="AK192">_xlfn.XLOOKUP(1,('2016 E Maize Soil VWC'!$C$2:$C$4000=$AA192)*('2016 E Maize Soil VWC'!$E$2:$E$4000=$AB192)*('2016 E Maize Soil VWC'!$F$2:$F$4000=AK$5),'2016 E Maize Soil VWC'!$G$2:$G$4000)</f>
        <v>0.31344047802534636</v>
      </c>
      <c r="AL192" s="1" cm="1">
        <f t="array" ref="AL192">_xlfn.XLOOKUP(1,('2016 E Maize Soil VWC'!$C$2:$C$4000=$AA192)*('2016 E Maize Soil VWC'!$E$2:$E$4000=$AB192)*('2016 E Maize Soil VWC'!$F$2:$F$4000=AL$5),'2016 E Maize Soil VWC'!$G$2:$G$4000)</f>
        <v>0.30634200426897912</v>
      </c>
      <c r="AM192" s="1" cm="1">
        <f t="array" ref="AM192">_xlfn.XLOOKUP(1,('2016 E Maize Soil VWC'!$C$2:$C$4000=$AA192)*('2016 E Maize Soil VWC'!$E$2:$E$4000=$AB192)*('2016 E Maize Soil VWC'!$F$2:$F$4000=AM$5),'2016 E Maize Soil VWC'!$G$2:$G$4000)</f>
        <v>0.2814057529119342</v>
      </c>
      <c r="AN192" s="1" cm="1">
        <f t="array" ref="AN192">_xlfn.XLOOKUP(1,('2016 E Maize Soil VWC'!$C$2:$C$4000=$AA192)*('2016 E Maize Soil VWC'!$E$2:$E$4000=$AB192)*('2016 E Maize Soil VWC'!$F$2:$F$4000=AN$5),'2016 E Maize Soil VWC'!$G$2:$G$4000)</f>
        <v>0.28181792235585229</v>
      </c>
      <c r="AO192" s="1" cm="1">
        <f t="array" ref="AO192">_xlfn.XLOOKUP(1,('2016 E Maize Soil VWC'!$C$2:$C$4000=$AA192)*('2016 E Maize Soil VWC'!$E$2:$E$4000=$AB192)*('2016 E Maize Soil VWC'!$F$2:$F$4000=AO$5),'2016 E Maize Soil VWC'!$G$2:$G$4000)</f>
        <v>0.27600175353611911</v>
      </c>
      <c r="AP192" s="1" cm="1">
        <f t="array" ref="AP192">_xlfn.XLOOKUP(1,('2016 E Maize Soil VWC'!$C$2:$C$4000=$AA192)*('2016 E Maize Soil VWC'!$E$2:$E$4000=$AB192)*('2016 E Maize Soil VWC'!$F$2:$F$4000=AP$5),'2016 E Maize Soil VWC'!$G$2:$G$4000)</f>
        <v>0.28028373609237939</v>
      </c>
      <c r="AQ192" s="1" cm="1">
        <f t="array" ref="AQ192">_xlfn.XLOOKUP(1,('2016 E Maize Soil VWC'!$C$2:$C$4000=$AA192)*('2016 E Maize Soil VWC'!$E$2:$E$4000=$AB192)*('2016 E Maize Soil VWC'!$F$2:$F$4000=AQ$5),'2016 E Maize Soil VWC'!$G$2:$G$4000)</f>
        <v>0.31776825718648644</v>
      </c>
      <c r="AR192" s="1" cm="1">
        <f t="array" ref="AR192">_xlfn.XLOOKUP(1,('2016 E Maize Soil VWC'!$C$2:$C$4000=$AA192)*('2016 E Maize Soil VWC'!$E$2:$E$4000=$AB192)*('2016 E Maize Soil VWC'!$F$2:$F$4000=AR$5),'2016 E Maize Soil VWC'!$G$2:$G$4000)</f>
        <v>0.30863183451296861</v>
      </c>
      <c r="AS192" s="1" cm="1">
        <f t="array" ref="AS192">_xlfn.XLOOKUP(1,('2016 E Maize Soil VWC'!$C$2:$C$4000=$AA192)*('2016 E Maize Soil VWC'!$E$2:$E$4000=$AB192)*('2016 E Maize Soil VWC'!$F$2:$F$4000=AS$5),'2016 E Maize Soil VWC'!$G$2:$G$4000)</f>
        <v>0.31582190147909539</v>
      </c>
      <c r="AT192" s="1" cm="1">
        <f t="array" ref="AT192">_xlfn.XLOOKUP(1,('2016 E Maize Soil VWC'!$C$2:$C$4000=$AA192)*('2016 E Maize Soil VWC'!$E$2:$E$4000=$AB192)*('2016 E Maize Soil VWC'!$F$2:$F$4000=AT$5),'2016 E Maize Soil VWC'!$G$2:$G$4000)</f>
        <v>0.3021287166200386</v>
      </c>
      <c r="AU192" s="1" cm="1">
        <f t="array" ref="AU192">_xlfn.XLOOKUP(1,('2016 E Maize Soil VWC'!$C$2:$C$4000=$AA192)*('2016 E Maize Soil VWC'!$E$2:$E$4000=$AB192)*('2016 E Maize Soil VWC'!$F$2:$F$4000=AU$5),'2016 E Maize Soil VWC'!$G$2:$G$4000)</f>
        <v>0.28715322682434768</v>
      </c>
      <c r="AV192" s="1" cm="1">
        <f t="array" ref="AV192">_xlfn.XLOOKUP(1,('2016 E Maize Soil VWC'!$C$2:$C$4000=$AA192)*('2016 E Maize Soil VWC'!$E$2:$E$4000=$AB192)*('2016 E Maize Soil VWC'!$F$2:$F$4000=AV$5),'2016 E Maize Soil VWC'!$G$2:$G$4000)</f>
        <v>0.29308388715628031</v>
      </c>
    </row>
    <row r="193" spans="25:64" x14ac:dyDescent="0.25">
      <c r="AA193" s="18">
        <f t="shared" si="31"/>
        <v>42639</v>
      </c>
      <c r="AB193" s="1">
        <f t="shared" si="32"/>
        <v>110</v>
      </c>
      <c r="AC193" s="1" cm="1">
        <f t="array" ref="AC193">_xlfn.XLOOKUP(1,('2016 E Maize Soil VWC'!$C$2:$C$4000=$AA193)*('2016 E Maize Soil VWC'!$E$2:$E$4000=$AB193)*('2016 E Maize Soil VWC'!$F$2:$F$4000=AC$5),'2016 E Maize Soil VWC'!$G$2:$G$4000)</f>
        <v>0.31788274869868588</v>
      </c>
      <c r="AD193" s="1" cm="1">
        <f t="array" ref="AD193">_xlfn.XLOOKUP(1,('2016 E Maize Soil VWC'!$C$2:$C$4000=$AA193)*('2016 E Maize Soil VWC'!$E$2:$E$4000=$AB193)*('2016 E Maize Soil VWC'!$F$2:$F$4000=AD$5),'2016 E Maize Soil VWC'!$G$2:$G$4000)</f>
        <v>0.31518074901077836</v>
      </c>
      <c r="AE193" s="1" cm="1">
        <f t="array" ref="AE193">_xlfn.XLOOKUP(1,('2016 E Maize Soil VWC'!$C$2:$C$4000=$AA193)*('2016 E Maize Soil VWC'!$E$2:$E$4000=$AB193)*('2016 E Maize Soil VWC'!$F$2:$F$4000=AE$5),'2016 E Maize Soil VWC'!$G$2:$G$4000)</f>
        <v>0.30870052942028825</v>
      </c>
      <c r="AF193" s="1" cm="1">
        <f t="array" ref="AF193">_xlfn.XLOOKUP(1,('2016 E Maize Soil VWC'!$C$2:$C$4000=$AA193)*('2016 E Maize Soil VWC'!$E$2:$E$4000=$AB193)*('2016 E Maize Soil VWC'!$F$2:$F$4000=AF$5),'2016 E Maize Soil VWC'!$G$2:$G$4000)</f>
        <v>0.31472278296198047</v>
      </c>
      <c r="AG193" s="1" cm="1">
        <f t="array" ref="AG193">_xlfn.XLOOKUP(1,('2016 E Maize Soil VWC'!$C$2:$C$4000=$AA193)*('2016 E Maize Soil VWC'!$E$2:$E$4000=$AB193)*('2016 E Maize Soil VWC'!$F$2:$F$4000=AG$5),'2016 E Maize Soil VWC'!$G$2:$G$4000)</f>
        <v>0.32259979900130409</v>
      </c>
      <c r="AH193" s="1" cm="1">
        <f t="array" ref="AH193">_xlfn.XLOOKUP(1,('2016 E Maize Soil VWC'!$C$2:$C$4000=$AA193)*('2016 E Maize Soil VWC'!$E$2:$E$4000=$AB193)*('2016 E Maize Soil VWC'!$F$2:$F$4000=AH$5),'2016 E Maize Soil VWC'!$G$2:$G$4000)</f>
        <v>0.30961646151788402</v>
      </c>
      <c r="AI193" s="1" cm="1">
        <f t="array" ref="AI193">_xlfn.XLOOKUP(1,('2016 E Maize Soil VWC'!$C$2:$C$4000=$AA193)*('2016 E Maize Soil VWC'!$E$2:$E$4000=$AB193)*('2016 E Maize Soil VWC'!$F$2:$F$4000=AI$5),'2016 E Maize Soil VWC'!$G$2:$G$4000)</f>
        <v>0.31973751119631733</v>
      </c>
      <c r="AJ193" s="1" cm="1">
        <f t="array" ref="AJ193">_xlfn.XLOOKUP(1,('2016 E Maize Soil VWC'!$C$2:$C$4000=$AA193)*('2016 E Maize Soil VWC'!$E$2:$E$4000=$AB193)*('2016 E Maize Soil VWC'!$F$2:$F$4000=AJ$5),'2016 E Maize Soil VWC'!$G$2:$G$4000)</f>
        <v>0.32649251041608612</v>
      </c>
      <c r="AK193" s="1" cm="1">
        <f t="array" ref="AK193">_xlfn.XLOOKUP(1,('2016 E Maize Soil VWC'!$C$2:$C$4000=$AA193)*('2016 E Maize Soil VWC'!$E$2:$E$4000=$AB193)*('2016 E Maize Soil VWC'!$F$2:$F$4000=AK$5),'2016 E Maize Soil VWC'!$G$2:$G$4000)</f>
        <v>0.32106561273783119</v>
      </c>
      <c r="AL193" s="1" cm="1">
        <f t="array" ref="AL193">_xlfn.XLOOKUP(1,('2016 E Maize Soil VWC'!$C$2:$C$4000=$AA193)*('2016 E Maize Soil VWC'!$E$2:$E$4000=$AB193)*('2016 E Maize Soil VWC'!$F$2:$F$4000=AL$5),'2016 E Maize Soil VWC'!$G$2:$G$4000)</f>
        <v>0.31859259607432261</v>
      </c>
      <c r="AM193" s="1" cm="1">
        <f t="array" ref="AM193">_xlfn.XLOOKUP(1,('2016 E Maize Soil VWC'!$C$2:$C$4000=$AA193)*('2016 E Maize Soil VWC'!$E$2:$E$4000=$AB193)*('2016 E Maize Soil VWC'!$F$2:$F$4000=AM$5),'2016 E Maize Soil VWC'!$G$2:$G$4000)</f>
        <v>0.28174922744853265</v>
      </c>
      <c r="AN193" s="1" cm="1">
        <f t="array" ref="AN193">_xlfn.XLOOKUP(1,('2016 E Maize Soil VWC'!$C$2:$C$4000=$AA193)*('2016 E Maize Soil VWC'!$E$2:$E$4000=$AB193)*('2016 E Maize Soil VWC'!$F$2:$F$4000=AN$5),'2016 E Maize Soil VWC'!$G$2:$G$4000)</f>
        <v>0.3069373601324164</v>
      </c>
      <c r="AO193" s="1" cm="1">
        <f t="array" ref="AO193">_xlfn.XLOOKUP(1,('2016 E Maize Soil VWC'!$C$2:$C$4000=$AA193)*('2016 E Maize Soil VWC'!$E$2:$E$4000=$AB193)*('2016 E Maize Soil VWC'!$F$2:$F$4000=AO$5),'2016 E Maize Soil VWC'!$G$2:$G$4000)</f>
        <v>0.30020525921508745</v>
      </c>
      <c r="AP193" s="1" cm="1">
        <f t="array" ref="AP193">_xlfn.XLOOKUP(1,('2016 E Maize Soil VWC'!$C$2:$C$4000=$AA193)*('2016 E Maize Soil VWC'!$E$2:$E$4000=$AB193)*('2016 E Maize Soil VWC'!$F$2:$F$4000=AP$5),'2016 E Maize Soil VWC'!$G$2:$G$4000)</f>
        <v>0.2900155146293345</v>
      </c>
      <c r="AQ193" s="1" cm="1">
        <f t="array" ref="AQ193">_xlfn.XLOOKUP(1,('2016 E Maize Soil VWC'!$C$2:$C$4000=$AA193)*('2016 E Maize Soil VWC'!$E$2:$E$4000=$AB193)*('2016 E Maize Soil VWC'!$F$2:$F$4000=AQ$5),'2016 E Maize Soil VWC'!$G$2:$G$4000)</f>
        <v>0.32081373141099234</v>
      </c>
      <c r="AR193" s="1" cm="1">
        <f t="array" ref="AR193">_xlfn.XLOOKUP(1,('2016 E Maize Soil VWC'!$C$2:$C$4000=$AA193)*('2016 E Maize Soil VWC'!$E$2:$E$4000=$AB193)*('2016 E Maize Soil VWC'!$F$2:$F$4000=AR$5),'2016 E Maize Soil VWC'!$G$2:$G$4000)</f>
        <v>0.31103615626915748</v>
      </c>
      <c r="AS193" s="1" cm="1">
        <f t="array" ref="AS193">_xlfn.XLOOKUP(1,('2016 E Maize Soil VWC'!$C$2:$C$4000=$AA193)*('2016 E Maize Soil VWC'!$E$2:$E$4000=$AB193)*('2016 E Maize Soil VWC'!$F$2:$F$4000=AS$5),'2016 E Maize Soil VWC'!$G$2:$G$4000)</f>
        <v>0.31616537601569383</v>
      </c>
      <c r="AT193" s="1" cm="1">
        <f t="array" ref="AT193">_xlfn.XLOOKUP(1,('2016 E Maize Soil VWC'!$C$2:$C$4000=$AA193)*('2016 E Maize Soil VWC'!$E$2:$E$4000=$AB193)*('2016 E Maize Soil VWC'!$F$2:$F$4000=AT$5),'2016 E Maize Soil VWC'!$G$2:$G$4000)</f>
        <v>0.31513495240589856</v>
      </c>
      <c r="AU193" s="1" cm="1">
        <f t="array" ref="AU193">_xlfn.XLOOKUP(1,('2016 E Maize Soil VWC'!$C$2:$C$4000=$AA193)*('2016 E Maize Soil VWC'!$E$2:$E$4000=$AB193)*('2016 E Maize Soil VWC'!$F$2:$F$4000=AU$5),'2016 E Maize Soil VWC'!$G$2:$G$4000)</f>
        <v>0.31566161336201615</v>
      </c>
      <c r="AV193" s="1" cm="1">
        <f t="array" ref="AV193">_xlfn.XLOOKUP(1,('2016 E Maize Soil VWC'!$C$2:$C$4000=$AA193)*('2016 E Maize Soil VWC'!$E$2:$E$4000=$AB193)*('2016 E Maize Soil VWC'!$F$2:$F$4000=AV$5),'2016 E Maize Soil VWC'!$G$2:$G$4000)</f>
        <v>0.28761119287314557</v>
      </c>
    </row>
    <row r="194" spans="25:64" x14ac:dyDescent="0.25">
      <c r="AA194" s="18">
        <f t="shared" si="31"/>
        <v>42639</v>
      </c>
      <c r="AB194" s="1">
        <f t="shared" si="32"/>
        <v>130</v>
      </c>
      <c r="AC194" s="1" cm="1">
        <f t="array" ref="AC194">_xlfn.XLOOKUP(1,('2016 E Maize Soil VWC'!$C$2:$C$4000=$AA194)*('2016 E Maize Soil VWC'!$E$2:$E$4000=$AB194)*('2016 E Maize Soil VWC'!$F$2:$F$4000=AC$5),'2016 E Maize Soil VWC'!$G$2:$G$4000)</f>
        <v>0.30295645821862083</v>
      </c>
      <c r="AD194" s="1" cm="1">
        <f t="array" ref="AD194">_xlfn.XLOOKUP(1,('2016 E Maize Soil VWC'!$C$2:$C$4000=$AA194)*('2016 E Maize Soil VWC'!$E$2:$E$4000=$AB194)*('2016 E Maize Soil VWC'!$F$2:$F$4000=AD$5),'2016 E Maize Soil VWC'!$G$2:$G$4000)</f>
        <v>0.2931268831659552</v>
      </c>
      <c r="AE194" s="1" cm="1">
        <f t="array" ref="AE194">_xlfn.XLOOKUP(1,('2016 E Maize Soil VWC'!$C$2:$C$4000=$AA194)*('2016 E Maize Soil VWC'!$E$2:$E$4000=$AB194)*('2016 E Maize Soil VWC'!$F$2:$F$4000=AE$5),'2016 E Maize Soil VWC'!$G$2:$G$4000)</f>
        <v>0.29633852649999448</v>
      </c>
      <c r="AF194" s="1" cm="1">
        <f t="array" ref="AF194">_xlfn.XLOOKUP(1,('2016 E Maize Soil VWC'!$C$2:$C$4000=$AA194)*('2016 E Maize Soil VWC'!$E$2:$E$4000=$AB194)*('2016 E Maize Soil VWC'!$F$2:$F$4000=AF$5),'2016 E Maize Soil VWC'!$G$2:$G$4000)</f>
        <v>0.29256241251936649</v>
      </c>
      <c r="AG194" s="1" cm="1">
        <f t="array" ref="AG194">_xlfn.XLOOKUP(1,('2016 E Maize Soil VWC'!$C$2:$C$4000=$AA194)*('2016 E Maize Soil VWC'!$E$2:$E$4000=$AB194)*('2016 E Maize Soil VWC'!$F$2:$F$4000=AG$5),'2016 E Maize Soil VWC'!$G$2:$G$4000)</f>
        <v>0.30700507527001575</v>
      </c>
      <c r="AH194" s="1" cm="1">
        <f t="array" ref="AH194">_xlfn.XLOOKUP(1,('2016 E Maize Soil VWC'!$C$2:$C$4000=$AA194)*('2016 E Maize Soil VWC'!$E$2:$E$4000=$AB194)*('2016 E Maize Soil VWC'!$F$2:$F$4000=AH$5),'2016 E Maize Soil VWC'!$G$2:$G$4000)</f>
        <v>0.30285913569334688</v>
      </c>
      <c r="AI194" s="1" cm="1">
        <f t="array" ref="AI194">_xlfn.XLOOKUP(1,('2016 E Maize Soil VWC'!$C$2:$C$4000=$AA194)*('2016 E Maize Soil VWC'!$E$2:$E$4000=$AB194)*('2016 E Maize Soil VWC'!$F$2:$F$4000=AI$5),'2016 E Maize Soil VWC'!$G$2:$G$4000)</f>
        <v>0.29764264833866499</v>
      </c>
      <c r="AJ194" s="1" cm="1">
        <f t="array" ref="AJ194">_xlfn.XLOOKUP(1,('2016 E Maize Soil VWC'!$C$2:$C$4000=$AA194)*('2016 E Maize Soil VWC'!$E$2:$E$4000=$AB194)*('2016 E Maize Soil VWC'!$F$2:$F$4000=AJ$5),'2016 E Maize Soil VWC'!$G$2:$G$4000)</f>
        <v>0.32386133664745814</v>
      </c>
      <c r="AK194" s="1" cm="1">
        <f t="array" ref="AK194">_xlfn.XLOOKUP(1,('2016 E Maize Soil VWC'!$C$2:$C$4000=$AA194)*('2016 E Maize Soil VWC'!$E$2:$E$4000=$AB194)*('2016 E Maize Soil VWC'!$F$2:$F$4000=AK$5),'2016 E Maize Soil VWC'!$G$2:$G$4000)</f>
        <v>0.28779360878094457</v>
      </c>
      <c r="AL194" s="1" cm="1">
        <f t="array" ref="AL194">_xlfn.XLOOKUP(1,('2016 E Maize Soil VWC'!$C$2:$C$4000=$AA194)*('2016 E Maize Soil VWC'!$E$2:$E$4000=$AB194)*('2016 E Maize Soil VWC'!$F$2:$F$4000=AL$5),'2016 E Maize Soil VWC'!$G$2:$G$4000)</f>
        <v>0.29918034423799283</v>
      </c>
      <c r="AM194" s="1" cm="1">
        <f t="array" ref="AM194">_xlfn.XLOOKUP(1,('2016 E Maize Soil VWC'!$C$2:$C$4000=$AA194)*('2016 E Maize Soil VWC'!$E$2:$E$4000=$AB194)*('2016 E Maize Soil VWC'!$F$2:$F$4000=AM$5),'2016 E Maize Soil VWC'!$G$2:$G$4000)</f>
        <v>0.29209526439805167</v>
      </c>
      <c r="AN194" s="1" cm="1">
        <f t="array" ref="AN194">_xlfn.XLOOKUP(1,('2016 E Maize Soil VWC'!$C$2:$C$4000=$AA194)*('2016 E Maize Soil VWC'!$E$2:$E$4000=$AB194)*('2016 E Maize Soil VWC'!$F$2:$F$4000=AN$5),'2016 E Maize Soil VWC'!$G$2:$G$4000)</f>
        <v>0.27547257708126671</v>
      </c>
      <c r="AO194" s="1" cm="1">
        <f t="array" ref="AO194">_xlfn.XLOOKUP(1,('2016 E Maize Soil VWC'!$C$2:$C$4000=$AA194)*('2016 E Maize Soil VWC'!$E$2:$E$4000=$AB194)*('2016 E Maize Soil VWC'!$F$2:$F$4000=AO$5),'2016 E Maize Soil VWC'!$G$2:$G$4000)</f>
        <v>0.3091656353310967</v>
      </c>
      <c r="AP194" s="1" cm="1">
        <f t="array" ref="AP194">_xlfn.XLOOKUP(1,('2016 E Maize Soil VWC'!$C$2:$C$4000=$AA194)*('2016 E Maize Soil VWC'!$E$2:$E$4000=$AB194)*('2016 E Maize Soil VWC'!$F$2:$F$4000=AP$5),'2016 E Maize Soil VWC'!$G$2:$G$4000)</f>
        <v>0.30538952135046871</v>
      </c>
      <c r="AQ194" s="1" cm="1">
        <f t="array" ref="AQ194">_xlfn.XLOOKUP(1,('2016 E Maize Soil VWC'!$C$2:$C$4000=$AA194)*('2016 E Maize Soil VWC'!$E$2:$E$4000=$AB194)*('2016 E Maize Soil VWC'!$F$2:$F$4000=AQ$5),'2016 E Maize Soil VWC'!$G$2:$G$4000)</f>
        <v>0.3012241172687451</v>
      </c>
      <c r="AR194" s="1" cm="1">
        <f t="array" ref="AR194">_xlfn.XLOOKUP(1,('2016 E Maize Soil VWC'!$C$2:$C$4000=$AA194)*('2016 E Maize Soil VWC'!$E$2:$E$4000=$AB194)*('2016 E Maize Soil VWC'!$F$2:$F$4000=AR$5),'2016 E Maize Soil VWC'!$G$2:$G$4000)</f>
        <v>0.29524851421692661</v>
      </c>
      <c r="AS194" s="1" cm="1">
        <f t="array" ref="AS194">_xlfn.XLOOKUP(1,('2016 E Maize Soil VWC'!$C$2:$C$4000=$AA194)*('2016 E Maize Soil VWC'!$E$2:$E$4000=$AB194)*('2016 E Maize Soil VWC'!$F$2:$F$4000=AS$5),'2016 E Maize Soil VWC'!$G$2:$G$4000)</f>
        <v>0.29783729338921278</v>
      </c>
      <c r="AT194" s="1" cm="1">
        <f t="array" ref="AT194">_xlfn.XLOOKUP(1,('2016 E Maize Soil VWC'!$C$2:$C$4000=$AA194)*('2016 E Maize Soil VWC'!$E$2:$E$4000=$AB194)*('2016 E Maize Soil VWC'!$F$2:$F$4000=AT$5),'2016 E Maize Soil VWC'!$G$2:$G$4000)</f>
        <v>0.29542369476241964</v>
      </c>
      <c r="AU194" s="1" cm="1">
        <f t="array" ref="AU194">_xlfn.XLOOKUP(1,('2016 E Maize Soil VWC'!$C$2:$C$4000=$AA194)*('2016 E Maize Soil VWC'!$E$2:$E$4000=$AB194)*('2016 E Maize Soil VWC'!$F$2:$F$4000=AU$5),'2016 E Maize Soil VWC'!$G$2:$G$4000)</f>
        <v>0.29153079375146296</v>
      </c>
      <c r="AV194" s="1" cm="1">
        <f t="array" ref="AV194">_xlfn.XLOOKUP(1,('2016 E Maize Soil VWC'!$C$2:$C$4000=$AA194)*('2016 E Maize Soil VWC'!$E$2:$E$4000=$AB194)*('2016 E Maize Soil VWC'!$F$2:$F$4000=AV$5),'2016 E Maize Soil VWC'!$G$2:$G$4000)</f>
        <v>0.26540942796794365</v>
      </c>
    </row>
    <row r="195" spans="25:64" x14ac:dyDescent="0.25">
      <c r="AA195" s="18">
        <f t="shared" si="31"/>
        <v>42639</v>
      </c>
      <c r="AB195" s="1">
        <f t="shared" si="32"/>
        <v>150</v>
      </c>
      <c r="AC195" s="1" cm="1">
        <f t="array" ref="AC195">_xlfn.XLOOKUP(1,('2016 E Maize Soil VWC'!$C$2:$C$4000=$AA195)*('2016 E Maize Soil VWC'!$E$2:$E$4000=$AB195)*('2016 E Maize Soil VWC'!$F$2:$F$4000=AC$5),'2016 E Maize Soil VWC'!$G$2:$G$4000)</f>
        <v>0.31899521038376233</v>
      </c>
      <c r="AD195" s="1" cm="1">
        <f t="array" ref="AD195">_xlfn.XLOOKUP(1,('2016 E Maize Soil VWC'!$C$2:$C$4000=$AA195)*('2016 E Maize Soil VWC'!$E$2:$E$4000=$AB195)*('2016 E Maize Soil VWC'!$F$2:$F$4000=AD$5),'2016 E Maize Soil VWC'!$G$2:$G$4000)</f>
        <v>0.31556945749412046</v>
      </c>
      <c r="AE195" s="1" cm="1">
        <f t="array" ref="AE195">_xlfn.XLOOKUP(1,('2016 E Maize Soil VWC'!$C$2:$C$4000=$AA195)*('2016 E Maize Soil VWC'!$E$2:$E$4000=$AB195)*('2016 E Maize Soil VWC'!$F$2:$F$4000=AE$5),'2016 E Maize Soil VWC'!$G$2:$G$4000)</f>
        <v>0.29542369476241964</v>
      </c>
      <c r="AF195" s="1" cm="1">
        <f t="array" ref="AF195">_xlfn.XLOOKUP(1,('2016 E Maize Soil VWC'!$C$2:$C$4000=$AA195)*('2016 E Maize Soil VWC'!$E$2:$E$4000=$AB195)*('2016 E Maize Soil VWC'!$F$2:$F$4000=AF$5),'2016 E Maize Soil VWC'!$G$2:$G$4000)</f>
        <v>0.27442149380830838</v>
      </c>
      <c r="AG195" s="1" cm="1">
        <f t="array" ref="AG195">_xlfn.XLOOKUP(1,('2016 E Maize Soil VWC'!$C$2:$C$4000=$AA195)*('2016 E Maize Soil VWC'!$E$2:$E$4000=$AB195)*('2016 E Maize Soil VWC'!$F$2:$F$4000=AG$5),'2016 E Maize Soil VWC'!$G$2:$G$4000)</f>
        <v>0.35831351059442473</v>
      </c>
      <c r="AH195" s="1" cm="1">
        <f t="array" ref="AH195">_xlfn.XLOOKUP(1,('2016 E Maize Soil VWC'!$C$2:$C$4000=$AA195)*('2016 E Maize Soil VWC'!$E$2:$E$4000=$AB195)*('2016 E Maize Soil VWC'!$F$2:$F$4000=AH$5),'2016 E Maize Soil VWC'!$G$2:$G$4000)</f>
        <v>0.33565682671065689</v>
      </c>
      <c r="AI195" s="1" cm="1">
        <f t="array" ref="AI195">_xlfn.XLOOKUP(1,('2016 E Maize Soil VWC'!$C$2:$C$4000=$AA195)*('2016 E Maize Soil VWC'!$E$2:$E$4000=$AB195)*('2016 E Maize Soil VWC'!$F$2:$F$4000=AI$5),'2016 E Maize Soil VWC'!$G$2:$G$4000)</f>
        <v>0.31825555919168053</v>
      </c>
      <c r="AJ195" s="1" cm="1">
        <f t="array" ref="AJ195">_xlfn.XLOOKUP(1,('2016 E Maize Soil VWC'!$C$2:$C$4000=$AA195)*('2016 E Maize Soil VWC'!$E$2:$E$4000=$AB195)*('2016 E Maize Soil VWC'!$F$2:$F$4000=AJ$5),'2016 E Maize Soil VWC'!$G$2:$G$4000)</f>
        <v>0.32888317895159225</v>
      </c>
      <c r="AK195" s="1" cm="1">
        <f t="array" ref="AK195">_xlfn.XLOOKUP(1,('2016 E Maize Soil VWC'!$C$2:$C$4000=$AA195)*('2016 E Maize Soil VWC'!$E$2:$E$4000=$AB195)*('2016 E Maize Soil VWC'!$F$2:$F$4000=AK$5),'2016 E Maize Soil VWC'!$G$2:$G$4000)</f>
        <v>0.32051344177803542</v>
      </c>
      <c r="AL195" s="1" cm="1">
        <f t="array" ref="AL195">_xlfn.XLOOKUP(1,('2016 E Maize Soil VWC'!$C$2:$C$4000=$AA195)*('2016 E Maize Soil VWC'!$E$2:$E$4000=$AB195)*('2016 E Maize Soil VWC'!$F$2:$F$4000=AL$5),'2016 E Maize Soil VWC'!$G$2:$G$4000)</f>
        <v>0.31989057761628237</v>
      </c>
      <c r="AM195" s="1" cm="1">
        <f t="array" ref="AM195">_xlfn.XLOOKUP(1,('2016 E Maize Soil VWC'!$C$2:$C$4000=$AA195)*('2016 E Maize Soil VWC'!$E$2:$E$4000=$AB195)*('2016 E Maize Soil VWC'!$F$2:$F$4000=AM$5),'2016 E Maize Soil VWC'!$G$2:$G$4000)</f>
        <v>0.32051344177803542</v>
      </c>
      <c r="AN195" s="1" cm="1">
        <f t="array" ref="AN195">_xlfn.XLOOKUP(1,('2016 E Maize Soil VWC'!$C$2:$C$4000=$AA195)*('2016 E Maize Soil VWC'!$E$2:$E$4000=$AB195)*('2016 E Maize Soil VWC'!$F$2:$F$4000=AN$5),'2016 E Maize Soil VWC'!$G$2:$G$4000)</f>
        <v>0.31327264589765602</v>
      </c>
      <c r="AO195" s="1" cm="1">
        <f t="array" ref="AO195">_xlfn.XLOOKUP(1,('2016 E Maize Soil VWC'!$C$2:$C$4000=$AA195)*('2016 E Maize Soil VWC'!$E$2:$E$4000=$AB195)*('2016 E Maize Soil VWC'!$F$2:$F$4000=AO$5),'2016 E Maize Soil VWC'!$G$2:$G$4000)</f>
        <v>0.29406117940858478</v>
      </c>
      <c r="AP195" s="1" cm="1">
        <f t="array" ref="AP195">_xlfn.XLOOKUP(1,('2016 E Maize Soil VWC'!$C$2:$C$4000=$AA195)*('2016 E Maize Soil VWC'!$E$2:$E$4000=$AB195)*('2016 E Maize Soil VWC'!$F$2:$F$4000=AP$5),'2016 E Maize Soil VWC'!$G$2:$G$4000)</f>
        <v>0.2917449033070656</v>
      </c>
      <c r="AQ195" s="1" cm="1">
        <f t="array" ref="AQ195">_xlfn.XLOOKUP(1,('2016 E Maize Soil VWC'!$C$2:$C$4000=$AA195)*('2016 E Maize Soil VWC'!$E$2:$E$4000=$AB195)*('2016 E Maize Soil VWC'!$F$2:$F$4000=AQ$5),'2016 E Maize Soil VWC'!$G$2:$G$4000)</f>
        <v>0.34093170758050312</v>
      </c>
      <c r="AR195" s="1" cm="1">
        <f t="array" ref="AR195">_xlfn.XLOOKUP(1,('2016 E Maize Soil VWC'!$C$2:$C$4000=$AA195)*('2016 E Maize Soil VWC'!$E$2:$E$4000=$AB195)*('2016 E Maize Soil VWC'!$F$2:$F$4000=AR$5),'2016 E Maize Soil VWC'!$G$2:$G$4000)</f>
        <v>0.32172024109143199</v>
      </c>
      <c r="AS195" s="1" cm="1">
        <f t="array" ref="AS195">_xlfn.XLOOKUP(1,('2016 E Maize Soil VWC'!$C$2:$C$4000=$AA195)*('2016 E Maize Soil VWC'!$E$2:$E$4000=$AB195)*('2016 E Maize Soil VWC'!$F$2:$F$4000=AS$5),'2016 E Maize Soil VWC'!$G$2:$G$4000)</f>
        <v>0.30383236094608607</v>
      </c>
      <c r="AT195" s="1" cm="1">
        <f t="array" ref="AT195">_xlfn.XLOOKUP(1,('2016 E Maize Soil VWC'!$C$2:$C$4000=$AA195)*('2016 E Maize Soil VWC'!$E$2:$E$4000=$AB195)*('2016 E Maize Soil VWC'!$F$2:$F$4000=AT$5),'2016 E Maize Soil VWC'!$G$2:$G$4000)</f>
        <v>0.3143237291706143</v>
      </c>
      <c r="AU195" s="1" cm="1">
        <f t="array" ref="AU195">_xlfn.XLOOKUP(1,('2016 E Maize Soil VWC'!$C$2:$C$4000=$AA195)*('2016 E Maize Soil VWC'!$E$2:$E$4000=$AB195)*('2016 E Maize Soil VWC'!$F$2:$F$4000=AU$5),'2016 E Maize Soil VWC'!$G$2:$G$4000)</f>
        <v>0.31664000527213354</v>
      </c>
      <c r="AV195" s="1" cm="1">
        <f t="array" ref="AV195">_xlfn.XLOOKUP(1,('2016 E Maize Soil VWC'!$C$2:$C$4000=$AA195)*('2016 E Maize Soil VWC'!$E$2:$E$4000=$AB195)*('2016 E Maize Soil VWC'!$F$2:$F$4000=AV$5),'2016 E Maize Soil VWC'!$G$2:$G$4000)</f>
        <v>0.32705351547644262</v>
      </c>
    </row>
    <row r="196" spans="25:64" x14ac:dyDescent="0.25">
      <c r="AA196" s="18">
        <f t="shared" si="31"/>
        <v>42639</v>
      </c>
      <c r="AB196" s="1">
        <f t="shared" si="32"/>
        <v>170</v>
      </c>
      <c r="AC196" s="1" cm="1">
        <f t="array" ref="AC196">_xlfn.XLOOKUP(1,('2016 E Maize Soil VWC'!$C$2:$C$4000=$AA196)*('2016 E Maize Soil VWC'!$E$2:$E$4000=$AB196)*('2016 E Maize Soil VWC'!$F$2:$F$4000=AC$5),'2016 E Maize Soil VWC'!$G$2:$G$4000)</f>
        <v>0.26410530612927319</v>
      </c>
      <c r="AD196" s="1" cm="1">
        <f t="array" ref="AD196">_xlfn.XLOOKUP(1,('2016 E Maize Soil VWC'!$C$2:$C$4000=$AA196)*('2016 E Maize Soil VWC'!$E$2:$E$4000=$AB196)*('2016 E Maize Soil VWC'!$F$2:$F$4000=AD$5),'2016 E Maize Soil VWC'!$G$2:$G$4000)</f>
        <v>0.25507377578385371</v>
      </c>
      <c r="AE196" s="1" cm="1">
        <f t="array" ref="AE196">_xlfn.XLOOKUP(1,('2016 E Maize Soil VWC'!$C$2:$C$4000=$AA196)*('2016 E Maize Soil VWC'!$E$2:$E$4000=$AB196)*('2016 E Maize Soil VWC'!$F$2:$F$4000=AE$5),'2016 E Maize Soil VWC'!$G$2:$G$4000)</f>
        <v>0.26842642625143509</v>
      </c>
      <c r="AF196" s="1" cm="1">
        <f t="array" ref="AF196">_xlfn.XLOOKUP(1,('2016 E Maize Soil VWC'!$C$2:$C$4000=$AA196)*('2016 E Maize Soil VWC'!$E$2:$E$4000=$AB196)*('2016 E Maize Soil VWC'!$F$2:$F$4000=AF$5),'2016 E Maize Soil VWC'!$G$2:$G$4000)</f>
        <v>0.27350666207073354</v>
      </c>
      <c r="AG196" s="1" cm="1">
        <f t="array" ref="AG196">_xlfn.XLOOKUP(1,('2016 E Maize Soil VWC'!$C$2:$C$4000=$AA196)*('2016 E Maize Soil VWC'!$E$2:$E$4000=$AB196)*('2016 E Maize Soil VWC'!$F$2:$F$4000=AG$5),'2016 E Maize Soil VWC'!$G$2:$G$4000)</f>
        <v>0.32417276872833467</v>
      </c>
      <c r="AH196" s="1" cm="1">
        <f t="array" ref="AH196">_xlfn.XLOOKUP(1,('2016 E Maize Soil VWC'!$C$2:$C$4000=$AA196)*('2016 E Maize Soil VWC'!$E$2:$E$4000=$AB196)*('2016 E Maize Soil VWC'!$F$2:$F$4000=AH$5),'2016 E Maize Soil VWC'!$G$2:$G$4000)</f>
        <v>0.32621654175908693</v>
      </c>
      <c r="AI196" s="1" cm="1">
        <f t="array" ref="AI196">_xlfn.XLOOKUP(1,('2016 E Maize Soil VWC'!$C$2:$C$4000=$AA196)*('2016 E Maize Soil VWC'!$E$2:$E$4000=$AB196)*('2016 E Maize Soil VWC'!$F$2:$F$4000=AI$5),'2016 E Maize Soil VWC'!$G$2:$G$4000)</f>
        <v>0.28682038352820538</v>
      </c>
      <c r="AJ196" s="1" cm="1">
        <f t="array" ref="AJ196">_xlfn.XLOOKUP(1,('2016 E Maize Soil VWC'!$C$2:$C$4000=$AA196)*('2016 E Maize Soil VWC'!$E$2:$E$4000=$AB196)*('2016 E Maize Soil VWC'!$F$2:$F$4000=AJ$5),'2016 E Maize Soil VWC'!$G$2:$G$4000)</f>
        <v>0.29737014526789801</v>
      </c>
      <c r="AK196" s="1" cm="1">
        <f t="array" ref="AK196">_xlfn.XLOOKUP(1,('2016 E Maize Soil VWC'!$C$2:$C$4000=$AA196)*('2016 E Maize Soil VWC'!$E$2:$E$4000=$AB196)*('2016 E Maize Soil VWC'!$F$2:$F$4000=AK$5),'2016 E Maize Soil VWC'!$G$2:$G$4000)</f>
        <v>0.28454303643679574</v>
      </c>
      <c r="AL196" s="1" cm="1">
        <f t="array" ref="AL196">_xlfn.XLOOKUP(1,('2016 E Maize Soil VWC'!$C$2:$C$4000=$AA196)*('2016 E Maize Soil VWC'!$E$2:$E$4000=$AB196)*('2016 E Maize Soil VWC'!$F$2:$F$4000=AL$5),'2016 E Maize Soil VWC'!$G$2:$G$4000)</f>
        <v>0.2960854879342823</v>
      </c>
      <c r="AM196" s="1" cm="1">
        <f t="array" ref="AM196">_xlfn.XLOOKUP(1,('2016 E Maize Soil VWC'!$C$2:$C$4000=$AA196)*('2016 E Maize Soil VWC'!$E$2:$E$4000=$AB196)*('2016 E Maize Soil VWC'!$F$2:$F$4000=AM$5),'2016 E Maize Soil VWC'!$G$2:$G$4000)</f>
        <v>0.31512177387786044</v>
      </c>
      <c r="AN196" s="1" cm="1">
        <f t="array" ref="AN196">_xlfn.XLOOKUP(1,('2016 E Maize Soil VWC'!$C$2:$C$4000=$AA196)*('2016 E Maize Soil VWC'!$E$2:$E$4000=$AB196)*('2016 E Maize Soil VWC'!$F$2:$F$4000=AN$5),'2016 E Maize Soil VWC'!$G$2:$G$4000)</f>
        <v>0.32699512196127828</v>
      </c>
      <c r="AO196" s="1" cm="1">
        <f t="array" ref="AO196">_xlfn.XLOOKUP(1,('2016 E Maize Soil VWC'!$C$2:$C$4000=$AA196)*('2016 E Maize Soil VWC'!$E$2:$E$4000=$AB196)*('2016 E Maize Soil VWC'!$F$2:$F$4000=AO$5),'2016 E Maize Soil VWC'!$G$2:$G$4000)</f>
        <v>0.28409535282053572</v>
      </c>
      <c r="AP196" s="1" cm="1">
        <f t="array" ref="AP196">_xlfn.XLOOKUP(1,('2016 E Maize Soil VWC'!$C$2:$C$4000=$AA196)*('2016 E Maize Soil VWC'!$E$2:$E$4000=$AB196)*('2016 E Maize Soil VWC'!$F$2:$F$4000=AP$5),'2016 E Maize Soil VWC'!$G$2:$G$4000)</f>
        <v>0.30891259676538452</v>
      </c>
      <c r="AQ196" s="1" cm="1">
        <f t="array" ref="AQ196">_xlfn.XLOOKUP(1,('2016 E Maize Soil VWC'!$C$2:$C$4000=$AA196)*('2016 E Maize Soil VWC'!$E$2:$E$4000=$AB196)*('2016 E Maize Soil VWC'!$F$2:$F$4000=AQ$5),'2016 E Maize Soil VWC'!$G$2:$G$4000)</f>
        <v>0.32923354004257838</v>
      </c>
      <c r="AR196" s="1" cm="1">
        <f t="array" ref="AR196">_xlfn.XLOOKUP(1,('2016 E Maize Soil VWC'!$C$2:$C$4000=$AA196)*('2016 E Maize Soil VWC'!$E$2:$E$4000=$AB196)*('2016 E Maize Soil VWC'!$F$2:$F$4000=AR$5),'2016 E Maize Soil VWC'!$G$2:$G$4000)</f>
        <v>0.32489295541536167</v>
      </c>
      <c r="AS196" s="1" cm="1">
        <f t="array" ref="AS196">_xlfn.XLOOKUP(1,('2016 E Maize Soil VWC'!$C$2:$C$4000=$AA196)*('2016 E Maize Soil VWC'!$E$2:$E$4000=$AB196)*('2016 E Maize Soil VWC'!$F$2:$F$4000=AS$5),'2016 E Maize Soil VWC'!$G$2:$G$4000)</f>
        <v>0.3077447264620975</v>
      </c>
      <c r="AT196" s="1" cm="1">
        <f t="array" ref="AT196">_xlfn.XLOOKUP(1,('2016 E Maize Soil VWC'!$C$2:$C$4000=$AA196)*('2016 E Maize Soil VWC'!$E$2:$E$4000=$AB196)*('2016 E Maize Soil VWC'!$F$2:$F$4000=AT$5),'2016 E Maize Soil VWC'!$G$2:$G$4000)</f>
        <v>0.31817770117146144</v>
      </c>
      <c r="AU196" s="1" cm="1">
        <f t="array" ref="AU196">_xlfn.XLOOKUP(1,('2016 E Maize Soil VWC'!$C$2:$C$4000=$AA196)*('2016 E Maize Soil VWC'!$E$2:$E$4000=$AB196)*('2016 E Maize Soil VWC'!$F$2:$F$4000=AU$5),'2016 E Maize Soil VWC'!$G$2:$G$4000)</f>
        <v>0.3012241172687451</v>
      </c>
      <c r="AV196" s="1" cm="1">
        <f t="array" ref="AV196">_xlfn.XLOOKUP(1,('2016 E Maize Soil VWC'!$C$2:$C$4000=$AA196)*('2016 E Maize Soil VWC'!$E$2:$E$4000=$AB196)*('2016 E Maize Soil VWC'!$F$2:$F$4000=AV$5),'2016 E Maize Soil VWC'!$G$2:$G$4000)</f>
        <v>0.30873741621989148</v>
      </c>
    </row>
    <row r="197" spans="25:64" x14ac:dyDescent="0.25">
      <c r="AA197" s="18">
        <f t="shared" si="31"/>
        <v>42639</v>
      </c>
      <c r="AB197" s="1">
        <f t="shared" si="32"/>
        <v>190</v>
      </c>
      <c r="AC197" s="1" cm="1">
        <f t="array" ref="AC197">_xlfn.XLOOKUP(1,('2016 E Maize Soil VWC'!$C$2:$C$4000=$AA197)*('2016 E Maize Soil VWC'!$E$2:$E$4000=$AB197)*('2016 E Maize Soil VWC'!$F$2:$F$4000=AC$5),'2016 E Maize Soil VWC'!$G$2:$G$4000)</f>
        <v>0.26217832012884962</v>
      </c>
      <c r="AD197" s="1" cm="1">
        <f t="array" ref="AD197">_xlfn.XLOOKUP(1,('2016 E Maize Soil VWC'!$C$2:$C$4000=$AA197)*('2016 E Maize Soil VWC'!$E$2:$E$4000=$AB197)*('2016 E Maize Soil VWC'!$F$2:$F$4000=AD$5),'2016 E Maize Soil VWC'!$G$2:$G$4000)</f>
        <v>0.27636794431378675</v>
      </c>
      <c r="AE197" s="1" cm="1">
        <f t="array" ref="AE197">_xlfn.XLOOKUP(1,('2016 E Maize Soil VWC'!$C$2:$C$4000=$AA197)*('2016 E Maize Soil VWC'!$E$2:$E$4000=$AB197)*('2016 E Maize Soil VWC'!$F$2:$F$4000=AE$5),'2016 E Maize Soil VWC'!$G$2:$G$4000)</f>
        <v>0.27545311257621191</v>
      </c>
      <c r="AF197" s="1" cm="1">
        <f t="array" ref="AF197">_xlfn.XLOOKUP(1,('2016 E Maize Soil VWC'!$C$2:$C$4000=$AA197)*('2016 E Maize Soil VWC'!$E$2:$E$4000=$AB197)*('2016 E Maize Soil VWC'!$F$2:$F$4000=AF$5),'2016 E Maize Soil VWC'!$G$2:$G$4000)</f>
        <v>0.28257712142626262</v>
      </c>
      <c r="AG197" s="1" cm="1">
        <f t="array" ref="AG197">_xlfn.XLOOKUP(1,('2016 E Maize Soil VWC'!$C$2:$C$4000=$AA197)*('2016 E Maize Soil VWC'!$E$2:$E$4000=$AB197)*('2016 E Maize Soil VWC'!$F$2:$F$4000=AG$5),'2016 E Maize Soil VWC'!$G$2:$G$4000)</f>
        <v>0.32574939363777211</v>
      </c>
      <c r="AH197" s="1" cm="1">
        <f t="array" ref="AH197">_xlfn.XLOOKUP(1,('2016 E Maize Soil VWC'!$C$2:$C$4000=$AA197)*('2016 E Maize Soil VWC'!$E$2:$E$4000=$AB197)*('2016 E Maize Soil VWC'!$F$2:$F$4000=AH$5),'2016 E Maize Soil VWC'!$G$2:$G$4000)</f>
        <v>0.33635754889262909</v>
      </c>
      <c r="AI197" s="1" cm="1">
        <f t="array" ref="AI197">_xlfn.XLOOKUP(1,('2016 E Maize Soil VWC'!$C$2:$C$4000=$AA197)*('2016 E Maize Soil VWC'!$E$2:$E$4000=$AB197)*('2016 E Maize Soil VWC'!$F$2:$F$4000=AI$5),'2016 E Maize Soil VWC'!$G$2:$G$4000)</f>
        <v>0.27062591532262564</v>
      </c>
      <c r="AJ197" s="1" cm="1">
        <f t="array" ref="AJ197">_xlfn.XLOOKUP(1,('2016 E Maize Soil VWC'!$C$2:$C$4000=$AA197)*('2016 E Maize Soil VWC'!$E$2:$E$4000=$AB197)*('2016 E Maize Soil VWC'!$F$2:$F$4000=AJ$5),'2016 E Maize Soil VWC'!$G$2:$G$4000)</f>
        <v>0.2814092511229756</v>
      </c>
      <c r="AK197" s="1" cm="1">
        <f t="array" ref="AK197">_xlfn.XLOOKUP(1,('2016 E Maize Soil VWC'!$C$2:$C$4000=$AA197)*('2016 E Maize Soil VWC'!$E$2:$E$4000=$AB197)*('2016 E Maize Soil VWC'!$F$2:$F$4000=AK$5),'2016 E Maize Soil VWC'!$G$2:$G$4000)</f>
        <v>0.2705480573024065</v>
      </c>
      <c r="AL197" s="1" cm="1">
        <f t="array" ref="AL197">_xlfn.XLOOKUP(1,('2016 E Maize Soil VWC'!$C$2:$C$4000=$AA197)*('2016 E Maize Soil VWC'!$E$2:$E$4000=$AB197)*('2016 E Maize Soil VWC'!$F$2:$F$4000=AL$5),'2016 E Maize Soil VWC'!$G$2:$G$4000)</f>
        <v>0.28148710914319475</v>
      </c>
      <c r="AM197" s="1" cm="1">
        <f t="array" ref="AM197">_xlfn.XLOOKUP(1,('2016 E Maize Soil VWC'!$C$2:$C$4000=$AA197)*('2016 E Maize Soil VWC'!$E$2:$E$4000=$AB197)*('2016 E Maize Soil VWC'!$F$2:$F$4000=AM$5),'2016 E Maize Soil VWC'!$G$2:$G$4000)</f>
        <v>0.29612441694439184</v>
      </c>
      <c r="AN197" s="1" cm="1">
        <f t="array" ref="AN197">_xlfn.XLOOKUP(1,('2016 E Maize Soil VWC'!$C$2:$C$4000=$AA197)*('2016 E Maize Soil VWC'!$E$2:$E$4000=$AB197)*('2016 E Maize Soil VWC'!$F$2:$F$4000=AN$5),'2016 E Maize Soil VWC'!$G$2:$G$4000)</f>
        <v>0.30406593500674345</v>
      </c>
      <c r="AO197" s="1" cm="1">
        <f t="array" ref="AO197">_xlfn.XLOOKUP(1,('2016 E Maize Soil VWC'!$C$2:$C$4000=$AA197)*('2016 E Maize Soil VWC'!$E$2:$E$4000=$AB197)*('2016 E Maize Soil VWC'!$F$2:$F$4000=AO$5),'2016 E Maize Soil VWC'!$G$2:$G$4000)</f>
        <v>0.27763313714234766</v>
      </c>
      <c r="AP197" s="1" cm="1">
        <f t="array" ref="AP197">_xlfn.XLOOKUP(1,('2016 E Maize Soil VWC'!$C$2:$C$4000=$AA197)*('2016 E Maize Soil VWC'!$E$2:$E$4000=$AB197)*('2016 E Maize Soil VWC'!$F$2:$F$4000=AP$5),'2016 E Maize Soil VWC'!$G$2:$G$4000)</f>
        <v>0.29092739409476465</v>
      </c>
      <c r="AQ197" s="1" cm="1">
        <f t="array" ref="AQ197">_xlfn.XLOOKUP(1,('2016 E Maize Soil VWC'!$C$2:$C$4000=$AA197)*('2016 E Maize Soil VWC'!$E$2:$E$4000=$AB197)*('2016 E Maize Soil VWC'!$F$2:$F$4000=AQ$5),'2016 E Maize Soil VWC'!$G$2:$G$4000)</f>
        <v>0.34036723693391452</v>
      </c>
      <c r="AR197" s="1" cm="1">
        <f t="array" ref="AR197">_xlfn.XLOOKUP(1,('2016 E Maize Soil VWC'!$C$2:$C$4000=$AA197)*('2016 E Maize Soil VWC'!$E$2:$E$4000=$AB197)*('2016 E Maize Soil VWC'!$F$2:$F$4000=AR$5),'2016 E Maize Soil VWC'!$G$2:$G$4000)</f>
        <v>0.32432848476877296</v>
      </c>
      <c r="AS197" s="1" cm="1">
        <f t="array" ref="AS197">_xlfn.XLOOKUP(1,('2016 E Maize Soil VWC'!$C$2:$C$4000=$AA197)*('2016 E Maize Soil VWC'!$E$2:$E$4000=$AB197)*('2016 E Maize Soil VWC'!$F$2:$F$4000=AS$5),'2016 E Maize Soil VWC'!$G$2:$G$4000)</f>
        <v>0.30951599642208283</v>
      </c>
      <c r="AT197" s="1" cm="1">
        <f t="array" ref="AT197">_xlfn.XLOOKUP(1,('2016 E Maize Soil VWC'!$C$2:$C$4000=$AA197)*('2016 E Maize Soil VWC'!$E$2:$E$4000=$AB197)*('2016 E Maize Soil VWC'!$F$2:$F$4000=AT$5),'2016 E Maize Soil VWC'!$G$2:$G$4000)</f>
        <v>0.30081536266259462</v>
      </c>
      <c r="AU197" s="1" cm="1">
        <f t="array" ref="AU197">_xlfn.XLOOKUP(1,('2016 E Maize Soil VWC'!$C$2:$C$4000=$AA197)*('2016 E Maize Soil VWC'!$E$2:$E$4000=$AB197)*('2016 E Maize Soil VWC'!$F$2:$F$4000=AU$5),'2016 E Maize Soil VWC'!$G$2:$G$4000)</f>
        <v>0.29190061934750389</v>
      </c>
      <c r="AV197" s="1" cm="1">
        <f t="array" ref="AV197">_xlfn.XLOOKUP(1,('2016 E Maize Soil VWC'!$C$2:$C$4000=$AA197)*('2016 E Maize Soil VWC'!$E$2:$E$4000=$AB197)*('2016 E Maize Soil VWC'!$F$2:$F$4000=AV$5),'2016 E Maize Soil VWC'!$G$2:$G$4000)</f>
        <v>0.29402225039847524</v>
      </c>
    </row>
    <row r="198" spans="25:64" x14ac:dyDescent="0.25">
      <c r="AA198" s="18">
        <f t="shared" si="31"/>
        <v>42639</v>
      </c>
      <c r="AB198" s="1">
        <f t="shared" si="32"/>
        <v>210</v>
      </c>
      <c r="AC198" s="1" cm="1">
        <f t="array" ref="AC198">_xlfn.XLOOKUP(1,('2016 E Maize Soil VWC'!$C$2:$C$4000=$AA198)*('2016 E Maize Soil VWC'!$E$2:$E$4000=$AB198)*('2016 E Maize Soil VWC'!$F$2:$F$4000=AC$5),'2016 E Maize Soil VWC'!$G$2:$G$4000)</f>
        <v>0.28977898829653248</v>
      </c>
      <c r="AD198" s="1" cm="1">
        <f t="array" ref="AD198">_xlfn.XLOOKUP(1,('2016 E Maize Soil VWC'!$C$2:$C$4000=$AA198)*('2016 E Maize Soil VWC'!$E$2:$E$4000=$AB198)*('2016 E Maize Soil VWC'!$F$2:$F$4000=AD$5),'2016 E Maize Soil VWC'!$G$2:$G$4000)</f>
        <v>0.28989577532686117</v>
      </c>
      <c r="AE198" s="1" cm="1">
        <f t="array" ref="AE198">_xlfn.XLOOKUP(1,('2016 E Maize Soil VWC'!$C$2:$C$4000=$AA198)*('2016 E Maize Soil VWC'!$E$2:$E$4000=$AB198)*('2016 E Maize Soil VWC'!$F$2:$F$4000=AE$5),'2016 E Maize Soil VWC'!$G$2:$G$4000)</f>
        <v>0.25972579249194694</v>
      </c>
      <c r="AF198" s="1" cm="1">
        <f t="array" ref="AF198">_xlfn.XLOOKUP(1,('2016 E Maize Soil VWC'!$C$2:$C$4000=$AA198)*('2016 E Maize Soil VWC'!$E$2:$E$4000=$AB198)*('2016 E Maize Soil VWC'!$F$2:$F$4000=AF$5),'2016 E Maize Soil VWC'!$G$2:$G$4000)</f>
        <v>0.27455774534369187</v>
      </c>
      <c r="AG198" s="1" t="e" cm="1">
        <f t="array" ref="AG198">_xlfn.XLOOKUP(1,('2016 E Maize Soil VWC'!$C$2:$C$4000=$AA198)*('2016 E Maize Soil VWC'!$E$2:$E$4000=$AB198)*('2016 E Maize Soil VWC'!$F$2:$F$4000=AG$5),'2016 E Maize Soil VWC'!$G$2:$G$4000)</f>
        <v>#N/A</v>
      </c>
      <c r="AH198" s="1" t="e" cm="1">
        <f t="array" ref="AH198">_xlfn.XLOOKUP(1,('2016 E Maize Soil VWC'!$C$2:$C$4000=$AA198)*('2016 E Maize Soil VWC'!$E$2:$E$4000=$AB198)*('2016 E Maize Soil VWC'!$F$2:$F$4000=AH$5),'2016 E Maize Soil VWC'!$G$2:$G$4000)</f>
        <v>#N/A</v>
      </c>
      <c r="AI198" s="1" cm="1">
        <f t="array" ref="AI198">_xlfn.XLOOKUP(1,('2016 E Maize Soil VWC'!$C$2:$C$4000=$AA198)*('2016 E Maize Soil VWC'!$E$2:$E$4000=$AB198)*('2016 E Maize Soil VWC'!$F$2:$F$4000=AI$5),'2016 E Maize Soil VWC'!$G$2:$G$4000)</f>
        <v>0.25207624200541706</v>
      </c>
      <c r="AJ198" s="1" cm="1">
        <f t="array" ref="AJ198">_xlfn.XLOOKUP(1,('2016 E Maize Soil VWC'!$C$2:$C$4000=$AA198)*('2016 E Maize Soil VWC'!$E$2:$E$4000=$AB198)*('2016 E Maize Soil VWC'!$F$2:$F$4000=AJ$5),'2016 E Maize Soil VWC'!$G$2:$G$4000)</f>
        <v>0.29094685859981945</v>
      </c>
      <c r="AK198" s="1" cm="1">
        <f t="array" ref="AK198">_xlfn.XLOOKUP(1,('2016 E Maize Soil VWC'!$C$2:$C$4000=$AA198)*('2016 E Maize Soil VWC'!$E$2:$E$4000=$AB198)*('2016 E Maize Soil VWC'!$F$2:$F$4000=AK$5),'2016 E Maize Soil VWC'!$G$2:$G$4000)</f>
        <v>0.27963798116299032</v>
      </c>
      <c r="AL198" s="1" cm="1">
        <f t="array" ref="AL198">_xlfn.XLOOKUP(1,('2016 E Maize Soil VWC'!$C$2:$C$4000=$AA198)*('2016 E Maize Soil VWC'!$E$2:$E$4000=$AB198)*('2016 E Maize Soil VWC'!$F$2:$F$4000=AL$5),'2016 E Maize Soil VWC'!$G$2:$G$4000)</f>
        <v>0.25197891948014317</v>
      </c>
      <c r="AM198" s="1" cm="1">
        <f t="array" ref="AM198">_xlfn.XLOOKUP(1,('2016 E Maize Soil VWC'!$C$2:$C$4000=$AA198)*('2016 E Maize Soil VWC'!$E$2:$E$4000=$AB198)*('2016 E Maize Soil VWC'!$F$2:$F$4000=AM$5),'2016 E Maize Soil VWC'!$G$2:$G$4000)</f>
        <v>0.29429475346924222</v>
      </c>
      <c r="AN198" s="1" cm="1">
        <f t="array" ref="AN198">_xlfn.XLOOKUP(1,('2016 E Maize Soil VWC'!$C$2:$C$4000=$AA198)*('2016 E Maize Soil VWC'!$E$2:$E$4000=$AB198)*('2016 E Maize Soil VWC'!$F$2:$F$4000=AN$5),'2016 E Maize Soil VWC'!$G$2:$G$4000)</f>
        <v>0.30087375617775897</v>
      </c>
      <c r="AO198" s="1" cm="1">
        <f t="array" ref="AO198">_xlfn.XLOOKUP(1,('2016 E Maize Soil VWC'!$C$2:$C$4000=$AA198)*('2016 E Maize Soil VWC'!$E$2:$E$4000=$AB198)*('2016 E Maize Soil VWC'!$F$2:$F$4000=AO$5),'2016 E Maize Soil VWC'!$G$2:$G$4000)</f>
        <v>0.28409535282053572</v>
      </c>
      <c r="AP198" s="1" cm="1">
        <f t="array" ref="AP198">_xlfn.XLOOKUP(1,('2016 E Maize Soil VWC'!$C$2:$C$4000=$AA198)*('2016 E Maize Soil VWC'!$E$2:$E$4000=$AB198)*('2016 E Maize Soil VWC'!$F$2:$F$4000=AP$5),'2016 E Maize Soil VWC'!$G$2:$G$4000)</f>
        <v>0.25980365051216608</v>
      </c>
      <c r="AQ198" s="1" t="e" cm="1">
        <f t="array" ref="AQ198">_xlfn.XLOOKUP(1,('2016 E Maize Soil VWC'!$C$2:$C$4000=$AA198)*('2016 E Maize Soil VWC'!$E$2:$E$4000=$AB198)*('2016 E Maize Soil VWC'!$F$2:$F$4000=AQ$5),'2016 E Maize Soil VWC'!$G$2:$G$4000)</f>
        <v>#N/A</v>
      </c>
      <c r="AR198" s="1" t="e" cm="1">
        <f t="array" ref="AR198">_xlfn.XLOOKUP(1,('2016 E Maize Soil VWC'!$C$2:$C$4000=$AA198)*('2016 E Maize Soil VWC'!$E$2:$E$4000=$AB198)*('2016 E Maize Soil VWC'!$F$2:$F$4000=AR$5),'2016 E Maize Soil VWC'!$G$2:$G$4000)</f>
        <v>#N/A</v>
      </c>
      <c r="AS198" s="1" cm="1">
        <f t="array" ref="AS198">_xlfn.XLOOKUP(1,('2016 E Maize Soil VWC'!$C$2:$C$4000=$AA198)*('2016 E Maize Soil VWC'!$E$2:$E$4000=$AB198)*('2016 E Maize Soil VWC'!$F$2:$F$4000=AS$5),'2016 E Maize Soil VWC'!$G$2:$G$4000)</f>
        <v>0.29380814084287266</v>
      </c>
      <c r="AT198" s="1" cm="1">
        <f t="array" ref="AT198">_xlfn.XLOOKUP(1,('2016 E Maize Soil VWC'!$C$2:$C$4000=$AA198)*('2016 E Maize Soil VWC'!$E$2:$E$4000=$AB198)*('2016 E Maize Soil VWC'!$F$2:$F$4000=AT$5),'2016 E Maize Soil VWC'!$G$2:$G$4000)</f>
        <v>0.29361349579232482</v>
      </c>
      <c r="AU198" s="1" cm="1">
        <f t="array" ref="AU198">_xlfn.XLOOKUP(1,('2016 E Maize Soil VWC'!$C$2:$C$4000=$AA198)*('2016 E Maize Soil VWC'!$E$2:$E$4000=$AB198)*('2016 E Maize Soil VWC'!$F$2:$F$4000=AU$5),'2016 E Maize Soil VWC'!$G$2:$G$4000)</f>
        <v>0.28512697158843925</v>
      </c>
      <c r="AV198" s="1" cm="1">
        <f t="array" ref="AV198">_xlfn.XLOOKUP(1,('2016 E Maize Soil VWC'!$C$2:$C$4000=$AA198)*('2016 E Maize Soil VWC'!$E$2:$E$4000=$AB198)*('2016 E Maize Soil VWC'!$F$2:$F$4000=AV$5),'2016 E Maize Soil VWC'!$G$2:$G$4000)</f>
        <v>0.28736538966973929</v>
      </c>
    </row>
    <row r="199" spans="25:64" x14ac:dyDescent="0.25">
      <c r="AA199" s="18">
        <f t="shared" si="31"/>
        <v>42639</v>
      </c>
      <c r="AB199" s="1">
        <f t="shared" si="32"/>
        <v>230</v>
      </c>
      <c r="AC199" s="1" cm="1">
        <f t="array" ref="AC199">_xlfn.XLOOKUP(1,('2016 E Maize Soil VWC'!$C$2:$C$4000=$AA199)*('2016 E Maize Soil VWC'!$E$2:$E$4000=$AB199)*('2016 E Maize Soil VWC'!$F$2:$F$4000=AC$5),'2016 E Maize Soil VWC'!$G$2:$G$4000)</f>
        <v>0.28929237567016292</v>
      </c>
      <c r="AD199" s="1" cm="1">
        <f t="array" ref="AD199">_xlfn.XLOOKUP(1,('2016 E Maize Soil VWC'!$C$2:$C$4000=$AA199)*('2016 E Maize Soil VWC'!$E$2:$E$4000=$AB199)*('2016 E Maize Soil VWC'!$F$2:$F$4000=AD$5),'2016 E Maize Soil VWC'!$G$2:$G$4000)</f>
        <v>0.29361349579232482</v>
      </c>
      <c r="AE199" s="1" cm="1">
        <f t="array" ref="AE199">_xlfn.XLOOKUP(1,('2016 E Maize Soil VWC'!$C$2:$C$4000=$AA199)*('2016 E Maize Soil VWC'!$E$2:$E$4000=$AB199)*('2016 E Maize Soil VWC'!$F$2:$F$4000=AE$5),'2016 E Maize Soil VWC'!$G$2:$G$4000)</f>
        <v>0.25838274164316688</v>
      </c>
      <c r="AF199" s="1" cm="1">
        <f t="array" ref="AF199">_xlfn.XLOOKUP(1,('2016 E Maize Soil VWC'!$C$2:$C$4000=$AA199)*('2016 E Maize Soil VWC'!$E$2:$E$4000=$AB199)*('2016 E Maize Soil VWC'!$F$2:$F$4000=AF$5),'2016 E Maize Soil VWC'!$G$2:$G$4000)</f>
        <v>0.26620747267518979</v>
      </c>
      <c r="AG199" s="1" t="e" cm="1">
        <f t="array" ref="AG199">_xlfn.XLOOKUP(1,('2016 E Maize Soil VWC'!$C$2:$C$4000=$AA199)*('2016 E Maize Soil VWC'!$E$2:$E$4000=$AB199)*('2016 E Maize Soil VWC'!$F$2:$F$4000=AG$5),'2016 E Maize Soil VWC'!$G$2:$G$4000)</f>
        <v>#N/A</v>
      </c>
      <c r="AH199" s="1" t="e" cm="1">
        <f t="array" ref="AH199">_xlfn.XLOOKUP(1,('2016 E Maize Soil VWC'!$C$2:$C$4000=$AA199)*('2016 E Maize Soil VWC'!$E$2:$E$4000=$AB199)*('2016 E Maize Soil VWC'!$F$2:$F$4000=AH$5),'2016 E Maize Soil VWC'!$G$2:$G$4000)</f>
        <v>#N/A</v>
      </c>
      <c r="AI199" s="1" cm="1">
        <f t="array" ref="AI199">_xlfn.XLOOKUP(1,('2016 E Maize Soil VWC'!$C$2:$C$4000=$AA199)*('2016 E Maize Soil VWC'!$E$2:$E$4000=$AB199)*('2016 E Maize Soil VWC'!$F$2:$F$4000=AI$5),'2016 E Maize Soil VWC'!$G$2:$G$4000)</f>
        <v>0.2566309361882364</v>
      </c>
      <c r="AJ199" s="1" cm="1">
        <f t="array" ref="AJ199">_xlfn.XLOOKUP(1,('2016 E Maize Soil VWC'!$C$2:$C$4000=$AA199)*('2016 E Maize Soil VWC'!$E$2:$E$4000=$AB199)*('2016 E Maize Soil VWC'!$F$2:$F$4000=AJ$5),'2016 E Maize Soil VWC'!$G$2:$G$4000)</f>
        <v>0.30655739165375573</v>
      </c>
      <c r="AK199" s="1" cm="1">
        <f t="array" ref="AK199">_xlfn.XLOOKUP(1,('2016 E Maize Soil VWC'!$C$2:$C$4000=$AA199)*('2016 E Maize Soil VWC'!$E$2:$E$4000=$AB199)*('2016 E Maize Soil VWC'!$F$2:$F$4000=AK$5),'2016 E Maize Soil VWC'!$G$2:$G$4000)</f>
        <v>0.29935552478348593</v>
      </c>
      <c r="AL199" s="1" cm="1">
        <f t="array" ref="AL199">_xlfn.XLOOKUP(1,('2016 E Maize Soil VWC'!$C$2:$C$4000=$AA199)*('2016 E Maize Soil VWC'!$E$2:$E$4000=$AB199)*('2016 E Maize Soil VWC'!$F$2:$F$4000=AL$5),'2016 E Maize Soil VWC'!$G$2:$G$4000)</f>
        <v>0.25230981606607444</v>
      </c>
      <c r="AM199" s="1" cm="1">
        <f t="array" ref="AM199">_xlfn.XLOOKUP(1,('2016 E Maize Soil VWC'!$C$2:$C$4000=$AA199)*('2016 E Maize Soil VWC'!$E$2:$E$4000=$AB199)*('2016 E Maize Soil VWC'!$F$2:$F$4000=AM$5),'2016 E Maize Soil VWC'!$G$2:$G$4000)</f>
        <v>0.28841647294269762</v>
      </c>
      <c r="AN199" s="1" cm="1">
        <f t="array" ref="AN199">_xlfn.XLOOKUP(1,('2016 E Maize Soil VWC'!$C$2:$C$4000=$AA199)*('2016 E Maize Soil VWC'!$E$2:$E$4000=$AB199)*('2016 E Maize Soil VWC'!$F$2:$F$4000=AN$5),'2016 E Maize Soil VWC'!$G$2:$G$4000)</f>
        <v>0.28411481732559052</v>
      </c>
      <c r="AO199" s="1" cm="1">
        <f t="array" ref="AO199">_xlfn.XLOOKUP(1,('2016 E Maize Soil VWC'!$C$2:$C$4000=$AA199)*('2016 E Maize Soil VWC'!$E$2:$E$4000=$AB199)*('2016 E Maize Soil VWC'!$F$2:$F$4000=AO$5),'2016 E Maize Soil VWC'!$G$2:$G$4000)</f>
        <v>0.27866475591025114</v>
      </c>
      <c r="AP199" s="1" cm="1">
        <f t="array" ref="AP199">_xlfn.XLOOKUP(1,('2016 E Maize Soil VWC'!$C$2:$C$4000=$AA199)*('2016 E Maize Soil VWC'!$E$2:$E$4000=$AB199)*('2016 E Maize Soil VWC'!$F$2:$F$4000=AP$5),'2016 E Maize Soil VWC'!$G$2:$G$4000)</f>
        <v>0.27120985047426915</v>
      </c>
      <c r="AQ199" s="1" t="e" cm="1">
        <f t="array" ref="AQ199">_xlfn.XLOOKUP(1,('2016 E Maize Soil VWC'!$C$2:$C$4000=$AA199)*('2016 E Maize Soil VWC'!$E$2:$E$4000=$AB199)*('2016 E Maize Soil VWC'!$F$2:$F$4000=AQ$5),'2016 E Maize Soil VWC'!$G$2:$G$4000)</f>
        <v>#N/A</v>
      </c>
      <c r="AR199" s="1" t="e" cm="1">
        <f t="array" ref="AR199">_xlfn.XLOOKUP(1,('2016 E Maize Soil VWC'!$C$2:$C$4000=$AA199)*('2016 E Maize Soil VWC'!$E$2:$E$4000=$AB199)*('2016 E Maize Soil VWC'!$F$2:$F$4000=AR$5),'2016 E Maize Soil VWC'!$G$2:$G$4000)</f>
        <v>#N/A</v>
      </c>
      <c r="AS199" s="1" cm="1">
        <f t="array" ref="AS199">_xlfn.XLOOKUP(1,('2016 E Maize Soil VWC'!$C$2:$C$4000=$AA199)*('2016 E Maize Soil VWC'!$E$2:$E$4000=$AB199)*('2016 E Maize Soil VWC'!$F$2:$F$4000=AS$5),'2016 E Maize Soil VWC'!$G$2:$G$4000)</f>
        <v>0.29067435552905252</v>
      </c>
      <c r="AT199" s="1" cm="1">
        <f t="array" ref="AT199">_xlfn.XLOOKUP(1,('2016 E Maize Soil VWC'!$C$2:$C$4000=$AA199)*('2016 E Maize Soil VWC'!$E$2:$E$4000=$AB199)*('2016 E Maize Soil VWC'!$F$2:$F$4000=AT$5),'2016 E Maize Soil VWC'!$G$2:$G$4000)</f>
        <v>0.28944809171060115</v>
      </c>
      <c r="AU199" s="1" cm="1">
        <f t="array" ref="AU199">_xlfn.XLOOKUP(1,('2016 E Maize Soil VWC'!$C$2:$C$4000=$AA199)*('2016 E Maize Soil VWC'!$E$2:$E$4000=$AB199)*('2016 E Maize Soil VWC'!$F$2:$F$4000=AU$5),'2016 E Maize Soil VWC'!$G$2:$G$4000)</f>
        <v>0.27665991188960848</v>
      </c>
      <c r="AV199" s="1" cm="1">
        <f t="array" ref="AV199">_xlfn.XLOOKUP(1,('2016 E Maize Soil VWC'!$C$2:$C$4000=$AA199)*('2016 E Maize Soil VWC'!$E$2:$E$4000=$AB199)*('2016 E Maize Soil VWC'!$F$2:$F$4000=AV$5),'2016 E Maize Soil VWC'!$G$2:$G$4000)</f>
        <v>0.29197847736772298</v>
      </c>
    </row>
    <row r="201" spans="25:64" x14ac:dyDescent="0.25">
      <c r="Y201" s="1">
        <v>2016</v>
      </c>
      <c r="Z201" s="1">
        <v>286</v>
      </c>
      <c r="AA201" s="18">
        <f>DATE(Y201,1,Z201)</f>
        <v>42655</v>
      </c>
      <c r="AB201" s="1">
        <v>10</v>
      </c>
      <c r="AC201" s="1" cm="1">
        <f t="array" ref="AC201">_xlfn.XLOOKUP(1,('2016 E Maize Soil VWC'!$C$2:$C$4000=$AA201)*('2016 E Maize Soil VWC'!$E$2:$E$4000=$AB201)*('2016 E Maize Soil VWC'!$F$2:$F$4000=AC$5),'2016 E Maize Soil VWC'!$G$2:$G$4000)</f>
        <v>0.19827786269045999</v>
      </c>
      <c r="AD201" s="1" cm="1">
        <f t="array" ref="AD201">_xlfn.XLOOKUP(1,('2016 E Maize Soil VWC'!$C$2:$C$4000=$AA201)*('2016 E Maize Soil VWC'!$E$2:$E$4000=$AB201)*('2016 E Maize Soil VWC'!$F$2:$F$4000=AD$5),'2016 E Maize Soil VWC'!$G$2:$G$4000)</f>
        <v>0.18153248748843587</v>
      </c>
      <c r="AE201" s="1" cm="1">
        <f t="array" ref="AE201">_xlfn.XLOOKUP(1,('2016 E Maize Soil VWC'!$C$2:$C$4000=$AA201)*('2016 E Maize Soil VWC'!$E$2:$E$4000=$AB201)*('2016 E Maize Soil VWC'!$F$2:$F$4000=AE$5),'2016 E Maize Soil VWC'!$G$2:$G$4000)</f>
        <v>0.19693516364791513</v>
      </c>
      <c r="AF201" s="1" cm="1">
        <f t="array" ref="AF201">_xlfn.XLOOKUP(1,('2016 E Maize Soil VWC'!$C$2:$C$4000=$AA201)*('2016 E Maize Soil VWC'!$E$2:$E$4000=$AB201)*('2016 E Maize Soil VWC'!$F$2:$F$4000=AF$5),'2016 E Maize Soil VWC'!$G$2:$G$4000)</f>
        <v>0.18740200044584637</v>
      </c>
      <c r="AG201" s="1" cm="1">
        <f t="array" ref="AG201">_xlfn.XLOOKUP(1,('2016 E Maize Soil VWC'!$C$2:$C$4000=$AA201)*('2016 E Maize Soil VWC'!$E$2:$E$4000=$AB201)*('2016 E Maize Soil VWC'!$F$2:$F$4000=AG$5),'2016 E Maize Soil VWC'!$G$2:$G$4000)</f>
        <v>0.21845671115842036</v>
      </c>
      <c r="AH201" s="1" cm="1">
        <f t="array" ref="AH201">_xlfn.XLOOKUP(1,('2016 E Maize Soil VWC'!$C$2:$C$4000=$AA201)*('2016 E Maize Soil VWC'!$E$2:$E$4000=$AB201)*('2016 E Maize Soil VWC'!$F$2:$F$4000=AH$5),'2016 E Maize Soil VWC'!$G$2:$G$4000)</f>
        <v>0.20261286245639065</v>
      </c>
      <c r="AI201" s="1" cm="1">
        <f t="array" ref="AI201">_xlfn.XLOOKUP(1,('2016 E Maize Soil VWC'!$C$2:$C$4000=$AA201)*('2016 E Maize Soil VWC'!$E$2:$E$4000=$AB201)*('2016 E Maize Soil VWC'!$F$2:$F$4000=AI$5),'2016 E Maize Soil VWC'!$G$2:$G$4000)</f>
        <v>0.20489545082871696</v>
      </c>
      <c r="AJ201" s="1" cm="1">
        <f t="array" ref="AJ201">_xlfn.XLOOKUP(1,('2016 E Maize Soil VWC'!$C$2:$C$4000=$AA201)*('2016 E Maize Soil VWC'!$E$2:$E$4000=$AB201)*('2016 E Maize Soil VWC'!$F$2:$F$4000=AJ$5),'2016 E Maize Soil VWC'!$G$2:$G$4000)</f>
        <v>0.17754275319058815</v>
      </c>
      <c r="AK201" s="1" cm="1">
        <f t="array" ref="AK201">_xlfn.XLOOKUP(1,('2016 E Maize Soil VWC'!$C$2:$C$4000=$AA201)*('2016 E Maize Soil VWC'!$E$2:$E$4000=$AB201)*('2016 E Maize Soil VWC'!$F$2:$F$4000=AK$5),'2016 E Maize Soil VWC'!$G$2:$G$4000)</f>
        <v>0.1985272210840755</v>
      </c>
      <c r="AL201" s="1" cm="1">
        <f t="array" ref="AL201">_xlfn.XLOOKUP(1,('2016 E Maize Soil VWC'!$C$2:$C$4000=$AA201)*('2016 E Maize Soil VWC'!$E$2:$E$4000=$AB201)*('2016 E Maize Soil VWC'!$F$2:$F$4000=AL$5),'2016 E Maize Soil VWC'!$G$2:$G$4000)</f>
        <v>0.19710779638195663</v>
      </c>
      <c r="AM201" s="1" cm="1">
        <f t="array" ref="AM201">_xlfn.XLOOKUP(1,('2016 E Maize Soil VWC'!$C$2:$C$4000=$AA201)*('2016 E Maize Soil VWC'!$E$2:$E$4000=$AB201)*('2016 E Maize Soil VWC'!$F$2:$F$4000=AM$5),'2016 E Maize Soil VWC'!$G$2:$G$4000)</f>
        <v>0.15007496706309842</v>
      </c>
      <c r="AN201" s="1" cm="1">
        <f t="array" ref="AN201">_xlfn.XLOOKUP(1,('2016 E Maize Soil VWC'!$C$2:$C$4000=$AA201)*('2016 E Maize Soil VWC'!$E$2:$E$4000=$AB201)*('2016 E Maize Soil VWC'!$F$2:$F$4000=AN$5),'2016 E Maize Soil VWC'!$G$2:$G$4000)</f>
        <v>0.15972321875452811</v>
      </c>
      <c r="AO201" s="1" cm="1">
        <f t="array" ref="AO201">_xlfn.XLOOKUP(1,('2016 E Maize Soil VWC'!$C$2:$C$4000=$AA201)*('2016 E Maize Soil VWC'!$E$2:$E$4000=$AB201)*('2016 E Maize Soil VWC'!$F$2:$F$4000=AO$5),'2016 E Maize Soil VWC'!$G$2:$G$4000)</f>
        <v>0.18116804060545938</v>
      </c>
      <c r="AP201" s="1" cm="1">
        <f t="array" ref="AP201">_xlfn.XLOOKUP(1,('2016 E Maize Soil VWC'!$C$2:$C$4000=$AA201)*('2016 E Maize Soil VWC'!$E$2:$E$4000=$AB201)*('2016 E Maize Soil VWC'!$F$2:$F$4000=AP$5),'2016 E Maize Soil VWC'!$G$2:$G$4000)</f>
        <v>0.14808009991417459</v>
      </c>
      <c r="AQ201" s="1" cm="1">
        <f t="array" ref="AQ201">_xlfn.XLOOKUP(1,('2016 E Maize Soil VWC'!$C$2:$C$4000=$AA201)*('2016 E Maize Soil VWC'!$E$2:$E$4000=$AB201)*('2016 E Maize Soil VWC'!$F$2:$F$4000=AQ$5),'2016 E Maize Soil VWC'!$G$2:$G$4000)</f>
        <v>0.19639808403089715</v>
      </c>
      <c r="AR201" s="1" cm="1">
        <f t="array" ref="AR201">_xlfn.XLOOKUP(1,('2016 E Maize Soil VWC'!$C$2:$C$4000=$AA201)*('2016 E Maize Soil VWC'!$E$2:$E$4000=$AB201)*('2016 E Maize Soil VWC'!$F$2:$F$4000=AR$5),'2016 E Maize Soil VWC'!$G$2:$G$4000)</f>
        <v>0.16862339526511139</v>
      </c>
      <c r="AS201" s="1" cm="1">
        <f t="array" ref="AS201">_xlfn.XLOOKUP(1,('2016 E Maize Soil VWC'!$C$2:$C$4000=$AA201)*('2016 E Maize Soil VWC'!$E$2:$E$4000=$AB201)*('2016 E Maize Soil VWC'!$F$2:$F$4000=AS$5),'2016 E Maize Soil VWC'!$G$2:$G$4000)</f>
        <v>0.1837767130309752</v>
      </c>
      <c r="AT201" s="1" cm="1">
        <f t="array" ref="AT201">_xlfn.XLOOKUP(1,('2016 E Maize Soil VWC'!$C$2:$C$4000=$AA201)*('2016 E Maize Soil VWC'!$E$2:$E$4000=$AB201)*('2016 E Maize Soil VWC'!$F$2:$F$4000=AT$5),'2016 E Maize Soil VWC'!$G$2:$G$4000)</f>
        <v>0.17040726685020674</v>
      </c>
      <c r="AU201" s="1" cm="1">
        <f t="array" ref="AU201">_xlfn.XLOOKUP(1,('2016 E Maize Soil VWC'!$C$2:$C$4000=$AA201)*('2016 E Maize Soil VWC'!$E$2:$E$4000=$AB201)*('2016 E Maize Soil VWC'!$F$2:$F$4000=AU$5),'2016 E Maize Soil VWC'!$G$2:$G$4000)</f>
        <v>0.20038781832874486</v>
      </c>
      <c r="AV201" s="1" cm="1">
        <f t="array" ref="AV201">_xlfn.XLOOKUP(1,('2016 E Maize Soil VWC'!$C$2:$C$4000=$AA201)*('2016 E Maize Soil VWC'!$E$2:$E$4000=$AB201)*('2016 E Maize Soil VWC'!$F$2:$F$4000=AV$5),'2016 E Maize Soil VWC'!$G$2:$G$4000)</f>
        <v>0.18287518653098078</v>
      </c>
      <c r="AW201" s="1">
        <f>Z201</f>
        <v>286</v>
      </c>
      <c r="AX201" s="15">
        <f>AA201</f>
        <v>42655</v>
      </c>
      <c r="AY201" s="1">
        <f>1400*AVERAGE(AG201:AH207)+100*AVERAGE(AG208:AH208)</f>
        <v>456.1161847570695</v>
      </c>
      <c r="AZ201" s="1">
        <f>1400*AVERAGE(AC201:AF207,AI201:AL207)+100*AVERAGE(AC208:AF208,AI208:AL208)</f>
        <v>439.65244110982309</v>
      </c>
      <c r="BA201" s="1">
        <f>1400*AVERAGE(AQ201:AR207)+100*AVERAGE(AQ208:AR208)</f>
        <v>447.11625720989338</v>
      </c>
      <c r="BB201" s="1">
        <f>1400*AVERAGE(AM201:AP207,AS201:AV207)+100*AVERAGE(AM208:AP208,AS208:AV208)</f>
        <v>416.82060489678668</v>
      </c>
      <c r="BC201" s="1">
        <f>AVERAGE(AC201:AD212)*2400</f>
        <v>689.57768123766959</v>
      </c>
      <c r="BD201" s="1">
        <f>AVERAGE(AE201:AF212)*2400</f>
        <v>673.7366234816144</v>
      </c>
      <c r="BE201" s="1">
        <f>AVERAGE(AG201:AH210)*2000</f>
        <v>621.88817315336007</v>
      </c>
      <c r="BF201" s="1">
        <f>AVERAGE(AI201:AJ212)*2400</f>
        <v>701.64644226623739</v>
      </c>
      <c r="BG201" s="1">
        <f>AVERAGE(AK201:AL212)*2400</f>
        <v>694.15214413210435</v>
      </c>
      <c r="BH201" s="1">
        <f>AVERAGE(AM201:AN212)*2400</f>
        <v>676.76095381031462</v>
      </c>
      <c r="BI201" s="1">
        <f>AVERAGE(AO201:AP212)*2400</f>
        <v>643.08709962660373</v>
      </c>
      <c r="BJ201" s="1">
        <f>AVERAGE(AQ201:AR210)*2000</f>
        <v>612.86196852436001</v>
      </c>
      <c r="BK201" s="1">
        <f>AVERAGE(AS201:AT212)*2400</f>
        <v>712.09435339233369</v>
      </c>
      <c r="BL201" s="1">
        <f>AVERAGE(AU201:AV212)*2400</f>
        <v>694.82448265323171</v>
      </c>
    </row>
    <row r="202" spans="25:64" x14ac:dyDescent="0.25">
      <c r="AA202" s="18">
        <f t="shared" ref="AA202:AA212" si="33">AA201</f>
        <v>42655</v>
      </c>
      <c r="AB202" s="1">
        <f t="shared" ref="AB202:AB212" si="34">AB201+20</f>
        <v>30</v>
      </c>
      <c r="AC202" s="1" cm="1">
        <f t="array" ref="AC202">_xlfn.XLOOKUP(1,('2016 E Maize Soil VWC'!$C$2:$C$4000=$AA202)*('2016 E Maize Soil VWC'!$E$2:$E$4000=$AB202)*('2016 E Maize Soil VWC'!$F$2:$F$4000=AC$5),'2016 E Maize Soil VWC'!$G$2:$G$4000)</f>
        <v>0.27469655029704515</v>
      </c>
      <c r="AD202" s="1" cm="1">
        <f t="array" ref="AD202">_xlfn.XLOOKUP(1,('2016 E Maize Soil VWC'!$C$2:$C$4000=$AA202)*('2016 E Maize Soil VWC'!$E$2:$E$4000=$AB202)*('2016 E Maize Soil VWC'!$F$2:$F$4000=AD$5),'2016 E Maize Soil VWC'!$G$2:$G$4000)</f>
        <v>0.29606066647346657</v>
      </c>
      <c r="AE202" s="1" cm="1">
        <f t="array" ref="AE202">_xlfn.XLOOKUP(1,('2016 E Maize Soil VWC'!$C$2:$C$4000=$AA202)*('2016 E Maize Soil VWC'!$E$2:$E$4000=$AB202)*('2016 E Maize Soil VWC'!$F$2:$F$4000=AE$5),'2016 E Maize Soil VWC'!$G$2:$G$4000)</f>
        <v>0.29063376879521158</v>
      </c>
      <c r="AF202" s="1" cm="1">
        <f t="array" ref="AF202">_xlfn.XLOOKUP(1,('2016 E Maize Soil VWC'!$C$2:$C$4000=$AA202)*('2016 E Maize Soil VWC'!$E$2:$E$4000=$AB202)*('2016 E Maize Soil VWC'!$F$2:$F$4000=AF$5),'2016 E Maize Soil VWC'!$G$2:$G$4000)</f>
        <v>0.27016268641394608</v>
      </c>
      <c r="AG202" s="1" cm="1">
        <f t="array" ref="AG202">_xlfn.XLOOKUP(1,('2016 E Maize Soil VWC'!$C$2:$C$4000=$AA202)*('2016 E Maize Soil VWC'!$E$2:$E$4000=$AB202)*('2016 E Maize Soil VWC'!$F$2:$F$4000=AG$5),'2016 E Maize Soil VWC'!$G$2:$G$4000)</f>
        <v>0.31147122401551547</v>
      </c>
      <c r="AH202" s="1" cm="1">
        <f t="array" ref="AH202">_xlfn.XLOOKUP(1,('2016 E Maize Soil VWC'!$C$2:$C$4000=$AA202)*('2016 E Maize Soil VWC'!$E$2:$E$4000=$AB202)*('2016 E Maize Soil VWC'!$F$2:$F$4000=AH$5),'2016 E Maize Soil VWC'!$G$2:$G$4000)</f>
        <v>0.30771590241537283</v>
      </c>
      <c r="AI202" s="1" cm="1">
        <f t="array" ref="AI202">_xlfn.XLOOKUP(1,('2016 E Maize Soil VWC'!$C$2:$C$4000=$AA202)*('2016 E Maize Soil VWC'!$E$2:$E$4000=$AB202)*('2016 E Maize Soil VWC'!$F$2:$F$4000=AI$5),'2016 E Maize Soil VWC'!$G$2:$G$4000)</f>
        <v>0.30485361461038601</v>
      </c>
      <c r="AJ202" s="1" cm="1">
        <f t="array" ref="AJ202">_xlfn.XLOOKUP(1,('2016 E Maize Soil VWC'!$C$2:$C$4000=$AA202)*('2016 E Maize Soil VWC'!$E$2:$E$4000=$AB202)*('2016 E Maize Soil VWC'!$F$2:$F$4000=AJ$5),'2016 E Maize Soil VWC'!$G$2:$G$4000)</f>
        <v>0.29500734456123145</v>
      </c>
      <c r="AK202" s="1" cm="1">
        <f t="array" ref="AK202">_xlfn.XLOOKUP(1,('2016 E Maize Soil VWC'!$C$2:$C$4000=$AA202)*('2016 E Maize Soil VWC'!$E$2:$E$4000=$AB202)*('2016 E Maize Soil VWC'!$F$2:$F$4000=AK$5),'2016 E Maize Soil VWC'!$G$2:$G$4000)</f>
        <v>0.27558958409220102</v>
      </c>
      <c r="AL202" s="1" cm="1">
        <f t="array" ref="AL202">_xlfn.XLOOKUP(1,('2016 E Maize Soil VWC'!$C$2:$C$4000=$AA202)*('2016 E Maize Soil VWC'!$E$2:$E$4000=$AB202)*('2016 E Maize Soil VWC'!$F$2:$F$4000=AL$5),'2016 E Maize Soil VWC'!$G$2:$G$4000)</f>
        <v>0.30709764824949565</v>
      </c>
      <c r="AM202" s="1" cm="1">
        <f t="array" ref="AM202">_xlfn.XLOOKUP(1,('2016 E Maize Soil VWC'!$C$2:$C$4000=$AA202)*('2016 E Maize Soil VWC'!$E$2:$E$4000=$AB202)*('2016 E Maize Soil VWC'!$F$2:$F$4000=AM$5),'2016 E Maize Soil VWC'!$G$2:$G$4000)</f>
        <v>0.24907334986680341</v>
      </c>
      <c r="AN202" s="1" cm="1">
        <f t="array" ref="AN202">_xlfn.XLOOKUP(1,('2016 E Maize Soil VWC'!$C$2:$C$4000=$AA202)*('2016 E Maize Soil VWC'!$E$2:$E$4000=$AB202)*('2016 E Maize Soil VWC'!$F$2:$F$4000=AN$5),'2016 E Maize Soil VWC'!$G$2:$G$4000)</f>
        <v>0.2543399594279791</v>
      </c>
      <c r="AO202" s="1" cm="1">
        <f t="array" ref="AO202">_xlfn.XLOOKUP(1,('2016 E Maize Soil VWC'!$C$2:$C$4000=$AA202)*('2016 E Maize Soil VWC'!$E$2:$E$4000=$AB202)*('2016 E Maize Soil VWC'!$F$2:$F$4000=AO$5),'2016 E Maize Soil VWC'!$G$2:$G$4000)</f>
        <v>0.17714978190309527</v>
      </c>
      <c r="AP202" s="1" cm="1">
        <f t="array" ref="AP202">_xlfn.XLOOKUP(1,('2016 E Maize Soil VWC'!$C$2:$C$4000=$AA202)*('2016 E Maize Soil VWC'!$E$2:$E$4000=$AB202)*('2016 E Maize Soil VWC'!$F$2:$F$4000=AP$5),'2016 E Maize Soil VWC'!$G$2:$G$4000)</f>
        <v>0.18454593359118121</v>
      </c>
      <c r="AQ202" s="1" cm="1">
        <f t="array" ref="AQ202">_xlfn.XLOOKUP(1,('2016 E Maize Soil VWC'!$C$2:$C$4000=$AA202)*('2016 E Maize Soil VWC'!$E$2:$E$4000=$AB202)*('2016 E Maize Soil VWC'!$F$2:$F$4000=AQ$5),'2016 E Maize Soil VWC'!$G$2:$G$4000)</f>
        <v>0.32596584945996859</v>
      </c>
      <c r="AR202" s="1" cm="1">
        <f t="array" ref="AR202">_xlfn.XLOOKUP(1,('2016 E Maize Soil VWC'!$C$2:$C$4000=$AA202)*('2016 E Maize Soil VWC'!$E$2:$E$4000=$AB202)*('2016 E Maize Soil VWC'!$F$2:$F$4000=AR$5),'2016 E Maize Soil VWC'!$G$2:$G$4000)</f>
        <v>0.30460173328354717</v>
      </c>
      <c r="AS202" s="1" cm="1">
        <f t="array" ref="AS202">_xlfn.XLOOKUP(1,('2016 E Maize Soil VWC'!$C$2:$C$4000=$AA202)*('2016 E Maize Soil VWC'!$E$2:$E$4000=$AB202)*('2016 E Maize Soil VWC'!$F$2:$F$4000=AS$5),'2016 E Maize Soil VWC'!$G$2:$G$4000)</f>
        <v>0.30714344485437545</v>
      </c>
      <c r="AT202" s="1" cm="1">
        <f t="array" ref="AT202">_xlfn.XLOOKUP(1,('2016 E Maize Soil VWC'!$C$2:$C$4000=$AA202)*('2016 E Maize Soil VWC'!$E$2:$E$4000=$AB202)*('2016 E Maize Soil VWC'!$F$2:$F$4000=AT$5),'2016 E Maize Soil VWC'!$G$2:$G$4000)</f>
        <v>0.28312312559492625</v>
      </c>
      <c r="AU202" s="1" cm="1">
        <f t="array" ref="AU202">_xlfn.XLOOKUP(1,('2016 E Maize Soil VWC'!$C$2:$C$4000=$AA202)*('2016 E Maize Soil VWC'!$E$2:$E$4000=$AB202)*('2016 E Maize Soil VWC'!$F$2:$F$4000=AU$5),'2016 E Maize Soil VWC'!$G$2:$G$4000)</f>
        <v>0.28868741308782064</v>
      </c>
      <c r="AV202" s="1" cm="1">
        <f t="array" ref="AV202">_xlfn.XLOOKUP(1,('2016 E Maize Soil VWC'!$C$2:$C$4000=$AA202)*('2016 E Maize Soil VWC'!$E$2:$E$4000=$AB202)*('2016 E Maize Soil VWC'!$F$2:$F$4000=AV$5),'2016 E Maize Soil VWC'!$G$2:$G$4000)</f>
        <v>0.27222353363353657</v>
      </c>
    </row>
    <row r="203" spans="25:64" x14ac:dyDescent="0.25">
      <c r="AA203" s="18">
        <f t="shared" si="33"/>
        <v>42655</v>
      </c>
      <c r="AB203" s="1">
        <f t="shared" si="34"/>
        <v>50</v>
      </c>
      <c r="AC203" s="1" cm="1">
        <f t="array" ref="AC203">_xlfn.XLOOKUP(1,('2016 E Maize Soil VWC'!$C$2:$C$4000=$AA203)*('2016 E Maize Soil VWC'!$E$2:$E$4000=$AB203)*('2016 E Maize Soil VWC'!$F$2:$F$4000=AC$5),'2016 E Maize Soil VWC'!$G$2:$G$4000)</f>
        <v>0.31820332493284442</v>
      </c>
      <c r="AD203" s="1" cm="1">
        <f t="array" ref="AD203">_xlfn.XLOOKUP(1,('2016 E Maize Soil VWC'!$C$2:$C$4000=$AA203)*('2016 E Maize Soil VWC'!$E$2:$E$4000=$AB203)*('2016 E Maize Soil VWC'!$F$2:$F$4000=AD$5),'2016 E Maize Soil VWC'!$G$2:$G$4000)</f>
        <v>0.33633878046524068</v>
      </c>
      <c r="AE203" s="1" cm="1">
        <f t="array" ref="AE203">_xlfn.XLOOKUP(1,('2016 E Maize Soil VWC'!$C$2:$C$4000=$AA203)*('2016 E Maize Soil VWC'!$E$2:$E$4000=$AB203)*('2016 E Maize Soil VWC'!$F$2:$F$4000=AE$5),'2016 E Maize Soil VWC'!$G$2:$G$4000)</f>
        <v>0.33881179712874931</v>
      </c>
      <c r="AF203" s="1" cm="1">
        <f t="array" ref="AF203">_xlfn.XLOOKUP(1,('2016 E Maize Soil VWC'!$C$2:$C$4000=$AA203)*('2016 E Maize Soil VWC'!$E$2:$E$4000=$AB203)*('2016 E Maize Soil VWC'!$F$2:$F$4000=AF$5),'2016 E Maize Soil VWC'!$G$2:$G$4000)</f>
        <v>0.31632566413277308</v>
      </c>
      <c r="AG203" s="1" cm="1">
        <f t="array" ref="AG203">_xlfn.XLOOKUP(1,('2016 E Maize Soil VWC'!$C$2:$C$4000=$AA203)*('2016 E Maize Soil VWC'!$E$2:$E$4000=$AB203)*('2016 E Maize Soil VWC'!$F$2:$F$4000=AG$5),'2016 E Maize Soil VWC'!$G$2:$G$4000)</f>
        <v>0.32317225656230147</v>
      </c>
      <c r="AH203" s="1" cm="1">
        <f t="array" ref="AH203">_xlfn.XLOOKUP(1,('2016 E Maize Soil VWC'!$C$2:$C$4000=$AA203)*('2016 E Maize Soil VWC'!$E$2:$E$4000=$AB203)*('2016 E Maize Soil VWC'!$F$2:$F$4000=AH$5),'2016 E Maize Soil VWC'!$G$2:$G$4000)</f>
        <v>0.33260635716753795</v>
      </c>
      <c r="AI203" s="1" cm="1">
        <f t="array" ref="AI203">_xlfn.XLOOKUP(1,('2016 E Maize Soil VWC'!$C$2:$C$4000=$AA203)*('2016 E Maize Soil VWC'!$E$2:$E$4000=$AB203)*('2016 E Maize Soil VWC'!$F$2:$F$4000=AI$5),'2016 E Maize Soil VWC'!$G$2:$G$4000)</f>
        <v>0.34032308508978232</v>
      </c>
      <c r="AJ203" s="1" cm="1">
        <f t="array" ref="AJ203">_xlfn.XLOOKUP(1,('2016 E Maize Soil VWC'!$C$2:$C$4000=$AA203)*('2016 E Maize Soil VWC'!$E$2:$E$4000=$AB203)*('2016 E Maize Soil VWC'!$F$2:$F$4000=AJ$5),'2016 E Maize Soil VWC'!$G$2:$G$4000)</f>
        <v>0.32115720594759078</v>
      </c>
      <c r="AK203" s="1" cm="1">
        <f t="array" ref="AK203">_xlfn.XLOOKUP(1,('2016 E Maize Soil VWC'!$C$2:$C$4000=$AA203)*('2016 E Maize Soil VWC'!$E$2:$E$4000=$AB203)*('2016 E Maize Soil VWC'!$F$2:$F$4000=AK$5),'2016 E Maize Soil VWC'!$G$2:$G$4000)</f>
        <v>0.33056840825038736</v>
      </c>
      <c r="AL203" s="1" cm="1">
        <f t="array" ref="AL203">_xlfn.XLOOKUP(1,('2016 E Maize Soil VWC'!$C$2:$C$4000=$AA203)*('2016 E Maize Soil VWC'!$E$2:$E$4000=$AB203)*('2016 E Maize Soil VWC'!$F$2:$F$4000=AL$5),'2016 E Maize Soil VWC'!$G$2:$G$4000)</f>
        <v>0.32981276426987083</v>
      </c>
      <c r="AM203" s="1" cm="1">
        <f t="array" ref="AM203">_xlfn.XLOOKUP(1,('2016 E Maize Soil VWC'!$C$2:$C$4000=$AA203)*('2016 E Maize Soil VWC'!$E$2:$E$4000=$AB203)*('2016 E Maize Soil VWC'!$F$2:$F$4000=AM$5),'2016 E Maize Soil VWC'!$G$2:$G$4000)</f>
        <v>0.31089876645451808</v>
      </c>
      <c r="AN203" s="1" cm="1">
        <f t="array" ref="AN203">_xlfn.XLOOKUP(1,('2016 E Maize Soil VWC'!$C$2:$C$4000=$AA203)*('2016 E Maize Soil VWC'!$E$2:$E$4000=$AB203)*('2016 E Maize Soil VWC'!$F$2:$F$4000=AN$5),'2016 E Maize Soil VWC'!$G$2:$G$4000)</f>
        <v>0.3207450365036727</v>
      </c>
      <c r="AO203" s="1" cm="1">
        <f t="array" ref="AO203">_xlfn.XLOOKUP(1,('2016 E Maize Soil VWC'!$C$2:$C$4000=$AA203)*('2016 E Maize Soil VWC'!$E$2:$E$4000=$AB203)*('2016 E Maize Soil VWC'!$F$2:$F$4000=AO$5),'2016 E Maize Soil VWC'!$G$2:$G$4000)</f>
        <v>0.28163473593633315</v>
      </c>
      <c r="AP203" s="1" cm="1">
        <f t="array" ref="AP203">_xlfn.XLOOKUP(1,('2016 E Maize Soil VWC'!$C$2:$C$4000=$AA203)*('2016 E Maize Soil VWC'!$E$2:$E$4000=$AB203)*('2016 E Maize Soil VWC'!$F$2:$F$4000=AP$5),'2016 E Maize Soil VWC'!$G$2:$G$4000)</f>
        <v>0.2866036675657902</v>
      </c>
      <c r="AQ203" s="1" cm="1">
        <f t="array" ref="AQ203">_xlfn.XLOOKUP(1,('2016 E Maize Soil VWC'!$C$2:$C$4000=$AA203)*('2016 E Maize Soil VWC'!$E$2:$E$4000=$AB203)*('2016 E Maize Soil VWC'!$F$2:$F$4000=AQ$5),'2016 E Maize Soil VWC'!$G$2:$G$4000)</f>
        <v>0.32807249328443888</v>
      </c>
      <c r="AR203" s="1" cm="1">
        <f t="array" ref="AR203">_xlfn.XLOOKUP(1,('2016 E Maize Soil VWC'!$C$2:$C$4000=$AA203)*('2016 E Maize Soil VWC'!$E$2:$E$4000=$AB203)*('2016 E Maize Soil VWC'!$F$2:$F$4000=AR$5),'2016 E Maize Soil VWC'!$G$2:$G$4000)</f>
        <v>0.32392790054281795</v>
      </c>
      <c r="AS203" s="1" cm="1">
        <f t="array" ref="AS203">_xlfn.XLOOKUP(1,('2016 E Maize Soil VWC'!$C$2:$C$4000=$AA203)*('2016 E Maize Soil VWC'!$E$2:$E$4000=$AB203)*('2016 E Maize Soil VWC'!$F$2:$F$4000=AS$5),'2016 E Maize Soil VWC'!$G$2:$G$4000)</f>
        <v>0.34375783045576652</v>
      </c>
      <c r="AT203" s="1" cm="1">
        <f t="array" ref="AT203">_xlfn.XLOOKUP(1,('2016 E Maize Soil VWC'!$C$2:$C$4000=$AA203)*('2016 E Maize Soil VWC'!$E$2:$E$4000=$AB203)*('2016 E Maize Soil VWC'!$F$2:$F$4000=AT$5),'2016 E Maize Soil VWC'!$G$2:$G$4000)</f>
        <v>0.33425503494321035</v>
      </c>
      <c r="AU203" s="1" cm="1">
        <f t="array" ref="AU203">_xlfn.XLOOKUP(1,('2016 E Maize Soil VWC'!$C$2:$C$4000=$AA203)*('2016 E Maize Soil VWC'!$E$2:$E$4000=$AB203)*('2016 E Maize Soil VWC'!$F$2:$F$4000=AU$5),'2016 E Maize Soil VWC'!$G$2:$G$4000)</f>
        <v>0.3307057980650267</v>
      </c>
      <c r="AV203" s="1" cm="1">
        <f t="array" ref="AV203">_xlfn.XLOOKUP(1,('2016 E Maize Soil VWC'!$C$2:$C$4000=$AA203)*('2016 E Maize Soil VWC'!$E$2:$E$4000=$AB203)*('2016 E Maize Soil VWC'!$F$2:$F$4000=AV$5),'2016 E Maize Soil VWC'!$G$2:$G$4000)</f>
        <v>0.33446111966516939</v>
      </c>
    </row>
    <row r="204" spans="25:64" x14ac:dyDescent="0.25">
      <c r="AA204" s="18">
        <f t="shared" si="33"/>
        <v>42655</v>
      </c>
      <c r="AB204" s="1">
        <f t="shared" si="34"/>
        <v>70</v>
      </c>
      <c r="AC204" s="1" cm="1">
        <f t="array" ref="AC204">_xlfn.XLOOKUP(1,('2016 E Maize Soil VWC'!$C$2:$C$4000=$AA204)*('2016 E Maize Soil VWC'!$E$2:$E$4000=$AB204)*('2016 E Maize Soil VWC'!$F$2:$F$4000=AC$5),'2016 E Maize Soil VWC'!$G$2:$G$4000)</f>
        <v>0.31469988465954057</v>
      </c>
      <c r="AD204" s="1" cm="1">
        <f t="array" ref="AD204">_xlfn.XLOOKUP(1,('2016 E Maize Soil VWC'!$C$2:$C$4000=$AA204)*('2016 E Maize Soil VWC'!$E$2:$E$4000=$AB204)*('2016 E Maize Soil VWC'!$F$2:$F$4000=AD$5),'2016 E Maize Soil VWC'!$G$2:$G$4000)</f>
        <v>0.31685232508889066</v>
      </c>
      <c r="AE204" s="1" cm="1">
        <f t="array" ref="AE204">_xlfn.XLOOKUP(1,('2016 E Maize Soil VWC'!$C$2:$C$4000=$AA204)*('2016 E Maize Soil VWC'!$E$2:$E$4000=$AB204)*('2016 E Maize Soil VWC'!$F$2:$F$4000=AE$5),'2016 E Maize Soil VWC'!$G$2:$G$4000)</f>
        <v>0.32946928973327244</v>
      </c>
      <c r="AF204" s="1" cm="1">
        <f t="array" ref="AF204">_xlfn.XLOOKUP(1,('2016 E Maize Soil VWC'!$C$2:$C$4000=$AA204)*('2016 E Maize Soil VWC'!$E$2:$E$4000=$AB204)*('2016 E Maize Soil VWC'!$F$2:$F$4000=AF$5),'2016 E Maize Soil VWC'!$G$2:$G$4000)</f>
        <v>0.31105905457159738</v>
      </c>
      <c r="AG204" s="1" cm="1">
        <f t="array" ref="AG204">_xlfn.XLOOKUP(1,('2016 E Maize Soil VWC'!$C$2:$C$4000=$AA204)*('2016 E Maize Soil VWC'!$E$2:$E$4000=$AB204)*('2016 E Maize Soil VWC'!$F$2:$F$4000=AG$5),'2016 E Maize Soil VWC'!$G$2:$G$4000)</f>
        <v>0.32312645995742167</v>
      </c>
      <c r="AH204" s="1" cm="1">
        <f t="array" ref="AH204">_xlfn.XLOOKUP(1,('2016 E Maize Soil VWC'!$C$2:$C$4000=$AA204)*('2016 E Maize Soil VWC'!$E$2:$E$4000=$AB204)*('2016 E Maize Soil VWC'!$F$2:$F$4000=AH$5),'2016 E Maize Soil VWC'!$G$2:$G$4000)</f>
        <v>0.32172966350858812</v>
      </c>
      <c r="AI204" s="1" cm="1">
        <f t="array" ref="AI204">_xlfn.XLOOKUP(1,('2016 E Maize Soil VWC'!$C$2:$C$4000=$AA204)*('2016 E Maize Soil VWC'!$E$2:$E$4000=$AB204)*('2016 E Maize Soil VWC'!$F$2:$F$4000=AI$5),'2016 E Maize Soil VWC'!$G$2:$G$4000)</f>
        <v>0.32589715455264889</v>
      </c>
      <c r="AJ204" s="1" cm="1">
        <f t="array" ref="AJ204">_xlfn.XLOOKUP(1,('2016 E Maize Soil VWC'!$C$2:$C$4000=$AA204)*('2016 E Maize Soil VWC'!$E$2:$E$4000=$AB204)*('2016 E Maize Soil VWC'!$F$2:$F$4000=AJ$5),'2016 E Maize Soil VWC'!$G$2:$G$4000)</f>
        <v>0.31112774947891703</v>
      </c>
      <c r="AK204" s="1" cm="1">
        <f t="array" ref="AK204">_xlfn.XLOOKUP(1,('2016 E Maize Soil VWC'!$C$2:$C$4000=$AA204)*('2016 E Maize Soil VWC'!$E$2:$E$4000=$AB204)*('2016 E Maize Soil VWC'!$F$2:$F$4000=AK$5),'2016 E Maize Soil VWC'!$G$2:$G$4000)</f>
        <v>0.31962301968411788</v>
      </c>
      <c r="AL204" s="1" cm="1">
        <f t="array" ref="AL204">_xlfn.XLOOKUP(1,('2016 E Maize Soil VWC'!$C$2:$C$4000=$AA204)*('2016 E Maize Soil VWC'!$E$2:$E$4000=$AB204)*('2016 E Maize Soil VWC'!$F$2:$F$4000=AL$5),'2016 E Maize Soil VWC'!$G$2:$G$4000)</f>
        <v>0.3153410371278576</v>
      </c>
      <c r="AM204" s="1" cm="1">
        <f t="array" ref="AM204">_xlfn.XLOOKUP(1,('2016 E Maize Soil VWC'!$C$2:$C$4000=$AA204)*('2016 E Maize Soil VWC'!$E$2:$E$4000=$AB204)*('2016 E Maize Soil VWC'!$F$2:$F$4000=AM$5),'2016 E Maize Soil VWC'!$G$2:$G$4000)</f>
        <v>0.30512839423966476</v>
      </c>
      <c r="AN204" s="1" cm="1">
        <f t="array" ref="AN204">_xlfn.XLOOKUP(1,('2016 E Maize Soil VWC'!$C$2:$C$4000=$AA204)*('2016 E Maize Soil VWC'!$E$2:$E$4000=$AB204)*('2016 E Maize Soil VWC'!$F$2:$F$4000=AN$5),'2016 E Maize Soil VWC'!$G$2:$G$4000)</f>
        <v>0.2898781248146951</v>
      </c>
      <c r="AO204" s="1" cm="1">
        <f t="array" ref="AO204">_xlfn.XLOOKUP(1,('2016 E Maize Soil VWC'!$C$2:$C$4000=$AA204)*('2016 E Maize Soil VWC'!$E$2:$E$4000=$AB204)*('2016 E Maize Soil VWC'!$F$2:$F$4000=AO$5),'2016 E Maize Soil VWC'!$G$2:$G$4000)</f>
        <v>0.28637468454139126</v>
      </c>
      <c r="AP204" s="1" cm="1">
        <f t="array" ref="AP204">_xlfn.XLOOKUP(1,('2016 E Maize Soil VWC'!$C$2:$C$4000=$AA204)*('2016 E Maize Soil VWC'!$E$2:$E$4000=$AB204)*('2016 E Maize Soil VWC'!$F$2:$F$4000=AP$5),'2016 E Maize Soil VWC'!$G$2:$G$4000)</f>
        <v>0.31479147786930012</v>
      </c>
      <c r="AQ204" s="1" cm="1">
        <f t="array" ref="AQ204">_xlfn.XLOOKUP(1,('2016 E Maize Soil VWC'!$C$2:$C$4000=$AA204)*('2016 E Maize Soil VWC'!$E$2:$E$4000=$AB204)*('2016 E Maize Soil VWC'!$F$2:$F$4000=AQ$5),'2016 E Maize Soil VWC'!$G$2:$G$4000)</f>
        <v>0.31843230795724331</v>
      </c>
      <c r="AR204" s="1" cm="1">
        <f t="array" ref="AR204">_xlfn.XLOOKUP(1,('2016 E Maize Soil VWC'!$C$2:$C$4000=$AA204)*('2016 E Maize Soil VWC'!$E$2:$E$4000=$AB204)*('2016 E Maize Soil VWC'!$F$2:$F$4000=AR$5),'2016 E Maize Soil VWC'!$G$2:$G$4000)</f>
        <v>0.3153639354302975</v>
      </c>
      <c r="AS204" s="1" cm="1">
        <f t="array" ref="AS204">_xlfn.XLOOKUP(1,('2016 E Maize Soil VWC'!$C$2:$C$4000=$AA204)*('2016 E Maize Soil VWC'!$E$2:$E$4000=$AB204)*('2016 E Maize Soil VWC'!$F$2:$F$4000=AS$5),'2016 E Maize Soil VWC'!$G$2:$G$4000)</f>
        <v>0.32605744266972814</v>
      </c>
      <c r="AT204" s="1" cm="1">
        <f t="array" ref="AT204">_xlfn.XLOOKUP(1,('2016 E Maize Soil VWC'!$C$2:$C$4000=$AA204)*('2016 E Maize Soil VWC'!$E$2:$E$4000=$AB204)*('2016 E Maize Soil VWC'!$F$2:$F$4000=AT$5),'2016 E Maize Soil VWC'!$G$2:$G$4000)</f>
        <v>0.30902110565444679</v>
      </c>
      <c r="AU204" s="1" cm="1">
        <f t="array" ref="AU204">_xlfn.XLOOKUP(1,('2016 E Maize Soil VWC'!$C$2:$C$4000=$AA204)*('2016 E Maize Soil VWC'!$E$2:$E$4000=$AB204)*('2016 E Maize Soil VWC'!$F$2:$F$4000=AU$5),'2016 E Maize Soil VWC'!$G$2:$G$4000)</f>
        <v>0.29977019146872946</v>
      </c>
      <c r="AV204" s="1" cm="1">
        <f t="array" ref="AV204">_xlfn.XLOOKUP(1,('2016 E Maize Soil VWC'!$C$2:$C$4000=$AA204)*('2016 E Maize Soil VWC'!$E$2:$E$4000=$AB204)*('2016 E Maize Soil VWC'!$F$2:$F$4000=AV$5),'2016 E Maize Soil VWC'!$G$2:$G$4000)</f>
        <v>0.31522654561565816</v>
      </c>
    </row>
    <row r="205" spans="25:64" x14ac:dyDescent="0.25">
      <c r="AA205" s="18">
        <f t="shared" si="33"/>
        <v>42655</v>
      </c>
      <c r="AB205" s="1">
        <f t="shared" si="34"/>
        <v>90</v>
      </c>
      <c r="AC205" s="1" cm="1">
        <f t="array" ref="AC205">_xlfn.XLOOKUP(1,('2016 E Maize Soil VWC'!$C$2:$C$4000=$AA205)*('2016 E Maize Soil VWC'!$E$2:$E$4000=$AB205)*('2016 E Maize Soil VWC'!$F$2:$F$4000=AC$5),'2016 E Maize Soil VWC'!$G$2:$G$4000)</f>
        <v>0.2984649882296555</v>
      </c>
      <c r="AD205" s="1" cm="1">
        <f t="array" ref="AD205">_xlfn.XLOOKUP(1,('2016 E Maize Soil VWC'!$C$2:$C$4000=$AA205)*('2016 E Maize Soil VWC'!$E$2:$E$4000=$AB205)*('2016 E Maize Soil VWC'!$F$2:$F$4000=AD$5),'2016 E Maize Soil VWC'!$G$2:$G$4000)</f>
        <v>0.30837995318612971</v>
      </c>
      <c r="AE205" s="1" cm="1">
        <f t="array" ref="AE205">_xlfn.XLOOKUP(1,('2016 E Maize Soil VWC'!$C$2:$C$4000=$AA205)*('2016 E Maize Soil VWC'!$E$2:$E$4000=$AB205)*('2016 E Maize Soil VWC'!$F$2:$F$4000=AE$5),'2016 E Maize Soil VWC'!$G$2:$G$4000)</f>
        <v>0.30599852973238073</v>
      </c>
      <c r="AF205" s="1" cm="1">
        <f t="array" ref="AF205">_xlfn.XLOOKUP(1,('2016 E Maize Soil VWC'!$C$2:$C$4000=$AA205)*('2016 E Maize Soil VWC'!$E$2:$E$4000=$AB205)*('2016 E Maize Soil VWC'!$F$2:$F$4000=AF$5),'2016 E Maize Soil VWC'!$G$2:$G$4000)</f>
        <v>0.29223664996600424</v>
      </c>
      <c r="AG205" s="1" cm="1">
        <f t="array" ref="AG205">_xlfn.XLOOKUP(1,('2016 E Maize Soil VWC'!$C$2:$C$4000=$AA205)*('2016 E Maize Soil VWC'!$E$2:$E$4000=$AB205)*('2016 E Maize Soil VWC'!$F$2:$F$4000=AG$5),'2016 E Maize Soil VWC'!$G$2:$G$4000)</f>
        <v>0.31772246058160658</v>
      </c>
      <c r="AH205" s="1" cm="1">
        <f t="array" ref="AH205">_xlfn.XLOOKUP(1,('2016 E Maize Soil VWC'!$C$2:$C$4000=$AA205)*('2016 E Maize Soil VWC'!$E$2:$E$4000=$AB205)*('2016 E Maize Soil VWC'!$F$2:$F$4000=AH$5),'2016 E Maize Soil VWC'!$G$2:$G$4000)</f>
        <v>0.30714344485437545</v>
      </c>
      <c r="AI205" s="1" cm="1">
        <f t="array" ref="AI205">_xlfn.XLOOKUP(1,('2016 E Maize Soil VWC'!$C$2:$C$4000=$AA205)*('2016 E Maize Soil VWC'!$E$2:$E$4000=$AB205)*('2016 E Maize Soil VWC'!$F$2:$F$4000=AI$5),'2016 E Maize Soil VWC'!$G$2:$G$4000)</f>
        <v>0.30856313960564885</v>
      </c>
      <c r="AJ205" s="1" cm="1">
        <f t="array" ref="AJ205">_xlfn.XLOOKUP(1,('2016 E Maize Soil VWC'!$C$2:$C$4000=$AA205)*('2016 E Maize Soil VWC'!$E$2:$E$4000=$AB205)*('2016 E Maize Soil VWC'!$F$2:$F$4000=AJ$5),'2016 E Maize Soil VWC'!$G$2:$G$4000)</f>
        <v>0.30515129254210466</v>
      </c>
      <c r="AK205" s="1" cm="1">
        <f t="array" ref="AK205">_xlfn.XLOOKUP(1,('2016 E Maize Soil VWC'!$C$2:$C$4000=$AA205)*('2016 E Maize Soil VWC'!$E$2:$E$4000=$AB205)*('2016 E Maize Soil VWC'!$F$2:$F$4000=AK$5),'2016 E Maize Soil VWC'!$G$2:$G$4000)</f>
        <v>0.30629620766409937</v>
      </c>
      <c r="AL205" s="1" cm="1">
        <f t="array" ref="AL205">_xlfn.XLOOKUP(1,('2016 E Maize Soil VWC'!$C$2:$C$4000=$AA205)*('2016 E Maize Soil VWC'!$E$2:$E$4000=$AB205)*('2016 E Maize Soil VWC'!$F$2:$F$4000=AL$5),'2016 E Maize Soil VWC'!$G$2:$G$4000)</f>
        <v>0.30588403822018129</v>
      </c>
      <c r="AM205" s="1" cm="1">
        <f t="array" ref="AM205">_xlfn.XLOOKUP(1,('2016 E Maize Soil VWC'!$C$2:$C$4000=$AA205)*('2016 E Maize Soil VWC'!$E$2:$E$4000=$AB205)*('2016 E Maize Soil VWC'!$F$2:$F$4000=AM$5),'2016 E Maize Soil VWC'!$G$2:$G$4000)</f>
        <v>0.28179502405341239</v>
      </c>
      <c r="AN205" s="1" cm="1">
        <f t="array" ref="AN205">_xlfn.XLOOKUP(1,('2016 E Maize Soil VWC'!$C$2:$C$4000=$AA205)*('2016 E Maize Soil VWC'!$E$2:$E$4000=$AB205)*('2016 E Maize Soil VWC'!$F$2:$F$4000=AN$5),'2016 E Maize Soil VWC'!$G$2:$G$4000)</f>
        <v>0.27538349937024198</v>
      </c>
      <c r="AO205" s="1" cm="1">
        <f t="array" ref="AO205">_xlfn.XLOOKUP(1,('2016 E Maize Soil VWC'!$C$2:$C$4000=$AA205)*('2016 E Maize Soil VWC'!$E$2:$E$4000=$AB205)*('2016 E Maize Soil VWC'!$F$2:$F$4000=AO$5),'2016 E Maize Soil VWC'!$G$2:$G$4000)</f>
        <v>0.2765971093995564</v>
      </c>
      <c r="AP205" s="1" cm="1">
        <f t="array" ref="AP205">_xlfn.XLOOKUP(1,('2016 E Maize Soil VWC'!$C$2:$C$4000=$AA205)*('2016 E Maize Soil VWC'!$E$2:$E$4000=$AB205)*('2016 E Maize Soil VWC'!$F$2:$F$4000=AP$5),'2016 E Maize Soil VWC'!$G$2:$G$4000)</f>
        <v>0.27623073656051811</v>
      </c>
      <c r="AQ205" s="1" cm="1">
        <f t="array" ref="AQ205">_xlfn.XLOOKUP(1,('2016 E Maize Soil VWC'!$C$2:$C$4000=$AA205)*('2016 E Maize Soil VWC'!$E$2:$E$4000=$AB205)*('2016 E Maize Soil VWC'!$F$2:$F$4000=AQ$5),'2016 E Maize Soil VWC'!$G$2:$G$4000)</f>
        <v>0.31740188434744809</v>
      </c>
      <c r="AR205" s="1" cm="1">
        <f t="array" ref="AR205">_xlfn.XLOOKUP(1,('2016 E Maize Soil VWC'!$C$2:$C$4000=$AA205)*('2016 E Maize Soil VWC'!$E$2:$E$4000=$AB205)*('2016 E Maize Soil VWC'!$F$2:$F$4000=AR$5),'2016 E Maize Soil VWC'!$G$2:$G$4000)</f>
        <v>0.31153991892283517</v>
      </c>
      <c r="AS205" s="1" cm="1">
        <f t="array" ref="AS205">_xlfn.XLOOKUP(1,('2016 E Maize Soil VWC'!$C$2:$C$4000=$AA205)*('2016 E Maize Soil VWC'!$E$2:$E$4000=$AB205)*('2016 E Maize Soil VWC'!$F$2:$F$4000=AS$5),'2016 E Maize Soil VWC'!$G$2:$G$4000)</f>
        <v>0.30941037679592498</v>
      </c>
      <c r="AT205" s="1" cm="1">
        <f t="array" ref="AT205">_xlfn.XLOOKUP(1,('2016 E Maize Soil VWC'!$C$2:$C$4000=$AA205)*('2016 E Maize Soil VWC'!$E$2:$E$4000=$AB205)*('2016 E Maize Soil VWC'!$F$2:$F$4000=AT$5),'2016 E Maize Soil VWC'!$G$2:$G$4000)</f>
        <v>0.29825890350769646</v>
      </c>
      <c r="AU205" s="1" cm="1">
        <f t="array" ref="AU205">_xlfn.XLOOKUP(1,('2016 E Maize Soil VWC'!$C$2:$C$4000=$AA205)*('2016 E Maize Soil VWC'!$E$2:$E$4000=$AB205)*('2016 E Maize Soil VWC'!$F$2:$F$4000=AU$5),'2016 E Maize Soil VWC'!$G$2:$G$4000)</f>
        <v>0.2900155146293345</v>
      </c>
      <c r="AV205" s="1" cm="1">
        <f t="array" ref="AV205">_xlfn.XLOOKUP(1,('2016 E Maize Soil VWC'!$C$2:$C$4000=$AA205)*('2016 E Maize Soil VWC'!$E$2:$E$4000=$AB205)*('2016 E Maize Soil VWC'!$F$2:$F$4000=AV$5),'2016 E Maize Soil VWC'!$G$2:$G$4000)</f>
        <v>0.29798412387841772</v>
      </c>
    </row>
    <row r="206" spans="25:64" x14ac:dyDescent="0.25">
      <c r="AA206" s="18">
        <f t="shared" si="33"/>
        <v>42655</v>
      </c>
      <c r="AB206" s="1">
        <f t="shared" si="34"/>
        <v>110</v>
      </c>
      <c r="AC206" s="1" cm="1">
        <f t="array" ref="AC206">_xlfn.XLOOKUP(1,('2016 E Maize Soil VWC'!$C$2:$C$4000=$AA206)*('2016 E Maize Soil VWC'!$E$2:$E$4000=$AB206)*('2016 E Maize Soil VWC'!$F$2:$F$4000=AC$5),'2016 E Maize Soil VWC'!$G$2:$G$4000)</f>
        <v>0.31641725734253262</v>
      </c>
      <c r="AD206" s="1" cm="1">
        <f t="array" ref="AD206">_xlfn.XLOOKUP(1,('2016 E Maize Soil VWC'!$C$2:$C$4000=$AA206)*('2016 E Maize Soil VWC'!$E$2:$E$4000=$AB206)*('2016 E Maize Soil VWC'!$F$2:$F$4000=AD$5),'2016 E Maize Soil VWC'!$G$2:$G$4000)</f>
        <v>0.31144832571307557</v>
      </c>
      <c r="AE206" s="1" cm="1">
        <f t="array" ref="AE206">_xlfn.XLOOKUP(1,('2016 E Maize Soil VWC'!$C$2:$C$4000=$AA206)*('2016 E Maize Soil VWC'!$E$2:$E$4000=$AB206)*('2016 E Maize Soil VWC'!$F$2:$F$4000=AE$5),'2016 E Maize Soil VWC'!$G$2:$G$4000)</f>
        <v>0.30558636028846264</v>
      </c>
      <c r="AF206" s="1" cm="1">
        <f t="array" ref="AF206">_xlfn.XLOOKUP(1,('2016 E Maize Soil VWC'!$C$2:$C$4000=$AA206)*('2016 E Maize Soil VWC'!$E$2:$E$4000=$AB206)*('2016 E Maize Soil VWC'!$F$2:$F$4000=AF$5),'2016 E Maize Soil VWC'!$G$2:$G$4000)</f>
        <v>0.30817386846417066</v>
      </c>
      <c r="AG206" s="1" cm="1">
        <f t="array" ref="AG206">_xlfn.XLOOKUP(1,('2016 E Maize Soil VWC'!$C$2:$C$4000=$AA206)*('2016 E Maize Soil VWC'!$E$2:$E$4000=$AB206)*('2016 E Maize Soil VWC'!$F$2:$F$4000=AG$5),'2016 E Maize Soil VWC'!$G$2:$G$4000)</f>
        <v>0.3205618500841535</v>
      </c>
      <c r="AH206" s="1" cm="1">
        <f t="array" ref="AH206">_xlfn.XLOOKUP(1,('2016 E Maize Soil VWC'!$C$2:$C$4000=$AA206)*('2016 E Maize Soil VWC'!$E$2:$E$4000=$AB206)*('2016 E Maize Soil VWC'!$F$2:$F$4000=AH$5),'2016 E Maize Soil VWC'!$G$2:$G$4000)</f>
        <v>0.31712710471816935</v>
      </c>
      <c r="AI206" s="1" cm="1">
        <f t="array" ref="AI206">_xlfn.XLOOKUP(1,('2016 E Maize Soil VWC'!$C$2:$C$4000=$AA206)*('2016 E Maize Soil VWC'!$E$2:$E$4000=$AB206)*('2016 E Maize Soil VWC'!$F$2:$F$4000=AI$5),'2016 E Maize Soil VWC'!$G$2:$G$4000)</f>
        <v>0.31685232508889066</v>
      </c>
      <c r="AJ206" s="1" cm="1">
        <f t="array" ref="AJ206">_xlfn.XLOOKUP(1,('2016 E Maize Soil VWC'!$C$2:$C$4000=$AA206)*('2016 E Maize Soil VWC'!$E$2:$E$4000=$AB206)*('2016 E Maize Soil VWC'!$F$2:$F$4000=AJ$5),'2016 E Maize Soil VWC'!$G$2:$G$4000)</f>
        <v>0.31953142647435828</v>
      </c>
      <c r="AK206" s="1" cm="1">
        <f t="array" ref="AK206">_xlfn.XLOOKUP(1,('2016 E Maize Soil VWC'!$C$2:$C$4000=$AA206)*('2016 E Maize Soil VWC'!$E$2:$E$4000=$AB206)*('2016 E Maize Soil VWC'!$F$2:$F$4000=AK$5),'2016 E Maize Soil VWC'!$G$2:$G$4000)</f>
        <v>0.32195864653298711</v>
      </c>
      <c r="AL206" s="1" cm="1">
        <f t="array" ref="AL206">_xlfn.XLOOKUP(1,('2016 E Maize Soil VWC'!$C$2:$C$4000=$AA206)*('2016 E Maize Soil VWC'!$E$2:$E$4000=$AB206)*('2016 E Maize Soil VWC'!$F$2:$F$4000=AL$5),'2016 E Maize Soil VWC'!$G$2:$G$4000)</f>
        <v>0.31147122401551547</v>
      </c>
      <c r="AM206" s="1" cm="1">
        <f t="array" ref="AM206">_xlfn.XLOOKUP(1,('2016 E Maize Soil VWC'!$C$2:$C$4000=$AA206)*('2016 E Maize Soil VWC'!$E$2:$E$4000=$AB206)*('2016 E Maize Soil VWC'!$F$2:$F$4000=AM$5),'2016 E Maize Soil VWC'!$G$2:$G$4000)</f>
        <v>0.28188661726317199</v>
      </c>
      <c r="AN206" s="1" cm="1">
        <f t="array" ref="AN206">_xlfn.XLOOKUP(1,('2016 E Maize Soil VWC'!$C$2:$C$4000=$AA206)*('2016 E Maize Soil VWC'!$E$2:$E$4000=$AB206)*('2016 E Maize Soil VWC'!$F$2:$F$4000=AN$5),'2016 E Maize Soil VWC'!$G$2:$G$4000)</f>
        <v>0.30570085180066209</v>
      </c>
      <c r="AO206" s="1" cm="1">
        <f t="array" ref="AO206">_xlfn.XLOOKUP(1,('2016 E Maize Soil VWC'!$C$2:$C$4000=$AA206)*('2016 E Maize Soil VWC'!$E$2:$E$4000=$AB206)*('2016 E Maize Soil VWC'!$F$2:$F$4000=AO$5),'2016 E Maize Soil VWC'!$G$2:$G$4000)</f>
        <v>0.29931222541993158</v>
      </c>
      <c r="AP206" s="1" cm="1">
        <f t="array" ref="AP206">_xlfn.XLOOKUP(1,('2016 E Maize Soil VWC'!$C$2:$C$4000=$AA206)*('2016 E Maize Soil VWC'!$E$2:$E$4000=$AB206)*('2016 E Maize Soil VWC'!$F$2:$F$4000=AP$5),'2016 E Maize Soil VWC'!$G$2:$G$4000)</f>
        <v>0.29333576848311915</v>
      </c>
      <c r="AQ206" s="1" cm="1">
        <f t="array" ref="AQ206">_xlfn.XLOOKUP(1,('2016 E Maize Soil VWC'!$C$2:$C$4000=$AA206)*('2016 E Maize Soil VWC'!$E$2:$E$4000=$AB206)*('2016 E Maize Soil VWC'!$F$2:$F$4000=AQ$5),'2016 E Maize Soil VWC'!$G$2:$G$4000)</f>
        <v>0.32037866366463436</v>
      </c>
      <c r="AR206" s="1" cm="1">
        <f t="array" ref="AR206">_xlfn.XLOOKUP(1,('2016 E Maize Soil VWC'!$C$2:$C$4000=$AA206)*('2016 E Maize Soil VWC'!$E$2:$E$4000=$AB206)*('2016 E Maize Soil VWC'!$F$2:$F$4000=AR$5),'2016 E Maize Soil VWC'!$G$2:$G$4000)</f>
        <v>0.3152952405229778</v>
      </c>
      <c r="AS206" s="1" cm="1">
        <f t="array" ref="AS206">_xlfn.XLOOKUP(1,('2016 E Maize Soil VWC'!$C$2:$C$4000=$AA206)*('2016 E Maize Soil VWC'!$E$2:$E$4000=$AB206)*('2016 E Maize Soil VWC'!$F$2:$F$4000=AS$5),'2016 E Maize Soil VWC'!$G$2:$G$4000)</f>
        <v>0.31831781644504387</v>
      </c>
      <c r="AT206" s="1" cm="1">
        <f t="array" ref="AT206">_xlfn.XLOOKUP(1,('2016 E Maize Soil VWC'!$C$2:$C$4000=$AA206)*('2016 E Maize Soil VWC'!$E$2:$E$4000=$AB206)*('2016 E Maize Soil VWC'!$F$2:$F$4000=AT$5),'2016 E Maize Soil VWC'!$G$2:$G$4000)</f>
        <v>0.31305120688386817</v>
      </c>
      <c r="AU206" s="1" cm="1">
        <f t="array" ref="AU206">_xlfn.XLOOKUP(1,('2016 E Maize Soil VWC'!$C$2:$C$4000=$AA206)*('2016 E Maize Soil VWC'!$E$2:$E$4000=$AB206)*('2016 E Maize Soil VWC'!$F$2:$F$4000=AU$5),'2016 E Maize Soil VWC'!$G$2:$G$4000)</f>
        <v>0.31712710471816935</v>
      </c>
      <c r="AV206" s="1" cm="1">
        <f t="array" ref="AV206">_xlfn.XLOOKUP(1,('2016 E Maize Soil VWC'!$C$2:$C$4000=$AA206)*('2016 E Maize Soil VWC'!$E$2:$E$4000=$AB206)*('2016 E Maize Soil VWC'!$F$2:$F$4000=AV$5),'2016 E Maize Soil VWC'!$G$2:$G$4000)</f>
        <v>0.29216795505868454</v>
      </c>
    </row>
    <row r="207" spans="25:64" x14ac:dyDescent="0.25">
      <c r="AA207" s="18">
        <f t="shared" si="33"/>
        <v>42655</v>
      </c>
      <c r="AB207" s="1">
        <f t="shared" si="34"/>
        <v>130</v>
      </c>
      <c r="AC207" s="1" cm="1">
        <f t="array" ref="AC207">_xlfn.XLOOKUP(1,('2016 E Maize Soil VWC'!$C$2:$C$4000=$AA207)*('2016 E Maize Soil VWC'!$E$2:$E$4000=$AB207)*('2016 E Maize Soil VWC'!$F$2:$F$4000=AC$5),'2016 E Maize Soil VWC'!$G$2:$G$4000)</f>
        <v>0.29863533809645892</v>
      </c>
      <c r="AD207" s="1" cm="1">
        <f t="array" ref="AD207">_xlfn.XLOOKUP(1,('2016 E Maize Soil VWC'!$C$2:$C$4000=$AA207)*('2016 E Maize Soil VWC'!$E$2:$E$4000=$AB207)*('2016 E Maize Soil VWC'!$F$2:$F$4000=AD$5),'2016 E Maize Soil VWC'!$G$2:$G$4000)</f>
        <v>0.29166704528684645</v>
      </c>
      <c r="AE207" s="1" cm="1">
        <f t="array" ref="AE207">_xlfn.XLOOKUP(1,('2016 E Maize Soil VWC'!$C$2:$C$4000=$AA207)*('2016 E Maize Soil VWC'!$E$2:$E$4000=$AB207)*('2016 E Maize Soil VWC'!$F$2:$F$4000=AE$5),'2016 E Maize Soil VWC'!$G$2:$G$4000)</f>
        <v>0.29075221354927161</v>
      </c>
      <c r="AF207" s="1" cm="1">
        <f t="array" ref="AF207">_xlfn.XLOOKUP(1,('2016 E Maize Soil VWC'!$C$2:$C$4000=$AA207)*('2016 E Maize Soil VWC'!$E$2:$E$4000=$AB207)*('2016 E Maize Soil VWC'!$F$2:$F$4000=AF$5),'2016 E Maize Soil VWC'!$G$2:$G$4000)</f>
        <v>0.2879882538314924</v>
      </c>
      <c r="AG207" s="1" cm="1">
        <f t="array" ref="AG207">_xlfn.XLOOKUP(1,('2016 E Maize Soil VWC'!$C$2:$C$4000=$AA207)*('2016 E Maize Soil VWC'!$E$2:$E$4000=$AB207)*('2016 E Maize Soil VWC'!$F$2:$F$4000=AG$5),'2016 E Maize Soil VWC'!$G$2:$G$4000)</f>
        <v>0.30669364318913922</v>
      </c>
      <c r="AH207" s="1" cm="1">
        <f t="array" ref="AH207">_xlfn.XLOOKUP(1,('2016 E Maize Soil VWC'!$C$2:$C$4000=$AA207)*('2016 E Maize Soil VWC'!$E$2:$E$4000=$AB207)*('2016 E Maize Soil VWC'!$F$2:$F$4000=AH$5),'2016 E Maize Soil VWC'!$G$2:$G$4000)</f>
        <v>0.3040464705016887</v>
      </c>
      <c r="AI207" s="1" cm="1">
        <f t="array" ref="AI207">_xlfn.XLOOKUP(1,('2016 E Maize Soil VWC'!$C$2:$C$4000=$AA207)*('2016 E Maize Soil VWC'!$E$2:$E$4000=$AB207)*('2016 E Maize Soil VWC'!$F$2:$F$4000=AI$5),'2016 E Maize Soil VWC'!$G$2:$G$4000)</f>
        <v>0.29779836437910323</v>
      </c>
      <c r="AJ207" s="1" cm="1">
        <f t="array" ref="AJ207">_xlfn.XLOOKUP(1,('2016 E Maize Soil VWC'!$C$2:$C$4000=$AA207)*('2016 E Maize Soil VWC'!$E$2:$E$4000=$AB207)*('2016 E Maize Soil VWC'!$F$2:$F$4000=AJ$5),'2016 E Maize Soil VWC'!$G$2:$G$4000)</f>
        <v>0.32263507282900677</v>
      </c>
      <c r="AK207" s="1" cm="1">
        <f t="array" ref="AK207">_xlfn.XLOOKUP(1,('2016 E Maize Soil VWC'!$C$2:$C$4000=$AA207)*('2016 E Maize Soil VWC'!$E$2:$E$4000=$AB207)*('2016 E Maize Soil VWC'!$F$2:$F$4000=AK$5),'2016 E Maize Soil VWC'!$G$2:$G$4000)</f>
        <v>0.28576930025524711</v>
      </c>
      <c r="AL207" s="1" cm="1">
        <f t="array" ref="AL207">_xlfn.XLOOKUP(1,('2016 E Maize Soil VWC'!$C$2:$C$4000=$AA207)*('2016 E Maize Soil VWC'!$E$2:$E$4000=$AB207)*('2016 E Maize Soil VWC'!$F$2:$F$4000=AL$5),'2016 E Maize Soil VWC'!$G$2:$G$4000)</f>
        <v>0.29805140294481541</v>
      </c>
      <c r="AM207" s="1" cm="1">
        <f t="array" ref="AM207">_xlfn.XLOOKUP(1,('2016 E Maize Soil VWC'!$C$2:$C$4000=$AA207)*('2016 E Maize Soil VWC'!$E$2:$E$4000=$AB207)*('2016 E Maize Soil VWC'!$F$2:$F$4000=AM$5),'2016 E Maize Soil VWC'!$G$2:$G$4000)</f>
        <v>0.28639216441700016</v>
      </c>
      <c r="AN207" s="1" cm="1">
        <f t="array" ref="AN207">_xlfn.XLOOKUP(1,('2016 E Maize Soil VWC'!$C$2:$C$4000=$AA207)*('2016 E Maize Soil VWC'!$E$2:$E$4000=$AB207)*('2016 E Maize Soil VWC'!$F$2:$F$4000=AN$5),'2016 E Maize Soil VWC'!$G$2:$G$4000)</f>
        <v>0.27926815556694945</v>
      </c>
      <c r="AO207" s="1" cm="1">
        <f t="array" ref="AO207">_xlfn.XLOOKUP(1,('2016 E Maize Soil VWC'!$C$2:$C$4000=$AA207)*('2016 E Maize Soil VWC'!$E$2:$E$4000=$AB207)*('2016 E Maize Soil VWC'!$F$2:$F$4000=AO$5),'2016 E Maize Soil VWC'!$G$2:$G$4000)</f>
        <v>0.3040075414915791</v>
      </c>
      <c r="AP207" s="1" cm="1">
        <f t="array" ref="AP207">_xlfn.XLOOKUP(1,('2016 E Maize Soil VWC'!$C$2:$C$4000=$AA207)*('2016 E Maize Soil VWC'!$E$2:$E$4000=$AB207)*('2016 E Maize Soil VWC'!$F$2:$F$4000=AP$5),'2016 E Maize Soil VWC'!$G$2:$G$4000)</f>
        <v>0.30210001999621033</v>
      </c>
      <c r="AQ207" s="1" cm="1">
        <f t="array" ref="AQ207">_xlfn.XLOOKUP(1,('2016 E Maize Soil VWC'!$C$2:$C$4000=$AA207)*('2016 E Maize Soil VWC'!$E$2:$E$4000=$AB207)*('2016 E Maize Soil VWC'!$F$2:$F$4000=AQ$5),'2016 E Maize Soil VWC'!$G$2:$G$4000)</f>
        <v>0.30005624696545807</v>
      </c>
      <c r="AR207" s="1" cm="1">
        <f t="array" ref="AR207">_xlfn.XLOOKUP(1,('2016 E Maize Soil VWC'!$C$2:$C$4000=$AA207)*('2016 E Maize Soil VWC'!$E$2:$E$4000=$AB207)*('2016 E Maize Soil VWC'!$F$2:$F$4000=AR$5),'2016 E Maize Soil VWC'!$G$2:$G$4000)</f>
        <v>0.29339938623672218</v>
      </c>
      <c r="AS207" s="1" cm="1">
        <f t="array" ref="AS207">_xlfn.XLOOKUP(1,('2016 E Maize Soil VWC'!$C$2:$C$4000=$AA207)*('2016 E Maize Soil VWC'!$E$2:$E$4000=$AB207)*('2016 E Maize Soil VWC'!$F$2:$F$4000=AS$5),'2016 E Maize Soil VWC'!$G$2:$G$4000)</f>
        <v>0.30157447835973122</v>
      </c>
      <c r="AT207" s="1" cm="1">
        <f t="array" ref="AT207">_xlfn.XLOOKUP(1,('2016 E Maize Soil VWC'!$C$2:$C$4000=$AA207)*('2016 E Maize Soil VWC'!$E$2:$E$4000=$AB207)*('2016 E Maize Soil VWC'!$F$2:$F$4000=AT$5),'2016 E Maize Soil VWC'!$G$2:$G$4000)</f>
        <v>0.29388599886309175</v>
      </c>
      <c r="AU207" s="1" cm="1">
        <f t="array" ref="AU207">_xlfn.XLOOKUP(1,('2016 E Maize Soil VWC'!$C$2:$C$4000=$AA207)*('2016 E Maize Soil VWC'!$E$2:$E$4000=$AB207)*('2016 E Maize Soil VWC'!$F$2:$F$4000=AU$5),'2016 E Maize Soil VWC'!$G$2:$G$4000)</f>
        <v>0.28987631082180643</v>
      </c>
      <c r="AV207" s="1" cm="1">
        <f t="array" ref="AV207">_xlfn.XLOOKUP(1,('2016 E Maize Soil VWC'!$C$2:$C$4000=$AA207)*('2016 E Maize Soil VWC'!$E$2:$E$4000=$AB207)*('2016 E Maize Soil VWC'!$F$2:$F$4000=AV$5),'2016 E Maize Soil VWC'!$G$2:$G$4000)</f>
        <v>0.27216361122195354</v>
      </c>
    </row>
    <row r="208" spans="25:64" x14ac:dyDescent="0.25">
      <c r="AA208" s="18">
        <f t="shared" si="33"/>
        <v>42655</v>
      </c>
      <c r="AB208" s="1">
        <f t="shared" si="34"/>
        <v>150</v>
      </c>
      <c r="AC208" s="1" cm="1">
        <f t="array" ref="AC208">_xlfn.XLOOKUP(1,('2016 E Maize Soil VWC'!$C$2:$C$4000=$AA208)*('2016 E Maize Soil VWC'!$E$2:$E$4000=$AB208)*('2016 E Maize Soil VWC'!$F$2:$F$4000=AC$5),'2016 E Maize Soil VWC'!$G$2:$G$4000)</f>
        <v>0.31704875987828396</v>
      </c>
      <c r="AD208" s="1" cm="1">
        <f t="array" ref="AD208">_xlfn.XLOOKUP(1,('2016 E Maize Soil VWC'!$C$2:$C$4000=$AA208)*('2016 E Maize Soil VWC'!$E$2:$E$4000=$AB208)*('2016 E Maize Soil VWC'!$F$2:$F$4000=AD$5),'2016 E Maize Soil VWC'!$G$2:$G$4000)</f>
        <v>0.31819716567651624</v>
      </c>
      <c r="AE208" s="1" cm="1">
        <f t="array" ref="AE208">_xlfn.XLOOKUP(1,('2016 E Maize Soil VWC'!$C$2:$C$4000=$AA208)*('2016 E Maize Soil VWC'!$E$2:$E$4000=$AB208)*('2016 E Maize Soil VWC'!$F$2:$F$4000=AE$5),'2016 E Maize Soil VWC'!$G$2:$G$4000)</f>
        <v>0.28909773061961508</v>
      </c>
      <c r="AF208" s="1" cm="1">
        <f t="array" ref="AF208">_xlfn.XLOOKUP(1,('2016 E Maize Soil VWC'!$C$2:$C$4000=$AA208)*('2016 E Maize Soil VWC'!$E$2:$E$4000=$AB208)*('2016 E Maize Soil VWC'!$F$2:$F$4000=AF$5),'2016 E Maize Soil VWC'!$G$2:$G$4000)</f>
        <v>0.27085948938328303</v>
      </c>
      <c r="AG208" s="1" cm="1">
        <f t="array" ref="AG208">_xlfn.XLOOKUP(1,('2016 E Maize Soil VWC'!$C$2:$C$4000=$AA208)*('2016 E Maize Soil VWC'!$E$2:$E$4000=$AB208)*('2016 E Maize Soil VWC'!$F$2:$F$4000=AG$5),'2016 E Maize Soil VWC'!$G$2:$G$4000)</f>
        <v>0.35523811879576894</v>
      </c>
      <c r="AH208" s="1" cm="1">
        <f t="array" ref="AH208">_xlfn.XLOOKUP(1,('2016 E Maize Soil VWC'!$C$2:$C$4000=$AA208)*('2016 E Maize Soil VWC'!$E$2:$E$4000=$AB208)*('2016 E Maize Soil VWC'!$F$2:$F$4000=AH$5),'2016 E Maize Soil VWC'!$G$2:$G$4000)</f>
        <v>0.33871275400425788</v>
      </c>
      <c r="AI208" s="1" cm="1">
        <f t="array" ref="AI208">_xlfn.XLOOKUP(1,('2016 E Maize Soil VWC'!$C$2:$C$4000=$AA208)*('2016 E Maize Soil VWC'!$E$2:$E$4000=$AB208)*('2016 E Maize Soil VWC'!$F$2:$F$4000=AI$5),'2016 E Maize Soil VWC'!$G$2:$G$4000)</f>
        <v>0.31111208583657501</v>
      </c>
      <c r="AJ208" s="1" cm="1">
        <f t="array" ref="AJ208">_xlfn.XLOOKUP(1,('2016 E Maize Soil VWC'!$C$2:$C$4000=$AA208)*('2016 E Maize Soil VWC'!$E$2:$E$4000=$AB208)*('2016 E Maize Soil VWC'!$F$2:$F$4000=AJ$5),'2016 E Maize Soil VWC'!$G$2:$G$4000)</f>
        <v>0.33139410010365933</v>
      </c>
      <c r="AK208" s="1" cm="1">
        <f t="array" ref="AK208">_xlfn.XLOOKUP(1,('2016 E Maize Soil VWC'!$C$2:$C$4000=$AA208)*('2016 E Maize Soil VWC'!$E$2:$E$4000=$AB208)*('2016 E Maize Soil VWC'!$F$2:$F$4000=AK$5),'2016 E Maize Soil VWC'!$G$2:$G$4000)</f>
        <v>0.31389551005940908</v>
      </c>
      <c r="AL208" s="1" cm="1">
        <f t="array" ref="AL208">_xlfn.XLOOKUP(1,('2016 E Maize Soil VWC'!$C$2:$C$4000=$AA208)*('2016 E Maize Soil VWC'!$E$2:$E$4000=$AB208)*('2016 E Maize Soil VWC'!$F$2:$F$4000=AL$5),'2016 E Maize Soil VWC'!$G$2:$G$4000)</f>
        <v>0.32530171002151209</v>
      </c>
      <c r="AM208" s="1" cm="1">
        <f t="array" ref="AM208">_xlfn.XLOOKUP(1,('2016 E Maize Soil VWC'!$C$2:$C$4000=$AA208)*('2016 E Maize Soil VWC'!$E$2:$E$4000=$AB208)*('2016 E Maize Soil VWC'!$F$2:$F$4000=AM$5),'2016 E Maize Soil VWC'!$G$2:$G$4000)</f>
        <v>0.31952075202024144</v>
      </c>
      <c r="AN208" s="1" cm="1">
        <f t="array" ref="AN208">_xlfn.XLOOKUP(1,('2016 E Maize Soil VWC'!$C$2:$C$4000=$AA208)*('2016 E Maize Soil VWC'!$E$2:$E$4000=$AB208)*('2016 E Maize Soil VWC'!$F$2:$F$4000=AN$5),'2016 E Maize Soil VWC'!$G$2:$G$4000)</f>
        <v>0.31451837422116213</v>
      </c>
      <c r="AO208" s="1" cm="1">
        <f t="array" ref="AO208">_xlfn.XLOOKUP(1,('2016 E Maize Soil VWC'!$C$2:$C$4000=$AA208)*('2016 E Maize Soil VWC'!$E$2:$E$4000=$AB208)*('2016 E Maize Soil VWC'!$F$2:$F$4000=AO$5),'2016 E Maize Soil VWC'!$G$2:$G$4000)</f>
        <v>0.2866257384776576</v>
      </c>
      <c r="AP208" s="1" cm="1">
        <f t="array" ref="AP208">_xlfn.XLOOKUP(1,('2016 E Maize Soil VWC'!$C$2:$C$4000=$AA208)*('2016 E Maize Soil VWC'!$E$2:$E$4000=$AB208)*('2016 E Maize Soil VWC'!$F$2:$F$4000=AP$5),'2016 E Maize Soil VWC'!$G$2:$G$4000)</f>
        <v>0.28896147908423159</v>
      </c>
      <c r="AQ208" s="1" cm="1">
        <f t="array" ref="AQ208">_xlfn.XLOOKUP(1,('2016 E Maize Soil VWC'!$C$2:$C$4000=$AA208)*('2016 E Maize Soil VWC'!$E$2:$E$4000=$AB208)*('2016 E Maize Soil VWC'!$F$2:$F$4000=AQ$5),'2016 E Maize Soil VWC'!$G$2:$G$4000)</f>
        <v>0.34172975228774932</v>
      </c>
      <c r="AR208" s="1" cm="1">
        <f t="array" ref="AR208">_xlfn.XLOOKUP(1,('2016 E Maize Soil VWC'!$C$2:$C$4000=$AA208)*('2016 E Maize Soil VWC'!$E$2:$E$4000=$AB208)*('2016 E Maize Soil VWC'!$F$2:$F$4000=AR$5),'2016 E Maize Soil VWC'!$G$2:$G$4000)</f>
        <v>0.32168131208132239</v>
      </c>
      <c r="AS208" s="1" cm="1">
        <f t="array" ref="AS208">_xlfn.XLOOKUP(1,('2016 E Maize Soil VWC'!$C$2:$C$4000=$AA208)*('2016 E Maize Soil VWC'!$E$2:$E$4000=$AB208)*('2016 E Maize Soil VWC'!$F$2:$F$4000=AS$5),'2016 E Maize Soil VWC'!$G$2:$G$4000)</f>
        <v>0.30233359405686777</v>
      </c>
      <c r="AT208" s="1" cm="1">
        <f t="array" ref="AT208">_xlfn.XLOOKUP(1,('2016 E Maize Soil VWC'!$C$2:$C$4000=$AA208)*('2016 E Maize Soil VWC'!$E$2:$E$4000=$AB208)*('2016 E Maize Soil VWC'!$F$2:$F$4000=AT$5),'2016 E Maize Soil VWC'!$G$2:$G$4000)</f>
        <v>0.31453783872621693</v>
      </c>
      <c r="AU208" s="1" cm="1">
        <f t="array" ref="AU208">_xlfn.XLOOKUP(1,('2016 E Maize Soil VWC'!$C$2:$C$4000=$AA208)*('2016 E Maize Soil VWC'!$E$2:$E$4000=$AB208)*('2016 E Maize Soil VWC'!$F$2:$F$4000=AU$5),'2016 E Maize Soil VWC'!$G$2:$G$4000)</f>
        <v>0.31872270731299535</v>
      </c>
      <c r="AV208" s="1" cm="1">
        <f t="array" ref="AV208">_xlfn.XLOOKUP(1,('2016 E Maize Soil VWC'!$C$2:$C$4000=$AA208)*('2016 E Maize Soil VWC'!$E$2:$E$4000=$AB208)*('2016 E Maize Soil VWC'!$F$2:$F$4000=AV$5),'2016 E Maize Soil VWC'!$G$2:$G$4000)</f>
        <v>0.3245620588294304</v>
      </c>
    </row>
    <row r="209" spans="25:64" x14ac:dyDescent="0.25">
      <c r="AA209" s="18">
        <f t="shared" si="33"/>
        <v>42655</v>
      </c>
      <c r="AB209" s="1">
        <f t="shared" si="34"/>
        <v>170</v>
      </c>
      <c r="AC209" s="1" cm="1">
        <f t="array" ref="AC209">_xlfn.XLOOKUP(1,('2016 E Maize Soil VWC'!$C$2:$C$4000=$AA209)*('2016 E Maize Soil VWC'!$E$2:$E$4000=$AB209)*('2016 E Maize Soil VWC'!$F$2:$F$4000=AC$5),'2016 E Maize Soil VWC'!$G$2:$G$4000)</f>
        <v>0.25645575564274337</v>
      </c>
      <c r="AD209" s="1" cm="1">
        <f t="array" ref="AD209">_xlfn.XLOOKUP(1,('2016 E Maize Soil VWC'!$C$2:$C$4000=$AA209)*('2016 E Maize Soil VWC'!$E$2:$E$4000=$AB209)*('2016 E Maize Soil VWC'!$F$2:$F$4000=AD$5),'2016 E Maize Soil VWC'!$G$2:$G$4000)</f>
        <v>0.25454823414737454</v>
      </c>
      <c r="AE209" s="1" cm="1">
        <f t="array" ref="AE209">_xlfn.XLOOKUP(1,('2016 E Maize Soil VWC'!$C$2:$C$4000=$AA209)*('2016 E Maize Soil VWC'!$E$2:$E$4000=$AB209)*('2016 E Maize Soil VWC'!$F$2:$F$4000=AE$5),'2016 E Maize Soil VWC'!$G$2:$G$4000)</f>
        <v>0.26498120885673848</v>
      </c>
      <c r="AF209" s="1" cm="1">
        <f t="array" ref="AF209">_xlfn.XLOOKUP(1,('2016 E Maize Soil VWC'!$C$2:$C$4000=$AA209)*('2016 E Maize Soil VWC'!$E$2:$E$4000=$AB209)*('2016 E Maize Soil VWC'!$F$2:$F$4000=AF$5),'2016 E Maize Soil VWC'!$G$2:$G$4000)</f>
        <v>0.27212468221184394</v>
      </c>
      <c r="AG209" s="1" cm="1">
        <f t="array" ref="AG209">_xlfn.XLOOKUP(1,('2016 E Maize Soil VWC'!$C$2:$C$4000=$AA209)*('2016 E Maize Soil VWC'!$E$2:$E$4000=$AB209)*('2016 E Maize Soil VWC'!$F$2:$F$4000=AG$5),'2016 E Maize Soil VWC'!$G$2:$G$4000)</f>
        <v>0.32053290628309022</v>
      </c>
      <c r="AH209" s="1" cm="1">
        <f t="array" ref="AH209">_xlfn.XLOOKUP(1,('2016 E Maize Soil VWC'!$C$2:$C$4000=$AA209)*('2016 E Maize Soil VWC'!$E$2:$E$4000=$AB209)*('2016 E Maize Soil VWC'!$F$2:$F$4000=AH$5),'2016 E Maize Soil VWC'!$G$2:$G$4000)</f>
        <v>0.3237640141221842</v>
      </c>
      <c r="AI209" s="1" cm="1">
        <f t="array" ref="AI209">_xlfn.XLOOKUP(1,('2016 E Maize Soil VWC'!$C$2:$C$4000=$AA209)*('2016 E Maize Soil VWC'!$E$2:$E$4000=$AB209)*('2016 E Maize Soil VWC'!$F$2:$F$4000=AI$5),'2016 E Maize Soil VWC'!$G$2:$G$4000)</f>
        <v>0.28623644837656187</v>
      </c>
      <c r="AJ209" s="1" cm="1">
        <f t="array" ref="AJ209">_xlfn.XLOOKUP(1,('2016 E Maize Soil VWC'!$C$2:$C$4000=$AA209)*('2016 E Maize Soil VWC'!$E$2:$E$4000=$AB209)*('2016 E Maize Soil VWC'!$F$2:$F$4000=AJ$5),'2016 E Maize Soil VWC'!$G$2:$G$4000)</f>
        <v>0.29668888759098055</v>
      </c>
      <c r="AK209" s="1" cm="1">
        <f t="array" ref="AK209">_xlfn.XLOOKUP(1,('2016 E Maize Soil VWC'!$C$2:$C$4000=$AA209)*('2016 E Maize Soil VWC'!$E$2:$E$4000=$AB209)*('2016 E Maize Soil VWC'!$F$2:$F$4000=AK$5),'2016 E Maize Soil VWC'!$G$2:$G$4000)</f>
        <v>0.285866622780521</v>
      </c>
      <c r="AL209" s="1" cm="1">
        <f t="array" ref="AL209">_xlfn.XLOOKUP(1,('2016 E Maize Soil VWC'!$C$2:$C$4000=$AA209)*('2016 E Maize Soil VWC'!$E$2:$E$4000=$AB209)*('2016 E Maize Soil VWC'!$F$2:$F$4000=AL$5),'2016 E Maize Soil VWC'!$G$2:$G$4000)</f>
        <v>0.29328259920639344</v>
      </c>
      <c r="AM209" s="1" cm="1">
        <f t="array" ref="AM209">_xlfn.XLOOKUP(1,('2016 E Maize Soil VWC'!$C$2:$C$4000=$AA209)*('2016 E Maize Soil VWC'!$E$2:$E$4000=$AB209)*('2016 E Maize Soil VWC'!$F$2:$F$4000=AM$5),'2016 E Maize Soil VWC'!$G$2:$G$4000)</f>
        <v>0.30682989472452271</v>
      </c>
      <c r="AN209" s="1" cm="1">
        <f t="array" ref="AN209">_xlfn.XLOOKUP(1,('2016 E Maize Soil VWC'!$C$2:$C$4000=$AA209)*('2016 E Maize Soil VWC'!$E$2:$E$4000=$AB209)*('2016 E Maize Soil VWC'!$F$2:$F$4000=AN$5),'2016 E Maize Soil VWC'!$G$2:$G$4000)</f>
        <v>0.32534063903162169</v>
      </c>
      <c r="AO209" s="1" cm="1">
        <f t="array" ref="AO209">_xlfn.XLOOKUP(1,('2016 E Maize Soil VWC'!$C$2:$C$4000=$AA209)*('2016 E Maize Soil VWC'!$E$2:$E$4000=$AB209)*('2016 E Maize Soil VWC'!$F$2:$F$4000=AO$5),'2016 E Maize Soil VWC'!$G$2:$G$4000)</f>
        <v>0.28413428183064532</v>
      </c>
      <c r="AP209" s="1" cm="1">
        <f t="array" ref="AP209">_xlfn.XLOOKUP(1,('2016 E Maize Soil VWC'!$C$2:$C$4000=$AA209)*('2016 E Maize Soil VWC'!$E$2:$E$4000=$AB209)*('2016 E Maize Soil VWC'!$F$2:$F$4000=AP$5),'2016 E Maize Soil VWC'!$G$2:$G$4000)</f>
        <v>0.30679096571441311</v>
      </c>
      <c r="AQ209" s="1" cm="1">
        <f t="array" ref="AQ209">_xlfn.XLOOKUP(1,('2016 E Maize Soil VWC'!$C$2:$C$4000=$AA209)*('2016 E Maize Soil VWC'!$E$2:$E$4000=$AB209)*('2016 E Maize Soil VWC'!$F$2:$F$4000=AQ$5),'2016 E Maize Soil VWC'!$G$2:$G$4000)</f>
        <v>0.33396341477089075</v>
      </c>
      <c r="AR209" s="1" cm="1">
        <f t="array" ref="AR209">_xlfn.XLOOKUP(1,('2016 E Maize Soil VWC'!$C$2:$C$4000=$AA209)*('2016 E Maize Soil VWC'!$E$2:$E$4000=$AB209)*('2016 E Maize Soil VWC'!$F$2:$F$4000=AR$5),'2016 E Maize Soil VWC'!$G$2:$G$4000)</f>
        <v>0.32393919466767729</v>
      </c>
      <c r="AS209" s="1" cm="1">
        <f t="array" ref="AS209">_xlfn.XLOOKUP(1,('2016 E Maize Soil VWC'!$C$2:$C$4000=$AA209)*('2016 E Maize Soil VWC'!$E$2:$E$4000=$AB209)*('2016 E Maize Soil VWC'!$F$2:$F$4000=AS$5),'2016 E Maize Soil VWC'!$G$2:$G$4000)</f>
        <v>0.31227995613986209</v>
      </c>
      <c r="AT209" s="1" cm="1">
        <f t="array" ref="AT209">_xlfn.XLOOKUP(1,('2016 E Maize Soil VWC'!$C$2:$C$4000=$AA209)*('2016 E Maize Soil VWC'!$E$2:$E$4000=$AB209)*('2016 E Maize Soil VWC'!$F$2:$F$4000=AT$5),'2016 E Maize Soil VWC'!$G$2:$G$4000)</f>
        <v>0.32047451276792582</v>
      </c>
      <c r="AU209" s="1" cm="1">
        <f t="array" ref="AU209">_xlfn.XLOOKUP(1,('2016 E Maize Soil VWC'!$C$2:$C$4000=$AA209)*('2016 E Maize Soil VWC'!$E$2:$E$4000=$AB209)*('2016 E Maize Soil VWC'!$F$2:$F$4000=AU$5),'2016 E Maize Soil VWC'!$G$2:$G$4000)</f>
        <v>0.30297592272367563</v>
      </c>
      <c r="AV209" s="1" cm="1">
        <f t="array" ref="AV209">_xlfn.XLOOKUP(1,('2016 E Maize Soil VWC'!$C$2:$C$4000=$AA209)*('2016 E Maize Soil VWC'!$E$2:$E$4000=$AB209)*('2016 E Maize Soil VWC'!$F$2:$F$4000=AV$5),'2016 E Maize Soil VWC'!$G$2:$G$4000)</f>
        <v>0.30420218654212694</v>
      </c>
    </row>
    <row r="210" spans="25:64" x14ac:dyDescent="0.25">
      <c r="AA210" s="18">
        <f t="shared" si="33"/>
        <v>42655</v>
      </c>
      <c r="AB210" s="1">
        <f t="shared" si="34"/>
        <v>190</v>
      </c>
      <c r="AC210" s="1" cm="1">
        <f t="array" ref="AC210">_xlfn.XLOOKUP(1,('2016 E Maize Soil VWC'!$C$2:$C$4000=$AA210)*('2016 E Maize Soil VWC'!$E$2:$E$4000=$AB210)*('2016 E Maize Soil VWC'!$F$2:$F$4000=AC$5),'2016 E Maize Soil VWC'!$G$2:$G$4000)</f>
        <v>0.26482549281630019</v>
      </c>
      <c r="AD210" s="1" cm="1">
        <f t="array" ref="AD210">_xlfn.XLOOKUP(1,('2016 E Maize Soil VWC'!$C$2:$C$4000=$AA210)*('2016 E Maize Soil VWC'!$E$2:$E$4000=$AB210)*('2016 E Maize Soil VWC'!$F$2:$F$4000=AD$5),'2016 E Maize Soil VWC'!$G$2:$G$4000)</f>
        <v>0.26848481976659944</v>
      </c>
      <c r="AE210" s="1" cm="1">
        <f t="array" ref="AE210">_xlfn.XLOOKUP(1,('2016 E Maize Soil VWC'!$C$2:$C$4000=$AA210)*('2016 E Maize Soil VWC'!$E$2:$E$4000=$AB210)*('2016 E Maize Soil VWC'!$F$2:$F$4000=AE$5),'2016 E Maize Soil VWC'!$G$2:$G$4000)</f>
        <v>0.27436310029314404</v>
      </c>
      <c r="AF210" s="1" cm="1">
        <f t="array" ref="AF210">_xlfn.XLOOKUP(1,('2016 E Maize Soil VWC'!$C$2:$C$4000=$AA210)*('2016 E Maize Soil VWC'!$E$2:$E$4000=$AB210)*('2016 E Maize Soil VWC'!$F$2:$F$4000=AF$5),'2016 E Maize Soil VWC'!$G$2:$G$4000)</f>
        <v>0.27909297502145636</v>
      </c>
      <c r="AG210" s="1" cm="1">
        <f t="array" ref="AG210">_xlfn.XLOOKUP(1,('2016 E Maize Soil VWC'!$C$2:$C$4000=$AA210)*('2016 E Maize Soil VWC'!$E$2:$E$4000=$AB210)*('2016 E Maize Soil VWC'!$F$2:$F$4000=AG$5),'2016 E Maize Soil VWC'!$G$2:$G$4000)</f>
        <v>0.3296422946487288</v>
      </c>
      <c r="AH210" s="1" cm="1">
        <f t="array" ref="AH210">_xlfn.XLOOKUP(1,('2016 E Maize Soil VWC'!$C$2:$C$4000=$AA210)*('2016 E Maize Soil VWC'!$E$2:$E$4000=$AB210)*('2016 E Maize Soil VWC'!$F$2:$F$4000=AH$5),'2016 E Maize Soil VWC'!$G$2:$G$4000)</f>
        <v>0.33680523250888911</v>
      </c>
      <c r="AI210" s="1" cm="1">
        <f t="array" ref="AI210">_xlfn.XLOOKUP(1,('2016 E Maize Soil VWC'!$C$2:$C$4000=$AA210)*('2016 E Maize Soil VWC'!$E$2:$E$4000=$AB210)*('2016 E Maize Soil VWC'!$F$2:$F$4000=AI$5),'2016 E Maize Soil VWC'!$G$2:$G$4000)</f>
        <v>0.26241189418950706</v>
      </c>
      <c r="AJ210" s="1" cm="1">
        <f t="array" ref="AJ210">_xlfn.XLOOKUP(1,('2016 E Maize Soil VWC'!$C$2:$C$4000=$AA210)*('2016 E Maize Soil VWC'!$E$2:$E$4000=$AB210)*('2016 E Maize Soil VWC'!$F$2:$F$4000=AJ$5),'2016 E Maize Soil VWC'!$G$2:$G$4000)</f>
        <v>0.2793460135871686</v>
      </c>
      <c r="AK210" s="1" cm="1">
        <f t="array" ref="AK210">_xlfn.XLOOKUP(1,('2016 E Maize Soil VWC'!$C$2:$C$4000=$AA210)*('2016 E Maize Soil VWC'!$E$2:$E$4000=$AB210)*('2016 E Maize Soil VWC'!$F$2:$F$4000=AK$5),'2016 E Maize Soil VWC'!$G$2:$G$4000)</f>
        <v>0.26866000031209247</v>
      </c>
      <c r="AL210" s="1" cm="1">
        <f t="array" ref="AL210">_xlfn.XLOOKUP(1,('2016 E Maize Soil VWC'!$C$2:$C$4000=$AA210)*('2016 E Maize Soil VWC'!$E$2:$E$4000=$AB210)*('2016 E Maize Soil VWC'!$F$2:$F$4000=AL$5),'2016 E Maize Soil VWC'!$G$2:$G$4000)</f>
        <v>0.27592026069752673</v>
      </c>
      <c r="AM210" s="1" cm="1">
        <f t="array" ref="AM210">_xlfn.XLOOKUP(1,('2016 E Maize Soil VWC'!$C$2:$C$4000=$AA210)*('2016 E Maize Soil VWC'!$E$2:$E$4000=$AB210)*('2016 E Maize Soil VWC'!$F$2:$F$4000=AM$5),'2016 E Maize Soil VWC'!$G$2:$G$4000)</f>
        <v>0.2931074186609004</v>
      </c>
      <c r="AN210" s="1" cm="1">
        <f t="array" ref="AN210">_xlfn.XLOOKUP(1,('2016 E Maize Soil VWC'!$C$2:$C$4000=$AA210)*('2016 E Maize Soil VWC'!$E$2:$E$4000=$AB210)*('2016 E Maize Soil VWC'!$F$2:$F$4000=AN$5),'2016 E Maize Soil VWC'!$G$2:$G$4000)</f>
        <v>0.30202216197599124</v>
      </c>
      <c r="AO210" s="1" cm="1">
        <f t="array" ref="AO210">_xlfn.XLOOKUP(1,('2016 E Maize Soil VWC'!$C$2:$C$4000=$AA210)*('2016 E Maize Soil VWC'!$E$2:$E$4000=$AB210)*('2016 E Maize Soil VWC'!$F$2:$F$4000=AO$5),'2016 E Maize Soil VWC'!$G$2:$G$4000)</f>
        <v>0.2764068733238963</v>
      </c>
      <c r="AP210" s="1" cm="1">
        <f t="array" ref="AP210">_xlfn.XLOOKUP(1,('2016 E Maize Soil VWC'!$C$2:$C$4000=$AA210)*('2016 E Maize Soil VWC'!$E$2:$E$4000=$AB210)*('2016 E Maize Soil VWC'!$F$2:$F$4000=AP$5),'2016 E Maize Soil VWC'!$G$2:$G$4000)</f>
        <v>0.28865004700335506</v>
      </c>
      <c r="AQ210" s="1" cm="1">
        <f t="array" ref="AQ210">_xlfn.XLOOKUP(1,('2016 E Maize Soil VWC'!$C$2:$C$4000=$AA210)*('2016 E Maize Soil VWC'!$E$2:$E$4000=$AB210)*('2016 E Maize Soil VWC'!$F$2:$F$4000=AQ$5),'2016 E Maize Soil VWC'!$G$2:$G$4000)</f>
        <v>0.34100956560072232</v>
      </c>
      <c r="AR210" s="1" cm="1">
        <f t="array" ref="AR210">_xlfn.XLOOKUP(1,('2016 E Maize Soil VWC'!$C$2:$C$4000=$AA210)*('2016 E Maize Soil VWC'!$E$2:$E$4000=$AB210)*('2016 E Maize Soil VWC'!$F$2:$F$4000=AR$5),'2016 E Maize Soil VWC'!$G$2:$G$4000)</f>
        <v>0.32683940592083999</v>
      </c>
      <c r="AS210" s="1" cm="1">
        <f t="array" ref="AS210">_xlfn.XLOOKUP(1,('2016 E Maize Soil VWC'!$C$2:$C$4000=$AA210)*('2016 E Maize Soil VWC'!$E$2:$E$4000=$AB210)*('2016 E Maize Soil VWC'!$F$2:$F$4000=AS$5),'2016 E Maize Soil VWC'!$G$2:$G$4000)</f>
        <v>0.31041136365460287</v>
      </c>
      <c r="AT210" s="1" cm="1">
        <f t="array" ref="AT210">_xlfn.XLOOKUP(1,('2016 E Maize Soil VWC'!$C$2:$C$4000=$AA210)*('2016 E Maize Soil VWC'!$E$2:$E$4000=$AB210)*('2016 E Maize Soil VWC'!$F$2:$F$4000=AT$5),'2016 E Maize Soil VWC'!$G$2:$G$4000)</f>
        <v>0.30171072989511472</v>
      </c>
      <c r="AU210" s="1" cm="1">
        <f t="array" ref="AU210">_xlfn.XLOOKUP(1,('2016 E Maize Soil VWC'!$C$2:$C$4000=$AA210)*('2016 E Maize Soil VWC'!$E$2:$E$4000=$AB210)*('2016 E Maize Soil VWC'!$F$2:$F$4000=AU$5),'2016 E Maize Soil VWC'!$G$2:$G$4000)</f>
        <v>0.29221205142838041</v>
      </c>
      <c r="AV210" s="1" cm="1">
        <f t="array" ref="AV210">_xlfn.XLOOKUP(1,('2016 E Maize Soil VWC'!$C$2:$C$4000=$AA210)*('2016 E Maize Soil VWC'!$E$2:$E$4000=$AB210)*('2016 E Maize Soil VWC'!$F$2:$F$4000=AV$5),'2016 E Maize Soil VWC'!$G$2:$G$4000)</f>
        <v>0.28937023369038201</v>
      </c>
    </row>
    <row r="211" spans="25:64" x14ac:dyDescent="0.25">
      <c r="AA211" s="18">
        <f t="shared" si="33"/>
        <v>42655</v>
      </c>
      <c r="AB211" s="1">
        <f t="shared" si="34"/>
        <v>210</v>
      </c>
      <c r="AC211" s="1" cm="1">
        <f t="array" ref="AC211">_xlfn.XLOOKUP(1,('2016 E Maize Soil VWC'!$C$2:$C$4000=$AA211)*('2016 E Maize Soil VWC'!$E$2:$E$4000=$AB211)*('2016 E Maize Soil VWC'!$F$2:$F$4000=AC$5),'2016 E Maize Soil VWC'!$G$2:$G$4000)</f>
        <v>0.28715128011413671</v>
      </c>
      <c r="AD211" s="1" cm="1">
        <f t="array" ref="AD211">_xlfn.XLOOKUP(1,('2016 E Maize Soil VWC'!$C$2:$C$4000=$AA211)*('2016 E Maize Soil VWC'!$E$2:$E$4000=$AB211)*('2016 E Maize Soil VWC'!$F$2:$F$4000=AD$5),'2016 E Maize Soil VWC'!$G$2:$G$4000)</f>
        <v>0.29034345894312119</v>
      </c>
      <c r="AE211" s="1" cm="1">
        <f t="array" ref="AE211">_xlfn.XLOOKUP(1,('2016 E Maize Soil VWC'!$C$2:$C$4000=$AA211)*('2016 E Maize Soil VWC'!$E$2:$E$4000=$AB211)*('2016 E Maize Soil VWC'!$F$2:$F$4000=AE$5),'2016 E Maize Soil VWC'!$G$2:$G$4000)</f>
        <v>0.25390590548056668</v>
      </c>
      <c r="AF211" s="1" cm="1">
        <f t="array" ref="AF211">_xlfn.XLOOKUP(1,('2016 E Maize Soil VWC'!$C$2:$C$4000=$AA211)*('2016 E Maize Soil VWC'!$E$2:$E$4000=$AB211)*('2016 E Maize Soil VWC'!$F$2:$F$4000=AF$5),'2016 E Maize Soil VWC'!$G$2:$G$4000)</f>
        <v>0.27401273920215796</v>
      </c>
      <c r="AG211" s="1" t="e" cm="1">
        <f t="array" ref="AG211">_xlfn.XLOOKUP(1,('2016 E Maize Soil VWC'!$C$2:$C$4000=$AA211)*('2016 E Maize Soil VWC'!$E$2:$E$4000=$AB211)*('2016 E Maize Soil VWC'!$F$2:$F$4000=AG$5),'2016 E Maize Soil VWC'!$G$2:$G$4000)</f>
        <v>#N/A</v>
      </c>
      <c r="AH211" s="1" t="e" cm="1">
        <f t="array" ref="AH211">_xlfn.XLOOKUP(1,('2016 E Maize Soil VWC'!$C$2:$C$4000=$AA211)*('2016 E Maize Soil VWC'!$E$2:$E$4000=$AB211)*('2016 E Maize Soil VWC'!$F$2:$F$4000=AH$5),'2016 E Maize Soil VWC'!$G$2:$G$4000)</f>
        <v>#N/A</v>
      </c>
      <c r="AI211" s="1" cm="1">
        <f t="array" ref="AI211">_xlfn.XLOOKUP(1,('2016 E Maize Soil VWC'!$C$2:$C$4000=$AA211)*('2016 E Maize Soil VWC'!$E$2:$E$4000=$AB211)*('2016 E Maize Soil VWC'!$F$2:$F$4000=AI$5),'2016 E Maize Soil VWC'!$G$2:$G$4000)</f>
        <v>0.25207624200541706</v>
      </c>
      <c r="AJ211" s="1" cm="1">
        <f t="array" ref="AJ211">_xlfn.XLOOKUP(1,('2016 E Maize Soil VWC'!$C$2:$C$4000=$AA211)*('2016 E Maize Soil VWC'!$E$2:$E$4000=$AB211)*('2016 E Maize Soil VWC'!$F$2:$F$4000=AJ$5),'2016 E Maize Soil VWC'!$G$2:$G$4000)</f>
        <v>0.28685931253831493</v>
      </c>
      <c r="AK211" s="1" cm="1">
        <f t="array" ref="AK211">_xlfn.XLOOKUP(1,('2016 E Maize Soil VWC'!$C$2:$C$4000=$AA211)*('2016 E Maize Soil VWC'!$E$2:$E$4000=$AB211)*('2016 E Maize Soil VWC'!$F$2:$F$4000=AK$5),'2016 E Maize Soil VWC'!$G$2:$G$4000)</f>
        <v>0.27965744566804512</v>
      </c>
      <c r="AL211" s="1" cm="1">
        <f t="array" ref="AL211">_xlfn.XLOOKUP(1,('2016 E Maize Soil VWC'!$C$2:$C$4000=$AA211)*('2016 E Maize Soil VWC'!$E$2:$E$4000=$AB211)*('2016 E Maize Soil VWC'!$F$2:$F$4000=AL$5),'2016 E Maize Soil VWC'!$G$2:$G$4000)</f>
        <v>0.24674296762040643</v>
      </c>
      <c r="AM211" s="1" cm="1">
        <f t="array" ref="AM211">_xlfn.XLOOKUP(1,('2016 E Maize Soil VWC'!$C$2:$C$4000=$AA211)*('2016 E Maize Soil VWC'!$E$2:$E$4000=$AB211)*('2016 E Maize Soil VWC'!$F$2:$F$4000=AM$5),'2016 E Maize Soil VWC'!$G$2:$G$4000)</f>
        <v>0.29334099272155784</v>
      </c>
      <c r="AN211" s="1" cm="1">
        <f t="array" ref="AN211">_xlfn.XLOOKUP(1,('2016 E Maize Soil VWC'!$C$2:$C$4000=$AA211)*('2016 E Maize Soil VWC'!$E$2:$E$4000=$AB211)*('2016 E Maize Soil VWC'!$F$2:$F$4000=AN$5),'2016 E Maize Soil VWC'!$G$2:$G$4000)</f>
        <v>0.29824604799536319</v>
      </c>
      <c r="AO211" s="1" cm="1">
        <f t="array" ref="AO211">_xlfn.XLOOKUP(1,('2016 E Maize Soil VWC'!$C$2:$C$4000=$AA211)*('2016 E Maize Soil VWC'!$E$2:$E$4000=$AB211)*('2016 E Maize Soil VWC'!$F$2:$F$4000=AO$5),'2016 E Maize Soil VWC'!$G$2:$G$4000)</f>
        <v>0.28037763235507213</v>
      </c>
      <c r="AP211" s="1" cm="1">
        <f t="array" ref="AP211">_xlfn.XLOOKUP(1,('2016 E Maize Soil VWC'!$C$2:$C$4000=$AA211)*('2016 E Maize Soil VWC'!$E$2:$E$4000=$AB211)*('2016 E Maize Soil VWC'!$F$2:$F$4000=AP$5),'2016 E Maize Soil VWC'!$G$2:$G$4000)</f>
        <v>0.2602318696233713</v>
      </c>
      <c r="AQ211" s="1" t="e" cm="1">
        <f t="array" ref="AQ211">_xlfn.XLOOKUP(1,('2016 E Maize Soil VWC'!$C$2:$C$4000=$AA211)*('2016 E Maize Soil VWC'!$E$2:$E$4000=$AB211)*('2016 E Maize Soil VWC'!$F$2:$F$4000=AQ$5),'2016 E Maize Soil VWC'!$G$2:$G$4000)</f>
        <v>#N/A</v>
      </c>
      <c r="AR211" s="1" t="e" cm="1">
        <f t="array" ref="AR211">_xlfn.XLOOKUP(1,('2016 E Maize Soil VWC'!$C$2:$C$4000=$AA211)*('2016 E Maize Soil VWC'!$E$2:$E$4000=$AB211)*('2016 E Maize Soil VWC'!$F$2:$F$4000=AR$5),'2016 E Maize Soil VWC'!$G$2:$G$4000)</f>
        <v>#N/A</v>
      </c>
      <c r="AS211" s="1" cm="1">
        <f t="array" ref="AS211">_xlfn.XLOOKUP(1,('2016 E Maize Soil VWC'!$C$2:$C$4000=$AA211)*('2016 E Maize Soil VWC'!$E$2:$E$4000=$AB211)*('2016 E Maize Soil VWC'!$F$2:$F$4000=AS$5),'2016 E Maize Soil VWC'!$G$2:$G$4000)</f>
        <v>0.29207579989299692</v>
      </c>
      <c r="AT211" s="1" cm="1">
        <f t="array" ref="AT211">_xlfn.XLOOKUP(1,('2016 E Maize Soil VWC'!$C$2:$C$4000=$AA211)*('2016 E Maize Soil VWC'!$E$2:$E$4000=$AB211)*('2016 E Maize Soil VWC'!$F$2:$F$4000=AT$5),'2016 E Maize Soil VWC'!$G$2:$G$4000)</f>
        <v>0.29509279817648831</v>
      </c>
      <c r="AU211" s="1" cm="1">
        <f t="array" ref="AU211">_xlfn.XLOOKUP(1,('2016 E Maize Soil VWC'!$C$2:$C$4000=$AA211)*('2016 E Maize Soil VWC'!$E$2:$E$4000=$AB211)*('2016 E Maize Soil VWC'!$F$2:$F$4000=AU$5),'2016 E Maize Soil VWC'!$G$2:$G$4000)</f>
        <v>0.27823653679904592</v>
      </c>
      <c r="AV211" s="1" cm="1">
        <f t="array" ref="AV211">_xlfn.XLOOKUP(1,('2016 E Maize Soil VWC'!$C$2:$C$4000=$AA211)*('2016 E Maize Soil VWC'!$E$2:$E$4000=$AB211)*('2016 E Maize Soil VWC'!$F$2:$F$4000=AV$5),'2016 E Maize Soil VWC'!$G$2:$G$4000)</f>
        <v>0.28569144223502796</v>
      </c>
    </row>
    <row r="212" spans="25:64" x14ac:dyDescent="0.25">
      <c r="AA212" s="18">
        <f t="shared" si="33"/>
        <v>42655</v>
      </c>
      <c r="AB212" s="1">
        <f t="shared" si="34"/>
        <v>230</v>
      </c>
      <c r="AC212" s="1" cm="1">
        <f t="array" ref="AC212">_xlfn.XLOOKUP(1,('2016 E Maize Soil VWC'!$C$2:$C$4000=$AA212)*('2016 E Maize Soil VWC'!$E$2:$E$4000=$AB212)*('2016 E Maize Soil VWC'!$F$2:$F$4000=AC$5),'2016 E Maize Soil VWC'!$G$2:$G$4000)</f>
        <v>0.2850101845581105</v>
      </c>
      <c r="AD212" s="1" cm="1">
        <f t="array" ref="AD212">_xlfn.XLOOKUP(1,('2016 E Maize Soil VWC'!$C$2:$C$4000=$AA212)*('2016 E Maize Soil VWC'!$E$2:$E$4000=$AB212)*('2016 E Maize Soil VWC'!$F$2:$F$4000=AD$5),'2016 E Maize Soil VWC'!$G$2:$G$4000)</f>
        <v>0.29203687088288732</v>
      </c>
      <c r="AE212" s="1" cm="1">
        <f t="array" ref="AE212">_xlfn.XLOOKUP(1,('2016 E Maize Soil VWC'!$C$2:$C$4000=$AA212)*('2016 E Maize Soil VWC'!$E$2:$E$4000=$AB212)*('2016 E Maize Soil VWC'!$F$2:$F$4000=AE$5),'2016 E Maize Soil VWC'!$G$2:$G$4000)</f>
        <v>0.26354083548268448</v>
      </c>
      <c r="AF212" s="1" cm="1">
        <f t="array" ref="AF212">_xlfn.XLOOKUP(1,('2016 E Maize Soil VWC'!$C$2:$C$4000=$AA212)*('2016 E Maize Soil VWC'!$E$2:$E$4000=$AB212)*('2016 E Maize Soil VWC'!$F$2:$F$4000=AF$5),'2016 E Maize Soil VWC'!$G$2:$G$4000)</f>
        <v>0.263852267563561</v>
      </c>
      <c r="AG212" s="1" t="e" cm="1">
        <f t="array" ref="AG212">_xlfn.XLOOKUP(1,('2016 E Maize Soil VWC'!$C$2:$C$4000=$AA212)*('2016 E Maize Soil VWC'!$E$2:$E$4000=$AB212)*('2016 E Maize Soil VWC'!$F$2:$F$4000=AG$5),'2016 E Maize Soil VWC'!$G$2:$G$4000)</f>
        <v>#N/A</v>
      </c>
      <c r="AH212" s="1" t="e" cm="1">
        <f t="array" ref="AH212">_xlfn.XLOOKUP(1,('2016 E Maize Soil VWC'!$C$2:$C$4000=$AA212)*('2016 E Maize Soil VWC'!$E$2:$E$4000=$AB212)*('2016 E Maize Soil VWC'!$F$2:$F$4000=AH$5),'2016 E Maize Soil VWC'!$G$2:$G$4000)</f>
        <v>#N/A</v>
      </c>
      <c r="AI212" s="1" cm="1">
        <f t="array" ref="AI212">_xlfn.XLOOKUP(1,('2016 E Maize Soil VWC'!$C$2:$C$4000=$AA212)*('2016 E Maize Soil VWC'!$E$2:$E$4000=$AB212)*('2016 E Maize Soil VWC'!$F$2:$F$4000=AI$5),'2016 E Maize Soil VWC'!$G$2:$G$4000)</f>
        <v>0.25308839626826579</v>
      </c>
      <c r="AJ212" s="1" cm="1">
        <f t="array" ref="AJ212">_xlfn.XLOOKUP(1,('2016 E Maize Soil VWC'!$C$2:$C$4000=$AA212)*('2016 E Maize Soil VWC'!$E$2:$E$4000=$AB212)*('2016 E Maize Soil VWC'!$F$2:$F$4000=AJ$5),'2016 E Maize Soil VWC'!$G$2:$G$4000)</f>
        <v>0.30591506298694787</v>
      </c>
      <c r="AK212" s="1" cm="1">
        <f t="array" ref="AK212">_xlfn.XLOOKUP(1,('2016 E Maize Soil VWC'!$C$2:$C$4000=$AA212)*('2016 E Maize Soil VWC'!$E$2:$E$4000=$AB212)*('2016 E Maize Soil VWC'!$F$2:$F$4000=AK$5),'2016 E Maize Soil VWC'!$G$2:$G$4000)</f>
        <v>0.2982849770054728</v>
      </c>
      <c r="AL212" s="1" cm="1">
        <f t="array" ref="AL212">_xlfn.XLOOKUP(1,('2016 E Maize Soil VWC'!$C$2:$C$4000=$AA212)*('2016 E Maize Soil VWC'!$E$2:$E$4000=$AB212)*('2016 E Maize Soil VWC'!$F$2:$F$4000=AL$5),'2016 E Maize Soil VWC'!$G$2:$G$4000)</f>
        <v>0.25081104917685615</v>
      </c>
      <c r="AM212" s="1" cm="1">
        <f t="array" ref="AM212">_xlfn.XLOOKUP(1,('2016 E Maize Soil VWC'!$C$2:$C$4000=$AA212)*('2016 E Maize Soil VWC'!$E$2:$E$4000=$AB212)*('2016 E Maize Soil VWC'!$F$2:$F$4000=AM$5),'2016 E Maize Soil VWC'!$G$2:$G$4000)</f>
        <v>0.28197372176956437</v>
      </c>
      <c r="AN212" s="1" cm="1">
        <f t="array" ref="AN212">_xlfn.XLOOKUP(1,('2016 E Maize Soil VWC'!$C$2:$C$4000=$AA212)*('2016 E Maize Soil VWC'!$E$2:$E$4000=$AB212)*('2016 E Maize Soil VWC'!$F$2:$F$4000=AN$5),'2016 E Maize Soil VWC'!$G$2:$G$4000)</f>
        <v>0.28242140538582439</v>
      </c>
      <c r="AO212" s="1" cm="1">
        <f t="array" ref="AO212">_xlfn.XLOOKUP(1,('2016 E Maize Soil VWC'!$C$2:$C$4000=$AA212)*('2016 E Maize Soil VWC'!$E$2:$E$4000=$AB212)*('2016 E Maize Soil VWC'!$F$2:$F$4000=AO$5),'2016 E Maize Soil VWC'!$G$2:$G$4000)</f>
        <v>0.27453828083863707</v>
      </c>
      <c r="AP212" s="1" cm="1">
        <f t="array" ref="AP212">_xlfn.XLOOKUP(1,('2016 E Maize Soil VWC'!$C$2:$C$4000=$AA212)*('2016 E Maize Soil VWC'!$E$2:$E$4000=$AB212)*('2016 E Maize Soil VWC'!$F$2:$F$4000=AP$5),'2016 E Maize Soil VWC'!$G$2:$G$4000)</f>
        <v>0.27222200473711788</v>
      </c>
      <c r="AQ212" s="1" t="e" cm="1">
        <f t="array" ref="AQ212">_xlfn.XLOOKUP(1,('2016 E Maize Soil VWC'!$C$2:$C$4000=$AA212)*('2016 E Maize Soil VWC'!$E$2:$E$4000=$AB212)*('2016 E Maize Soil VWC'!$F$2:$F$4000=AQ$5),'2016 E Maize Soil VWC'!$G$2:$G$4000)</f>
        <v>#N/A</v>
      </c>
      <c r="AR212" s="1" t="e" cm="1">
        <f t="array" ref="AR212">_xlfn.XLOOKUP(1,('2016 E Maize Soil VWC'!$C$2:$C$4000=$AA212)*('2016 E Maize Soil VWC'!$E$2:$E$4000=$AB212)*('2016 E Maize Soil VWC'!$F$2:$F$4000=AR$5),'2016 E Maize Soil VWC'!$G$2:$G$4000)</f>
        <v>#N/A</v>
      </c>
      <c r="AS212" s="1" cm="1">
        <f t="array" ref="AS212">_xlfn.XLOOKUP(1,('2016 E Maize Soil VWC'!$C$2:$C$4000=$AA212)*('2016 E Maize Soil VWC'!$E$2:$E$4000=$AB212)*('2016 E Maize Soil VWC'!$F$2:$F$4000=AS$5),'2016 E Maize Soil VWC'!$G$2:$G$4000)</f>
        <v>0.28923398215499851</v>
      </c>
      <c r="AT212" s="1" cm="1">
        <f t="array" ref="AT212">_xlfn.XLOOKUP(1,('2016 E Maize Soil VWC'!$C$2:$C$4000=$AA212)*('2016 E Maize Soil VWC'!$E$2:$E$4000=$AB212)*('2016 E Maize Soil VWC'!$F$2:$F$4000=AT$5),'2016 E Maize Soil VWC'!$G$2:$G$4000)</f>
        <v>0.29075221354927161</v>
      </c>
      <c r="AU212" s="1" cm="1">
        <f t="array" ref="AU212">_xlfn.XLOOKUP(1,('2016 E Maize Soil VWC'!$C$2:$C$4000=$AA212)*('2016 E Maize Soil VWC'!$E$2:$E$4000=$AB212)*('2016 E Maize Soil VWC'!$F$2:$F$4000=AU$5),'2016 E Maize Soil VWC'!$G$2:$G$4000)</f>
        <v>0.27173539211074826</v>
      </c>
      <c r="AV212" s="1" cm="1">
        <f t="array" ref="AV212">_xlfn.XLOOKUP(1,('2016 E Maize Soil VWC'!$C$2:$C$4000=$AA212)*('2016 E Maize Soil VWC'!$E$2:$E$4000=$AB212)*('2016 E Maize Soil VWC'!$F$2:$F$4000=AV$5),'2016 E Maize Soil VWC'!$G$2:$G$4000)</f>
        <v>0.29686406813647365</v>
      </c>
    </row>
    <row r="214" spans="25:64" x14ac:dyDescent="0.25">
      <c r="Y214" s="1">
        <v>2016</v>
      </c>
      <c r="Z214" s="1">
        <v>302</v>
      </c>
      <c r="AA214" s="18">
        <f>DATE(Y214,1,Z214)</f>
        <v>42671</v>
      </c>
      <c r="AB214" s="1">
        <v>10</v>
      </c>
      <c r="AC214" s="1" cm="1">
        <f t="array" ref="AC214">_xlfn.XLOOKUP(1,('2016 E Maize Soil VWC'!$C$2:$C$4100=$AA214)*('2016 E Maize Soil VWC'!$E$2:$E$4100=$AB214)*('2016 E Maize Soil VWC'!$F$2:$F$4100=AC$5),'2016 E Maize Soil VWC'!$G$2:$G$4100)</f>
        <v>0.1735530188927405</v>
      </c>
      <c r="AD214" s="1" cm="1">
        <f t="array" ref="AD214">_xlfn.XLOOKUP(1,('2016 E Maize Soil VWC'!$C$2:$C$4100=$AA214)*('2016 E Maize Soil VWC'!$E$2:$E$4100=$AB214)*('2016 E Maize Soil VWC'!$F$2:$F$4100=AD$5),'2016 E Maize Soil VWC'!$G$2:$G$4100)</f>
        <v>0.14871308660566002</v>
      </c>
      <c r="AE214" s="1" cm="1">
        <f t="array" ref="AE214">_xlfn.XLOOKUP(1,('2016 E Maize Soil VWC'!$C$2:$C$4100=$AA214)*('2016 E Maize Soil VWC'!$E$2:$E$4100=$AB214)*('2016 E Maize Soil VWC'!$F$2:$F$4100=AE$5),'2016 E Maize Soil VWC'!$G$2:$G$4100)</f>
        <v>0.16887275365872689</v>
      </c>
      <c r="AF214" s="1" cm="1">
        <f t="array" ref="AF214">_xlfn.XLOOKUP(1,('2016 E Maize Soil VWC'!$C$2:$C$4100=$AA214)*('2016 E Maize Soil VWC'!$E$2:$E$4100=$AB214)*('2016 E Maize Soil VWC'!$F$2:$F$4100=AF$5),'2016 E Maize Soil VWC'!$G$2:$G$4100)</f>
        <v>0.16557355029704518</v>
      </c>
      <c r="AG214" s="1" cm="1">
        <f t="array" ref="AG214">_xlfn.XLOOKUP(1,('2016 E Maize Soil VWC'!$C$2:$C$4100=$AA214)*('2016 E Maize Soil VWC'!$E$2:$E$4100=$AB214)*('2016 E Maize Soil VWC'!$F$2:$F$4100=AG$5),'2016 E Maize Soil VWC'!$G$2:$G$4100)</f>
        <v>0.20412819423297701</v>
      </c>
      <c r="AH214" s="1" cm="1">
        <f t="array" ref="AH214">_xlfn.XLOOKUP(1,('2016 E Maize Soil VWC'!$C$2:$C$4100=$AA214)*('2016 E Maize Soil VWC'!$E$2:$E$4100=$AB214)*('2016 E Maize Soil VWC'!$F$2:$F$4100=AH$5),'2016 E Maize Soil VWC'!$G$2:$G$4100)</f>
        <v>0.20196069435001168</v>
      </c>
      <c r="AI214" s="1" cm="1">
        <f t="array" ref="AI214">_xlfn.XLOOKUP(1,('2016 E Maize Soil VWC'!$C$2:$C$4100=$AA214)*('2016 E Maize Soil VWC'!$E$2:$E$4100=$AB214)*('2016 E Maize Soil VWC'!$F$2:$F$4100=AI$5),'2016 E Maize Soil VWC'!$G$2:$G$4100)</f>
        <v>0.19622545129685565</v>
      </c>
      <c r="AJ214" s="1" cm="1">
        <f t="array" ref="AJ214">_xlfn.XLOOKUP(1,('2016 E Maize Soil VWC'!$C$2:$C$4100=$AA214)*('2016 E Maize Soil VWC'!$E$2:$E$4100=$AB214)*('2016 E Maize Soil VWC'!$F$2:$F$4100=AJ$5),'2016 E Maize Soil VWC'!$G$2:$G$4100)</f>
        <v>0.15118748912692132</v>
      </c>
      <c r="AK214" s="1" cm="1">
        <f t="array" ref="AK214">_xlfn.XLOOKUP(1,('2016 E Maize Soil VWC'!$C$2:$C$4100=$AA214)*('2016 E Maize Soil VWC'!$E$2:$E$4100=$AB214)*('2016 E Maize Soil VWC'!$F$2:$F$4100=AK$5),'2016 E Maize Soil VWC'!$G$2:$G$4100)</f>
        <v>0.15157111742479129</v>
      </c>
      <c r="AL214" s="1" cm="1">
        <f t="array" ref="AL214">_xlfn.XLOOKUP(1,('2016 E Maize Soil VWC'!$C$2:$C$4100=$AA214)*('2016 E Maize Soil VWC'!$E$2:$E$4100=$AB214)*('2016 E Maize Soil VWC'!$F$2:$F$4100=AL$5),'2016 E Maize Soil VWC'!$G$2:$G$4100)</f>
        <v>0.20299649075426063</v>
      </c>
      <c r="AM214" s="1" t="e" cm="1">
        <f t="array" ref="AM214">_xlfn.XLOOKUP(1,('2016 E Maize Soil VWC'!$C$2:$C$4100=$AA214)*('2016 E Maize Soil VWC'!$E$2:$E$4100=$AB214)*('2016 E Maize Soil VWC'!$F$2:$F$4100=AM$5),'2016 E Maize Soil VWC'!$G$2:$G$4100)</f>
        <v>#N/A</v>
      </c>
      <c r="AN214" s="1" t="e" cm="1">
        <f t="array" ref="AN214">_xlfn.XLOOKUP(1,('2016 E Maize Soil VWC'!$C$2:$C$4100=$AA214)*('2016 E Maize Soil VWC'!$E$2:$E$4100=$AB214)*('2016 E Maize Soil VWC'!$F$2:$F$4100=AN$5),'2016 E Maize Soil VWC'!$G$2:$G$4100)</f>
        <v>#N/A</v>
      </c>
      <c r="AO214" s="1" t="e" cm="1">
        <f t="array" ref="AO214">_xlfn.XLOOKUP(1,('2016 E Maize Soil VWC'!$C$2:$C$4100=$AA214)*('2016 E Maize Soil VWC'!$E$2:$E$4100=$AB214)*('2016 E Maize Soil VWC'!$F$2:$F$4100=AO$5),'2016 E Maize Soil VWC'!$G$2:$G$4100)</f>
        <v>#N/A</v>
      </c>
      <c r="AP214" s="1" t="e" cm="1">
        <f t="array" ref="AP214">_xlfn.XLOOKUP(1,('2016 E Maize Soil VWC'!$C$2:$C$4100=$AA214)*('2016 E Maize Soil VWC'!$E$2:$E$4100=$AB214)*('2016 E Maize Soil VWC'!$F$2:$F$4100=AP$5),'2016 E Maize Soil VWC'!$G$2:$G$4100)</f>
        <v>#N/A</v>
      </c>
      <c r="AQ214" s="1" t="e" cm="1">
        <f t="array" ref="AQ214">_xlfn.XLOOKUP(1,('2016 E Maize Soil VWC'!$C$2:$C$4100=$AA214)*('2016 E Maize Soil VWC'!$E$2:$E$4100=$AB214)*('2016 E Maize Soil VWC'!$F$2:$F$4100=AQ$5),'2016 E Maize Soil VWC'!$G$2:$G$4100)</f>
        <v>#N/A</v>
      </c>
      <c r="AR214" s="1" t="e" cm="1">
        <f t="array" ref="AR214">_xlfn.XLOOKUP(1,('2016 E Maize Soil VWC'!$C$2:$C$4100=$AA214)*('2016 E Maize Soil VWC'!$E$2:$E$4100=$AB214)*('2016 E Maize Soil VWC'!$F$2:$F$4100=AR$5),'2016 E Maize Soil VWC'!$G$2:$G$4100)</f>
        <v>#N/A</v>
      </c>
      <c r="AS214" s="1" t="e" cm="1">
        <f t="array" ref="AS214">_xlfn.XLOOKUP(1,('2016 E Maize Soil VWC'!$C$2:$C$4100=$AA214)*('2016 E Maize Soil VWC'!$E$2:$E$4100=$AB214)*('2016 E Maize Soil VWC'!$F$2:$F$4100=AS$5),'2016 E Maize Soil VWC'!$G$2:$G$4100)</f>
        <v>#N/A</v>
      </c>
      <c r="AT214" s="1" t="e" cm="1">
        <f t="array" ref="AT214">_xlfn.XLOOKUP(1,('2016 E Maize Soil VWC'!$C$2:$C$4100=$AA214)*('2016 E Maize Soil VWC'!$E$2:$E$4100=$AB214)*('2016 E Maize Soil VWC'!$F$2:$F$4100=AT$5),'2016 E Maize Soil VWC'!$G$2:$G$4100)</f>
        <v>#N/A</v>
      </c>
      <c r="AU214" s="1" t="e" cm="1">
        <f t="array" ref="AU214">_xlfn.XLOOKUP(1,('2016 E Maize Soil VWC'!$C$2:$C$4100=$AA214)*('2016 E Maize Soil VWC'!$E$2:$E$4100=$AB214)*('2016 E Maize Soil VWC'!$F$2:$F$4100=AU$5),'2016 E Maize Soil VWC'!$G$2:$G$4100)</f>
        <v>#N/A</v>
      </c>
      <c r="AV214" s="1" t="e" cm="1">
        <f t="array" ref="AV214">_xlfn.XLOOKUP(1,('2016 E Maize Soil VWC'!$C$2:$C$4100=$AA214)*('2016 E Maize Soil VWC'!$E$2:$E$4100=$AB214)*('2016 E Maize Soil VWC'!$F$2:$F$4100=AV$5),'2016 E Maize Soil VWC'!$G$2:$G$4100)</f>
        <v>#N/A</v>
      </c>
      <c r="AW214" s="1">
        <f>Z214</f>
        <v>302</v>
      </c>
      <c r="AX214" s="15">
        <f>AA214</f>
        <v>42671</v>
      </c>
      <c r="AY214" s="1">
        <f>1400*AVERAGE(AG214:AH220)+100*AVERAGE(AG221:AH221)</f>
        <v>456.10632000289809</v>
      </c>
      <c r="AZ214" s="1">
        <f>1400*AVERAGE(AC214:AF220,AI214:AL220)+100*AVERAGE(AC221:AF221,AI221:AL221)</f>
        <v>433.69470290427108</v>
      </c>
      <c r="BA214" s="1" t="e">
        <f>1400*AVERAGE(AQ214:AR220)+100*AVERAGE(AQ221:AR221)</f>
        <v>#N/A</v>
      </c>
      <c r="BB214" s="1" t="e">
        <f>1400*AVERAGE(AM214:AP220,AS214:AV220)+100*AVERAGE(AM221:AP221,AS221:AV221)</f>
        <v>#N/A</v>
      </c>
      <c r="BC214" s="1">
        <f>AVERAGE(AC214:AD225)*2400</f>
        <v>683.30735251736019</v>
      </c>
      <c r="BD214" s="1">
        <f>AVERAGE(AE214:AF225)*2400</f>
        <v>666.19838923280997</v>
      </c>
      <c r="BE214" s="1">
        <f>AVERAGE(AG214:AH223)*2000</f>
        <v>621.45690186475269</v>
      </c>
      <c r="BF214" s="1">
        <f>AVERAGE(AI214:AJ225)*2400</f>
        <v>696.48495956061834</v>
      </c>
      <c r="BG214" s="1">
        <f>AVERAGE(AK214:AL225)*2400</f>
        <v>684.90296432002867</v>
      </c>
      <c r="BH214" s="1" t="e">
        <f>AVERAGE(AM214:AN225)*2400</f>
        <v>#N/A</v>
      </c>
      <c r="BI214" s="1" t="e">
        <f>AVERAGE(AO214:AP225)*2400</f>
        <v>#N/A</v>
      </c>
      <c r="BJ214" s="1" t="e">
        <f>AVERAGE(AQ214:AR223)*2000</f>
        <v>#N/A</v>
      </c>
      <c r="BK214" s="1" t="e">
        <f>AVERAGE(AS214:AT225)*2400</f>
        <v>#N/A</v>
      </c>
      <c r="BL214" s="1" t="e">
        <f>AVERAGE(AU214:AV225)*2400</f>
        <v>#N/A</v>
      </c>
    </row>
    <row r="215" spans="25:64" x14ac:dyDescent="0.25">
      <c r="AA215" s="18">
        <f t="shared" ref="AA215:AA225" si="35">AA214</f>
        <v>42671</v>
      </c>
      <c r="AB215" s="1">
        <f t="shared" ref="AB215:AB225" si="36">AB214+20</f>
        <v>30</v>
      </c>
      <c r="AC215" s="1" cm="1">
        <f t="array" ref="AC215">_xlfn.XLOOKUP(1,('2016 E Maize Soil VWC'!$C$2:$C$4100=$AA215)*('2016 E Maize Soil VWC'!$E$2:$E$4100=$AB215)*('2016 E Maize Soil VWC'!$F$2:$F$4100=AC$5),'2016 E Maize Soil VWC'!$G$2:$G$4100)</f>
        <v>0.27194875400425783</v>
      </c>
      <c r="AD215" s="1" cm="1">
        <f t="array" ref="AD215">_xlfn.XLOOKUP(1,('2016 E Maize Soil VWC'!$C$2:$C$4100=$AA215)*('2016 E Maize Soil VWC'!$E$2:$E$4100=$AB215)*('2016 E Maize Soil VWC'!$F$2:$F$4100=AD$5),'2016 E Maize Soil VWC'!$G$2:$G$4100)</f>
        <v>0.28371848145836354</v>
      </c>
      <c r="AE215" s="1" cm="1">
        <f t="array" ref="AE215">_xlfn.XLOOKUP(1,('2016 E Maize Soil VWC'!$C$2:$C$4100=$AA215)*('2016 E Maize Soil VWC'!$E$2:$E$4100=$AB215)*('2016 E Maize Soil VWC'!$F$2:$F$4100=AE$5),'2016 E Maize Soil VWC'!$G$2:$G$4100)</f>
        <v>0.28706163361458814</v>
      </c>
      <c r="AF215" s="1" cm="1">
        <f t="array" ref="AF215">_xlfn.XLOOKUP(1,('2016 E Maize Soil VWC'!$C$2:$C$4100=$AA215)*('2016 E Maize Soil VWC'!$E$2:$E$4100=$AB215)*('2016 E Maize Soil VWC'!$F$2:$F$4100=AF$5),'2016 E Maize Soil VWC'!$G$2:$G$4100)</f>
        <v>0.26691112746748108</v>
      </c>
      <c r="AG215" s="1" cm="1">
        <f t="array" ref="AG215">_xlfn.XLOOKUP(1,('2016 E Maize Soil VWC'!$C$2:$C$4100=$AA215)*('2016 E Maize Soil VWC'!$E$2:$E$4100=$AB215)*('2016 E Maize Soil VWC'!$F$2:$F$4100=AG$5),'2016 E Maize Soil VWC'!$G$2:$G$4100)</f>
        <v>0.31408163049366344</v>
      </c>
      <c r="AH215" s="1" cm="1">
        <f t="array" ref="AH215">_xlfn.XLOOKUP(1,('2016 E Maize Soil VWC'!$C$2:$C$4100=$AA215)*('2016 E Maize Soil VWC'!$E$2:$E$4100=$AB215)*('2016 E Maize Soil VWC'!$F$2:$F$4100=AH$5),'2016 E Maize Soil VWC'!$G$2:$G$4100)</f>
        <v>0.31307410518630807</v>
      </c>
      <c r="AI215" s="1" cm="1">
        <f t="array" ref="AI215">_xlfn.XLOOKUP(1,('2016 E Maize Soil VWC'!$C$2:$C$4100=$AA215)*('2016 E Maize Soil VWC'!$E$2:$E$4100=$AB215)*('2016 E Maize Soil VWC'!$F$2:$F$4100=AI$5),'2016 E Maize Soil VWC'!$G$2:$G$4100)</f>
        <v>0.30382319100059074</v>
      </c>
      <c r="AJ215" s="1" cm="1">
        <f t="array" ref="AJ215">_xlfn.XLOOKUP(1,('2016 E Maize Soil VWC'!$C$2:$C$4100=$AA215)*('2016 E Maize Soil VWC'!$E$2:$E$4100=$AB215)*('2016 E Maize Soil VWC'!$F$2:$F$4100=AJ$5),'2016 E Maize Soil VWC'!$G$2:$G$4100)</f>
        <v>0.28348949843396459</v>
      </c>
      <c r="AK215" s="1" cm="1">
        <f t="array" ref="AK215">_xlfn.XLOOKUP(1,('2016 E Maize Soil VWC'!$C$2:$C$4100=$AA215)*('2016 E Maize Soil VWC'!$E$2:$E$4100=$AB215)*('2016 E Maize Soil VWC'!$F$2:$F$4100=AK$5),'2016 E Maize Soil VWC'!$G$2:$G$4100)</f>
        <v>0.25253099353522745</v>
      </c>
      <c r="AL215" s="1" cm="1">
        <f t="array" ref="AL215">_xlfn.XLOOKUP(1,('2016 E Maize Soil VWC'!$C$2:$C$4100=$AA215)*('2016 E Maize Soil VWC'!$E$2:$E$4100=$AB215)*('2016 E Maize Soil VWC'!$F$2:$F$4100=AL$5),'2016 E Maize Soil VWC'!$G$2:$G$4100)</f>
        <v>0.29404561585875588</v>
      </c>
      <c r="AM215" s="1" t="e" cm="1">
        <f t="array" ref="AM215">_xlfn.XLOOKUP(1,('2016 E Maize Soil VWC'!$C$2:$C$4100=$AA215)*('2016 E Maize Soil VWC'!$E$2:$E$4100=$AB215)*('2016 E Maize Soil VWC'!$F$2:$F$4100=AM$5),'2016 E Maize Soil VWC'!$G$2:$G$4100)</f>
        <v>#N/A</v>
      </c>
      <c r="AN215" s="1" t="e" cm="1">
        <f t="array" ref="AN215">_xlfn.XLOOKUP(1,('2016 E Maize Soil VWC'!$C$2:$C$4100=$AA215)*('2016 E Maize Soil VWC'!$E$2:$E$4100=$AB215)*('2016 E Maize Soil VWC'!$F$2:$F$4100=AN$5),'2016 E Maize Soil VWC'!$G$2:$G$4100)</f>
        <v>#N/A</v>
      </c>
      <c r="AO215" s="1" t="e" cm="1">
        <f t="array" ref="AO215">_xlfn.XLOOKUP(1,('2016 E Maize Soil VWC'!$C$2:$C$4100=$AA215)*('2016 E Maize Soil VWC'!$E$2:$E$4100=$AB215)*('2016 E Maize Soil VWC'!$F$2:$F$4100=AO$5),'2016 E Maize Soil VWC'!$G$2:$G$4100)</f>
        <v>#N/A</v>
      </c>
      <c r="AP215" s="1" t="e" cm="1">
        <f t="array" ref="AP215">_xlfn.XLOOKUP(1,('2016 E Maize Soil VWC'!$C$2:$C$4100=$AA215)*('2016 E Maize Soil VWC'!$E$2:$E$4100=$AB215)*('2016 E Maize Soil VWC'!$F$2:$F$4100=AP$5),'2016 E Maize Soil VWC'!$G$2:$G$4100)</f>
        <v>#N/A</v>
      </c>
      <c r="AQ215" s="1" t="e" cm="1">
        <f t="array" ref="AQ215">_xlfn.XLOOKUP(1,('2016 E Maize Soil VWC'!$C$2:$C$4100=$AA215)*('2016 E Maize Soil VWC'!$E$2:$E$4100=$AB215)*('2016 E Maize Soil VWC'!$F$2:$F$4100=AQ$5),'2016 E Maize Soil VWC'!$G$2:$G$4100)</f>
        <v>#N/A</v>
      </c>
      <c r="AR215" s="1" t="e" cm="1">
        <f t="array" ref="AR215">_xlfn.XLOOKUP(1,('2016 E Maize Soil VWC'!$C$2:$C$4100=$AA215)*('2016 E Maize Soil VWC'!$E$2:$E$4100=$AB215)*('2016 E Maize Soil VWC'!$F$2:$F$4100=AR$5),'2016 E Maize Soil VWC'!$G$2:$G$4100)</f>
        <v>#N/A</v>
      </c>
      <c r="AS215" s="1" t="e" cm="1">
        <f t="array" ref="AS215">_xlfn.XLOOKUP(1,('2016 E Maize Soil VWC'!$C$2:$C$4100=$AA215)*('2016 E Maize Soil VWC'!$E$2:$E$4100=$AB215)*('2016 E Maize Soil VWC'!$F$2:$F$4100=AS$5),'2016 E Maize Soil VWC'!$G$2:$G$4100)</f>
        <v>#N/A</v>
      </c>
      <c r="AT215" s="1" t="e" cm="1">
        <f t="array" ref="AT215">_xlfn.XLOOKUP(1,('2016 E Maize Soil VWC'!$C$2:$C$4100=$AA215)*('2016 E Maize Soil VWC'!$E$2:$E$4100=$AB215)*('2016 E Maize Soil VWC'!$F$2:$F$4100=AT$5),'2016 E Maize Soil VWC'!$G$2:$G$4100)</f>
        <v>#N/A</v>
      </c>
      <c r="AU215" s="1" t="e" cm="1">
        <f t="array" ref="AU215">_xlfn.XLOOKUP(1,('2016 E Maize Soil VWC'!$C$2:$C$4100=$AA215)*('2016 E Maize Soil VWC'!$E$2:$E$4100=$AB215)*('2016 E Maize Soil VWC'!$F$2:$F$4100=AU$5),'2016 E Maize Soil VWC'!$G$2:$G$4100)</f>
        <v>#N/A</v>
      </c>
      <c r="AV215" s="1" t="e" cm="1">
        <f t="array" ref="AV215">_xlfn.XLOOKUP(1,('2016 E Maize Soil VWC'!$C$2:$C$4100=$AA215)*('2016 E Maize Soil VWC'!$E$2:$E$4100=$AB215)*('2016 E Maize Soil VWC'!$F$2:$F$4100=AV$5),'2016 E Maize Soil VWC'!$G$2:$G$4100)</f>
        <v>#N/A</v>
      </c>
    </row>
    <row r="216" spans="25:64" x14ac:dyDescent="0.25">
      <c r="AA216" s="18">
        <f t="shared" si="35"/>
        <v>42671</v>
      </c>
      <c r="AB216" s="1">
        <f t="shared" si="36"/>
        <v>50</v>
      </c>
      <c r="AC216" s="1" cm="1">
        <f t="array" ref="AC216">_xlfn.XLOOKUP(1,('2016 E Maize Soil VWC'!$C$2:$C$4100=$AA216)*('2016 E Maize Soil VWC'!$E$2:$E$4100=$AB216)*('2016 E Maize Soil VWC'!$F$2:$F$4100=AC$5),'2016 E Maize Soil VWC'!$G$2:$G$4100)</f>
        <v>0.31671493527425126</v>
      </c>
      <c r="AD216" s="1" cm="1">
        <f t="array" ref="AD216">_xlfn.XLOOKUP(1,('2016 E Maize Soil VWC'!$C$2:$C$4100=$AA216)*('2016 E Maize Soil VWC'!$E$2:$E$4100=$AB216)*('2016 E Maize Soil VWC'!$F$2:$F$4100=AD$5),'2016 E Maize Soil VWC'!$G$2:$G$4100)</f>
        <v>0.33695703463111787</v>
      </c>
      <c r="AE216" s="1" cm="1">
        <f t="array" ref="AE216">_xlfn.XLOOKUP(1,('2016 E Maize Soil VWC'!$C$2:$C$4100=$AA216)*('2016 E Maize Soil VWC'!$E$2:$E$4100=$AB216)*('2016 E Maize Soil VWC'!$F$2:$F$4100=AE$5),'2016 E Maize Soil VWC'!$G$2:$G$4100)</f>
        <v>0.33656776348963963</v>
      </c>
      <c r="AF216" s="1" cm="1">
        <f t="array" ref="AF216">_xlfn.XLOOKUP(1,('2016 E Maize Soil VWC'!$C$2:$C$4100=$AA216)*('2016 E Maize Soil VWC'!$E$2:$E$4100=$AB216)*('2016 E Maize Soil VWC'!$F$2:$F$4100=AF$5),'2016 E Maize Soil VWC'!$G$2:$G$4100)</f>
        <v>0.31866129098164231</v>
      </c>
      <c r="AG216" s="1" cm="1">
        <f t="array" ref="AG216">_xlfn.XLOOKUP(1,('2016 E Maize Soil VWC'!$C$2:$C$4100=$AA216)*('2016 E Maize Soil VWC'!$E$2:$E$4100=$AB216)*('2016 E Maize Soil VWC'!$F$2:$F$4100=AG$5),'2016 E Maize Soil VWC'!$G$2:$G$4100)</f>
        <v>0.3238821039379382</v>
      </c>
      <c r="AH216" s="1" cm="1">
        <f t="array" ref="AH216">_xlfn.XLOOKUP(1,('2016 E Maize Soil VWC'!$C$2:$C$4100=$AA216)*('2016 E Maize Soil VWC'!$E$2:$E$4100=$AB216)*('2016 E Maize Soil VWC'!$F$2:$F$4100=AH$5),'2016 E Maize Soil VWC'!$G$2:$G$4100)</f>
        <v>0.32958378124547189</v>
      </c>
      <c r="AI216" s="1" cm="1">
        <f t="array" ref="AI216">_xlfn.XLOOKUP(1,('2016 E Maize Soil VWC'!$C$2:$C$4100=$AA216)*('2016 E Maize Soil VWC'!$E$2:$E$4100=$AB216)*('2016 E Maize Soil VWC'!$F$2:$F$4100=AI$5),'2016 E Maize Soil VWC'!$G$2:$G$4100)</f>
        <v>0.3375981870994349</v>
      </c>
      <c r="AJ216" s="1" cm="1">
        <f t="array" ref="AJ216">_xlfn.XLOOKUP(1,('2016 E Maize Soil VWC'!$C$2:$C$4100=$AA216)*('2016 E Maize Soil VWC'!$E$2:$E$4100=$AB216)*('2016 E Maize Soil VWC'!$F$2:$F$4100=AJ$5),'2016 E Maize Soil VWC'!$G$2:$G$4100)</f>
        <v>0.33544574667008481</v>
      </c>
      <c r="AK216" s="1" cm="1">
        <f t="array" ref="AK216">_xlfn.XLOOKUP(1,('2016 E Maize Soil VWC'!$C$2:$C$4100=$AA216)*('2016 E Maize Soil VWC'!$E$2:$E$4100=$AB216)*('2016 E Maize Soil VWC'!$F$2:$F$4100=AK$5),'2016 E Maize Soil VWC'!$G$2:$G$4100)</f>
        <v>0.32837017121615752</v>
      </c>
      <c r="AL216" s="1" cm="1">
        <f t="array" ref="AL216">_xlfn.XLOOKUP(1,('2016 E Maize Soil VWC'!$C$2:$C$4100=$AA216)*('2016 E Maize Soil VWC'!$E$2:$E$4100=$AB216)*('2016 E Maize Soil VWC'!$F$2:$F$4100=AL$5),'2016 E Maize Soil VWC'!$G$2:$G$4100)</f>
        <v>0.33011044220158947</v>
      </c>
      <c r="AM216" s="1" t="e" cm="1">
        <f t="array" ref="AM216">_xlfn.XLOOKUP(1,('2016 E Maize Soil VWC'!$C$2:$C$4100=$AA216)*('2016 E Maize Soil VWC'!$E$2:$E$4100=$AB216)*('2016 E Maize Soil VWC'!$F$2:$F$4100=AM$5),'2016 E Maize Soil VWC'!$G$2:$G$4100)</f>
        <v>#N/A</v>
      </c>
      <c r="AN216" s="1" t="e" cm="1">
        <f t="array" ref="AN216">_xlfn.XLOOKUP(1,('2016 E Maize Soil VWC'!$C$2:$C$4100=$AA216)*('2016 E Maize Soil VWC'!$E$2:$E$4100=$AB216)*('2016 E Maize Soil VWC'!$F$2:$F$4100=AN$5),'2016 E Maize Soil VWC'!$G$2:$G$4100)</f>
        <v>#N/A</v>
      </c>
      <c r="AO216" s="1" t="e" cm="1">
        <f t="array" ref="AO216">_xlfn.XLOOKUP(1,('2016 E Maize Soil VWC'!$C$2:$C$4100=$AA216)*('2016 E Maize Soil VWC'!$E$2:$E$4100=$AB216)*('2016 E Maize Soil VWC'!$F$2:$F$4100=AO$5),'2016 E Maize Soil VWC'!$G$2:$G$4100)</f>
        <v>#N/A</v>
      </c>
      <c r="AP216" s="1" t="e" cm="1">
        <f t="array" ref="AP216">_xlfn.XLOOKUP(1,('2016 E Maize Soil VWC'!$C$2:$C$4100=$AA216)*('2016 E Maize Soil VWC'!$E$2:$E$4100=$AB216)*('2016 E Maize Soil VWC'!$F$2:$F$4100=AP$5),'2016 E Maize Soil VWC'!$G$2:$G$4100)</f>
        <v>#N/A</v>
      </c>
      <c r="AQ216" s="1" t="e" cm="1">
        <f t="array" ref="AQ216">_xlfn.XLOOKUP(1,('2016 E Maize Soil VWC'!$C$2:$C$4100=$AA216)*('2016 E Maize Soil VWC'!$E$2:$E$4100=$AB216)*('2016 E Maize Soil VWC'!$F$2:$F$4100=AQ$5),'2016 E Maize Soil VWC'!$G$2:$G$4100)</f>
        <v>#N/A</v>
      </c>
      <c r="AR216" s="1" t="e" cm="1">
        <f t="array" ref="AR216">_xlfn.XLOOKUP(1,('2016 E Maize Soil VWC'!$C$2:$C$4100=$AA216)*('2016 E Maize Soil VWC'!$E$2:$E$4100=$AB216)*('2016 E Maize Soil VWC'!$F$2:$F$4100=AR$5),'2016 E Maize Soil VWC'!$G$2:$G$4100)</f>
        <v>#N/A</v>
      </c>
      <c r="AS216" s="1" t="e" cm="1">
        <f t="array" ref="AS216">_xlfn.XLOOKUP(1,('2016 E Maize Soil VWC'!$C$2:$C$4100=$AA216)*('2016 E Maize Soil VWC'!$E$2:$E$4100=$AB216)*('2016 E Maize Soil VWC'!$F$2:$F$4100=AS$5),'2016 E Maize Soil VWC'!$G$2:$G$4100)</f>
        <v>#N/A</v>
      </c>
      <c r="AT216" s="1" t="e" cm="1">
        <f t="array" ref="AT216">_xlfn.XLOOKUP(1,('2016 E Maize Soil VWC'!$C$2:$C$4100=$AA216)*('2016 E Maize Soil VWC'!$E$2:$E$4100=$AB216)*('2016 E Maize Soil VWC'!$F$2:$F$4100=AT$5),'2016 E Maize Soil VWC'!$G$2:$G$4100)</f>
        <v>#N/A</v>
      </c>
      <c r="AU216" s="1" t="e" cm="1">
        <f t="array" ref="AU216">_xlfn.XLOOKUP(1,('2016 E Maize Soil VWC'!$C$2:$C$4100=$AA216)*('2016 E Maize Soil VWC'!$E$2:$E$4100=$AB216)*('2016 E Maize Soil VWC'!$F$2:$F$4100=AU$5),'2016 E Maize Soil VWC'!$G$2:$G$4100)</f>
        <v>#N/A</v>
      </c>
      <c r="AV216" s="1" t="e" cm="1">
        <f t="array" ref="AV216">_xlfn.XLOOKUP(1,('2016 E Maize Soil VWC'!$C$2:$C$4100=$AA216)*('2016 E Maize Soil VWC'!$E$2:$E$4100=$AB216)*('2016 E Maize Soil VWC'!$F$2:$F$4100=AV$5),'2016 E Maize Soil VWC'!$G$2:$G$4100)</f>
        <v>#N/A</v>
      </c>
    </row>
    <row r="217" spans="25:64" x14ac:dyDescent="0.25">
      <c r="AA217" s="18">
        <f t="shared" si="35"/>
        <v>42671</v>
      </c>
      <c r="AB217" s="1">
        <f t="shared" si="36"/>
        <v>70</v>
      </c>
      <c r="AC217" s="1" cm="1">
        <f t="array" ref="AC217">_xlfn.XLOOKUP(1,('2016 E Maize Soil VWC'!$C$2:$C$4100=$AA217)*('2016 E Maize Soil VWC'!$E$2:$E$4100=$AB217)*('2016 E Maize Soil VWC'!$F$2:$F$4100=AC$5),'2016 E Maize Soil VWC'!$G$2:$G$4100)</f>
        <v>0.31431061351806239</v>
      </c>
      <c r="AD217" s="1" cm="1">
        <f t="array" ref="AD217">_xlfn.XLOOKUP(1,('2016 E Maize Soil VWC'!$C$2:$C$4100=$AA217)*('2016 E Maize Soil VWC'!$E$2:$E$4100=$AB217)*('2016 E Maize Soil VWC'!$F$2:$F$4100=AD$5),'2016 E Maize Soil VWC'!$G$2:$G$4100)</f>
        <v>0.3223479176744653</v>
      </c>
      <c r="AE217" s="1" cm="1">
        <f t="array" ref="AE217">_xlfn.XLOOKUP(1,('2016 E Maize Soil VWC'!$C$2:$C$4100=$AA217)*('2016 E Maize Soil VWC'!$E$2:$E$4100=$AB217)*('2016 E Maize Soil VWC'!$F$2:$F$4100=AE$5),'2016 E Maize Soil VWC'!$G$2:$G$4100)</f>
        <v>0.3207221382012328</v>
      </c>
      <c r="AF217" s="1" cm="1">
        <f t="array" ref="AF217">_xlfn.XLOOKUP(1,('2016 E Maize Soil VWC'!$C$2:$C$4100=$AA217)*('2016 E Maize Soil VWC'!$E$2:$E$4100=$AB217)*('2016 E Maize Soil VWC'!$F$2:$F$4100=AF$5),'2016 E Maize Soil VWC'!$G$2:$G$4100)</f>
        <v>0.31073847833743884</v>
      </c>
      <c r="AG217" s="1" cm="1">
        <f t="array" ref="AG217">_xlfn.XLOOKUP(1,('2016 E Maize Soil VWC'!$C$2:$C$4100=$AA217)*('2016 E Maize Soil VWC'!$E$2:$E$4100=$AB217)*('2016 E Maize Soil VWC'!$F$2:$F$4100=AG$5),'2016 E Maize Soil VWC'!$G$2:$G$4100)</f>
        <v>0.32504991736237282</v>
      </c>
      <c r="AH217" s="1" cm="1">
        <f t="array" ref="AH217">_xlfn.XLOOKUP(1,('2016 E Maize Soil VWC'!$C$2:$C$4100=$AA217)*('2016 E Maize Soil VWC'!$E$2:$E$4100=$AB217)*('2016 E Maize Soil VWC'!$F$2:$F$4100=AH$5),'2016 E Maize Soil VWC'!$G$2:$G$4100)</f>
        <v>0.31987490101095667</v>
      </c>
      <c r="AI217" s="1" cm="1">
        <f t="array" ref="AI217">_xlfn.XLOOKUP(1,('2016 E Maize Soil VWC'!$C$2:$C$4100=$AA217)*('2016 E Maize Soil VWC'!$E$2:$E$4100=$AB217)*('2016 E Maize Soil VWC'!$F$2:$F$4100=AI$5),'2016 E Maize Soil VWC'!$G$2:$G$4100)</f>
        <v>0.32319515486474137</v>
      </c>
      <c r="AJ217" s="1" cm="1">
        <f t="array" ref="AJ217">_xlfn.XLOOKUP(1,('2016 E Maize Soil VWC'!$C$2:$C$4100=$AA217)*('2016 E Maize Soil VWC'!$E$2:$E$4100=$AB217)*('2016 E Maize Soil VWC'!$F$2:$F$4100=AJ$5),'2016 E Maize Soil VWC'!$G$2:$G$4100)</f>
        <v>0.31447090163514163</v>
      </c>
      <c r="AK217" s="1" cm="1">
        <f t="array" ref="AK217">_xlfn.XLOOKUP(1,('2016 E Maize Soil VWC'!$C$2:$C$4100=$AA217)*('2016 E Maize Soil VWC'!$E$2:$E$4100=$AB217)*('2016 E Maize Soil VWC'!$F$2:$F$4100=AK$5),'2016 E Maize Soil VWC'!$G$2:$G$4100)</f>
        <v>0.31687522339133056</v>
      </c>
      <c r="AL217" s="1" cm="1">
        <f t="array" ref="AL217">_xlfn.XLOOKUP(1,('2016 E Maize Soil VWC'!$C$2:$C$4100=$AA217)*('2016 E Maize Soil VWC'!$E$2:$E$4100=$AB217)*('2016 E Maize Soil VWC'!$F$2:$F$4100=AL$5),'2016 E Maize Soil VWC'!$G$2:$G$4100)</f>
        <v>0.31563871505957625</v>
      </c>
      <c r="AM217" s="1" t="e" cm="1">
        <f t="array" ref="AM217">_xlfn.XLOOKUP(1,('2016 E Maize Soil VWC'!$C$2:$C$4100=$AA217)*('2016 E Maize Soil VWC'!$E$2:$E$4100=$AB217)*('2016 E Maize Soil VWC'!$F$2:$F$4100=AM$5),'2016 E Maize Soil VWC'!$G$2:$G$4100)</f>
        <v>#N/A</v>
      </c>
      <c r="AN217" s="1" t="e" cm="1">
        <f t="array" ref="AN217">_xlfn.XLOOKUP(1,('2016 E Maize Soil VWC'!$C$2:$C$4100=$AA217)*('2016 E Maize Soil VWC'!$E$2:$E$4100=$AB217)*('2016 E Maize Soil VWC'!$F$2:$F$4100=AN$5),'2016 E Maize Soil VWC'!$G$2:$G$4100)</f>
        <v>#N/A</v>
      </c>
      <c r="AO217" s="1" t="e" cm="1">
        <f t="array" ref="AO217">_xlfn.XLOOKUP(1,('2016 E Maize Soil VWC'!$C$2:$C$4100=$AA217)*('2016 E Maize Soil VWC'!$E$2:$E$4100=$AB217)*('2016 E Maize Soil VWC'!$F$2:$F$4100=AO$5),'2016 E Maize Soil VWC'!$G$2:$G$4100)</f>
        <v>#N/A</v>
      </c>
      <c r="AP217" s="1" t="e" cm="1">
        <f t="array" ref="AP217">_xlfn.XLOOKUP(1,('2016 E Maize Soil VWC'!$C$2:$C$4100=$AA217)*('2016 E Maize Soil VWC'!$E$2:$E$4100=$AB217)*('2016 E Maize Soil VWC'!$F$2:$F$4100=AP$5),'2016 E Maize Soil VWC'!$G$2:$G$4100)</f>
        <v>#N/A</v>
      </c>
      <c r="AQ217" s="1" t="e" cm="1">
        <f t="array" ref="AQ217">_xlfn.XLOOKUP(1,('2016 E Maize Soil VWC'!$C$2:$C$4100=$AA217)*('2016 E Maize Soil VWC'!$E$2:$E$4100=$AB217)*('2016 E Maize Soil VWC'!$F$2:$F$4100=AQ$5),'2016 E Maize Soil VWC'!$G$2:$G$4100)</f>
        <v>#N/A</v>
      </c>
      <c r="AR217" s="1" t="e" cm="1">
        <f t="array" ref="AR217">_xlfn.XLOOKUP(1,('2016 E Maize Soil VWC'!$C$2:$C$4100=$AA217)*('2016 E Maize Soil VWC'!$E$2:$E$4100=$AB217)*('2016 E Maize Soil VWC'!$F$2:$F$4100=AR$5),'2016 E Maize Soil VWC'!$G$2:$G$4100)</f>
        <v>#N/A</v>
      </c>
      <c r="AS217" s="1" t="e" cm="1">
        <f t="array" ref="AS217">_xlfn.XLOOKUP(1,('2016 E Maize Soil VWC'!$C$2:$C$4100=$AA217)*('2016 E Maize Soil VWC'!$E$2:$E$4100=$AB217)*('2016 E Maize Soil VWC'!$F$2:$F$4100=AS$5),'2016 E Maize Soil VWC'!$G$2:$G$4100)</f>
        <v>#N/A</v>
      </c>
      <c r="AT217" s="1" t="e" cm="1">
        <f t="array" ref="AT217">_xlfn.XLOOKUP(1,('2016 E Maize Soil VWC'!$C$2:$C$4100=$AA217)*('2016 E Maize Soil VWC'!$E$2:$E$4100=$AB217)*('2016 E Maize Soil VWC'!$F$2:$F$4100=AT$5),'2016 E Maize Soil VWC'!$G$2:$G$4100)</f>
        <v>#N/A</v>
      </c>
      <c r="AU217" s="1" t="e" cm="1">
        <f t="array" ref="AU217">_xlfn.XLOOKUP(1,('2016 E Maize Soil VWC'!$C$2:$C$4100=$AA217)*('2016 E Maize Soil VWC'!$E$2:$E$4100=$AB217)*('2016 E Maize Soil VWC'!$F$2:$F$4100=AU$5),'2016 E Maize Soil VWC'!$G$2:$G$4100)</f>
        <v>#N/A</v>
      </c>
      <c r="AV217" s="1" t="e" cm="1">
        <f t="array" ref="AV217">_xlfn.XLOOKUP(1,('2016 E Maize Soil VWC'!$C$2:$C$4100=$AA217)*('2016 E Maize Soil VWC'!$E$2:$E$4100=$AB217)*('2016 E Maize Soil VWC'!$F$2:$F$4100=AV$5),'2016 E Maize Soil VWC'!$G$2:$G$4100)</f>
        <v>#N/A</v>
      </c>
    </row>
    <row r="218" spans="25:64" x14ac:dyDescent="0.25">
      <c r="AA218" s="18">
        <f t="shared" si="35"/>
        <v>42671</v>
      </c>
      <c r="AB218" s="1">
        <f t="shared" si="36"/>
        <v>90</v>
      </c>
      <c r="AC218" s="1" cm="1">
        <f t="array" ref="AC218">_xlfn.XLOOKUP(1,('2016 E Maize Soil VWC'!$C$2:$C$4100=$AA218)*('2016 E Maize Soil VWC'!$E$2:$E$4100=$AB218)*('2016 E Maize Soil VWC'!$F$2:$F$4100=AC$5),'2016 E Maize Soil VWC'!$G$2:$G$4100)</f>
        <v>0.30153336075660131</v>
      </c>
      <c r="AD218" s="1" cm="1">
        <f t="array" ref="AD218">_xlfn.XLOOKUP(1,('2016 E Maize Soil VWC'!$C$2:$C$4100=$AA218)*('2016 E Maize Soil VWC'!$E$2:$E$4100=$AB218)*('2016 E Maize Soil VWC'!$F$2:$F$4100=AD$5),'2016 E Maize Soil VWC'!$G$2:$G$4100)</f>
        <v>0.3068915635275366</v>
      </c>
      <c r="AE218" s="1" cm="1">
        <f t="array" ref="AE218">_xlfn.XLOOKUP(1,('2016 E Maize Soil VWC'!$C$2:$C$4100=$AA218)*('2016 E Maize Soil VWC'!$E$2:$E$4100=$AB218)*('2016 E Maize Soil VWC'!$F$2:$F$4100=AE$5),'2016 E Maize Soil VWC'!$G$2:$G$4100)</f>
        <v>0.30897530904956699</v>
      </c>
      <c r="AF218" s="1" cm="1">
        <f t="array" ref="AF218">_xlfn.XLOOKUP(1,('2016 E Maize Soil VWC'!$C$2:$C$4100=$AA218)*('2016 E Maize Soil VWC'!$E$2:$E$4100=$AB218)*('2016 E Maize Soil VWC'!$F$2:$F$4100=AF$5),'2016 E Maize Soil VWC'!$G$2:$G$4100)</f>
        <v>0.29500734456123145</v>
      </c>
      <c r="AG218" s="1" cm="1">
        <f t="array" ref="AG218">_xlfn.XLOOKUP(1,('2016 E Maize Soil VWC'!$C$2:$C$4100=$AA218)*('2016 E Maize Soil VWC'!$E$2:$E$4100=$AB218)*('2016 E Maize Soil VWC'!$F$2:$F$4100=AG$5),'2016 E Maize Soil VWC'!$G$2:$G$4100)</f>
        <v>0.3238134090306185</v>
      </c>
      <c r="AH218" s="1" cm="1">
        <f t="array" ref="AH218">_xlfn.XLOOKUP(1,('2016 E Maize Soil VWC'!$C$2:$C$4100=$AA218)*('2016 E Maize Soil VWC'!$E$2:$E$4100=$AB218)*('2016 E Maize Soil VWC'!$F$2:$F$4100=AH$5),'2016 E Maize Soil VWC'!$G$2:$G$4100)</f>
        <v>0.31073847833743884</v>
      </c>
      <c r="AI218" s="1" cm="1">
        <f t="array" ref="AI218">_xlfn.XLOOKUP(1,('2016 E Maize Soil VWC'!$C$2:$C$4100=$AA218)*('2016 E Maize Soil VWC'!$E$2:$E$4100=$AB218)*('2016 E Maize Soil VWC'!$F$2:$F$4100=AI$5),'2016 E Maize Soil VWC'!$G$2:$G$4100)</f>
        <v>0.30647939408361852</v>
      </c>
      <c r="AJ218" s="1" cm="1">
        <f t="array" ref="AJ218">_xlfn.XLOOKUP(1,('2016 E Maize Soil VWC'!$C$2:$C$4100=$AA218)*('2016 E Maize Soil VWC'!$E$2:$E$4100=$AB218)*('2016 E Maize Soil VWC'!$F$2:$F$4100=AJ$5),'2016 E Maize Soil VWC'!$G$2:$G$4100)</f>
        <v>0.30299885211275457</v>
      </c>
      <c r="AK218" s="1" cm="1">
        <f t="array" ref="AK218">_xlfn.XLOOKUP(1,('2016 E Maize Soil VWC'!$C$2:$C$4100=$AA218)*('2016 E Maize Soil VWC'!$E$2:$E$4100=$AB218)*('2016 E Maize Soil VWC'!$F$2:$F$4100=AK$5),'2016 E Maize Soil VWC'!$G$2:$G$4100)</f>
        <v>0.30629620766409937</v>
      </c>
      <c r="AL218" s="1" cm="1">
        <f t="array" ref="AL218">_xlfn.XLOOKUP(1,('2016 E Maize Soil VWC'!$C$2:$C$4100=$AA218)*('2016 E Maize Soil VWC'!$E$2:$E$4100=$AB218)*('2016 E Maize Soil VWC'!$F$2:$F$4100=AL$5),'2016 E Maize Soil VWC'!$G$2:$G$4100)</f>
        <v>0.30451014007378757</v>
      </c>
      <c r="AM218" s="1" t="e" cm="1">
        <f t="array" ref="AM218">_xlfn.XLOOKUP(1,('2016 E Maize Soil VWC'!$C$2:$C$4100=$AA218)*('2016 E Maize Soil VWC'!$E$2:$E$4100=$AB218)*('2016 E Maize Soil VWC'!$F$2:$F$4100=AM$5),'2016 E Maize Soil VWC'!$G$2:$G$4100)</f>
        <v>#N/A</v>
      </c>
      <c r="AN218" s="1" t="e" cm="1">
        <f t="array" ref="AN218">_xlfn.XLOOKUP(1,('2016 E Maize Soil VWC'!$C$2:$C$4100=$AA218)*('2016 E Maize Soil VWC'!$E$2:$E$4100=$AB218)*('2016 E Maize Soil VWC'!$F$2:$F$4100=AN$5),'2016 E Maize Soil VWC'!$G$2:$G$4100)</f>
        <v>#N/A</v>
      </c>
      <c r="AO218" s="1" t="e" cm="1">
        <f t="array" ref="AO218">_xlfn.XLOOKUP(1,('2016 E Maize Soil VWC'!$C$2:$C$4100=$AA218)*('2016 E Maize Soil VWC'!$E$2:$E$4100=$AB218)*('2016 E Maize Soil VWC'!$F$2:$F$4100=AO$5),'2016 E Maize Soil VWC'!$G$2:$G$4100)</f>
        <v>#N/A</v>
      </c>
      <c r="AP218" s="1" t="e" cm="1">
        <f t="array" ref="AP218">_xlfn.XLOOKUP(1,('2016 E Maize Soil VWC'!$C$2:$C$4100=$AA218)*('2016 E Maize Soil VWC'!$E$2:$E$4100=$AB218)*('2016 E Maize Soil VWC'!$F$2:$F$4100=AP$5),'2016 E Maize Soil VWC'!$G$2:$G$4100)</f>
        <v>#N/A</v>
      </c>
      <c r="AQ218" s="1" t="e" cm="1">
        <f t="array" ref="AQ218">_xlfn.XLOOKUP(1,('2016 E Maize Soil VWC'!$C$2:$C$4100=$AA218)*('2016 E Maize Soil VWC'!$E$2:$E$4100=$AB218)*('2016 E Maize Soil VWC'!$F$2:$F$4100=AQ$5),'2016 E Maize Soil VWC'!$G$2:$G$4100)</f>
        <v>#N/A</v>
      </c>
      <c r="AR218" s="1" t="e" cm="1">
        <f t="array" ref="AR218">_xlfn.XLOOKUP(1,('2016 E Maize Soil VWC'!$C$2:$C$4100=$AA218)*('2016 E Maize Soil VWC'!$E$2:$E$4100=$AB218)*('2016 E Maize Soil VWC'!$F$2:$F$4100=AR$5),'2016 E Maize Soil VWC'!$G$2:$G$4100)</f>
        <v>#N/A</v>
      </c>
      <c r="AS218" s="1" t="e" cm="1">
        <f t="array" ref="AS218">_xlfn.XLOOKUP(1,('2016 E Maize Soil VWC'!$C$2:$C$4100=$AA218)*('2016 E Maize Soil VWC'!$E$2:$E$4100=$AB218)*('2016 E Maize Soil VWC'!$F$2:$F$4100=AS$5),'2016 E Maize Soil VWC'!$G$2:$G$4100)</f>
        <v>#N/A</v>
      </c>
      <c r="AT218" s="1" t="e" cm="1">
        <f t="array" ref="AT218">_xlfn.XLOOKUP(1,('2016 E Maize Soil VWC'!$C$2:$C$4100=$AA218)*('2016 E Maize Soil VWC'!$E$2:$E$4100=$AB218)*('2016 E Maize Soil VWC'!$F$2:$F$4100=AT$5),'2016 E Maize Soil VWC'!$G$2:$G$4100)</f>
        <v>#N/A</v>
      </c>
      <c r="AU218" s="1" t="e" cm="1">
        <f t="array" ref="AU218">_xlfn.XLOOKUP(1,('2016 E Maize Soil VWC'!$C$2:$C$4100=$AA218)*('2016 E Maize Soil VWC'!$E$2:$E$4100=$AB218)*('2016 E Maize Soil VWC'!$F$2:$F$4100=AU$5),'2016 E Maize Soil VWC'!$G$2:$G$4100)</f>
        <v>#N/A</v>
      </c>
      <c r="AV218" s="1" t="e" cm="1">
        <f t="array" ref="AV218">_xlfn.XLOOKUP(1,('2016 E Maize Soil VWC'!$C$2:$C$4100=$AA218)*('2016 E Maize Soil VWC'!$E$2:$E$4100=$AB218)*('2016 E Maize Soil VWC'!$F$2:$F$4100=AV$5),'2016 E Maize Soil VWC'!$G$2:$G$4100)</f>
        <v>#N/A</v>
      </c>
    </row>
    <row r="219" spans="25:64" x14ac:dyDescent="0.25">
      <c r="AA219" s="18">
        <f t="shared" si="35"/>
        <v>42671</v>
      </c>
      <c r="AB219" s="1">
        <f t="shared" si="36"/>
        <v>110</v>
      </c>
      <c r="AC219" s="1" cm="1">
        <f t="array" ref="AC219">_xlfn.XLOOKUP(1,('2016 E Maize Soil VWC'!$C$2:$C$4100=$AA219)*('2016 E Maize Soil VWC'!$E$2:$E$4100=$AB219)*('2016 E Maize Soil VWC'!$F$2:$F$4100=AC$5),'2016 E Maize Soil VWC'!$G$2:$G$4100)</f>
        <v>0.31834071474748377</v>
      </c>
      <c r="AD219" s="1" cm="1">
        <f t="array" ref="AD219">_xlfn.XLOOKUP(1,('2016 E Maize Soil VWC'!$C$2:$C$4100=$AA219)*('2016 E Maize Soil VWC'!$E$2:$E$4100=$AB219)*('2016 E Maize Soil VWC'!$F$2:$F$4100=AD$5),'2016 E Maize Soil VWC'!$G$2:$G$4100)</f>
        <v>0.31476857956686022</v>
      </c>
      <c r="AE219" s="1" cm="1">
        <f t="array" ref="AE219">_xlfn.XLOOKUP(1,('2016 E Maize Soil VWC'!$C$2:$C$4100=$AA219)*('2016 E Maize Soil VWC'!$E$2:$E$4100=$AB219)*('2016 E Maize Soil VWC'!$F$2:$F$4100=AE$5),'2016 E Maize Soil VWC'!$G$2:$G$4100)</f>
        <v>0.31263903743995008</v>
      </c>
      <c r="AF219" s="1" cm="1">
        <f t="array" ref="AF219">_xlfn.XLOOKUP(1,('2016 E Maize Soil VWC'!$C$2:$C$4100=$AA219)*('2016 E Maize Soil VWC'!$E$2:$E$4100=$AB219)*('2016 E Maize Soil VWC'!$F$2:$F$4100=AF$5),'2016 E Maize Soil VWC'!$G$2:$G$4100)</f>
        <v>0.30810517355685102</v>
      </c>
      <c r="AG219" s="1" cm="1">
        <f t="array" ref="AG219">_xlfn.XLOOKUP(1,('2016 E Maize Soil VWC'!$C$2:$C$4100=$AA219)*('2016 E Maize Soil VWC'!$E$2:$E$4100=$AB219)*('2016 E Maize Soil VWC'!$F$2:$F$4100=AG$5),'2016 E Maize Soil VWC'!$G$2:$G$4100)</f>
        <v>0.32786640856247984</v>
      </c>
      <c r="AH219" s="1" cm="1">
        <f t="array" ref="AH219">_xlfn.XLOOKUP(1,('2016 E Maize Soil VWC'!$C$2:$C$4100=$AA219)*('2016 E Maize Soil VWC'!$E$2:$E$4100=$AB219)*('2016 E Maize Soil VWC'!$F$2:$F$4100=AH$5),'2016 E Maize Soil VWC'!$G$2:$G$4100)</f>
        <v>0.3122039696935921</v>
      </c>
      <c r="AI219" s="1" cm="1">
        <f t="array" ref="AI219">_xlfn.XLOOKUP(1,('2016 E Maize Soil VWC'!$C$2:$C$4100=$AA219)*('2016 E Maize Soil VWC'!$E$2:$E$4100=$AB219)*('2016 E Maize Soil VWC'!$F$2:$F$4100=AI$5),'2016 E Maize Soil VWC'!$G$2:$G$4100)</f>
        <v>0.31916505363531994</v>
      </c>
      <c r="AJ219" s="1" cm="1">
        <f t="array" ref="AJ219">_xlfn.XLOOKUP(1,('2016 E Maize Soil VWC'!$C$2:$C$4100=$AA219)*('2016 E Maize Soil VWC'!$E$2:$E$4100=$AB219)*('2016 E Maize Soil VWC'!$F$2:$F$4100=AJ$5),'2016 E Maize Soil VWC'!$G$2:$G$4100)</f>
        <v>0.32344703619158022</v>
      </c>
      <c r="AK219" s="1" cm="1">
        <f t="array" ref="AK219">_xlfn.XLOOKUP(1,('2016 E Maize Soil VWC'!$C$2:$C$4100=$AA219)*('2016 E Maize Soil VWC'!$E$2:$E$4100=$AB219)*('2016 E Maize Soil VWC'!$F$2:$F$4100=AK$5),'2016 E Maize Soil VWC'!$G$2:$G$4100)</f>
        <v>0.31859259607432261</v>
      </c>
      <c r="AL219" s="1" cm="1">
        <f t="array" ref="AL219">_xlfn.XLOOKUP(1,('2016 E Maize Soil VWC'!$C$2:$C$4100=$AA219)*('2016 E Maize Soil VWC'!$E$2:$E$4100=$AB219)*('2016 E Maize Soil VWC'!$F$2:$F$4100=AL$5),'2016 E Maize Soil VWC'!$G$2:$G$4100)</f>
        <v>0.31605088450349433</v>
      </c>
      <c r="AM219" s="1" t="e" cm="1">
        <f t="array" ref="AM219">_xlfn.XLOOKUP(1,('2016 E Maize Soil VWC'!$C$2:$C$4100=$AA219)*('2016 E Maize Soil VWC'!$E$2:$E$4100=$AB219)*('2016 E Maize Soil VWC'!$F$2:$F$4100=AM$5),'2016 E Maize Soil VWC'!$G$2:$G$4100)</f>
        <v>#N/A</v>
      </c>
      <c r="AN219" s="1" t="e" cm="1">
        <f t="array" ref="AN219">_xlfn.XLOOKUP(1,('2016 E Maize Soil VWC'!$C$2:$C$4100=$AA219)*('2016 E Maize Soil VWC'!$E$2:$E$4100=$AB219)*('2016 E Maize Soil VWC'!$F$2:$F$4100=AN$5),'2016 E Maize Soil VWC'!$G$2:$G$4100)</f>
        <v>#N/A</v>
      </c>
      <c r="AO219" s="1" t="e" cm="1">
        <f t="array" ref="AO219">_xlfn.XLOOKUP(1,('2016 E Maize Soil VWC'!$C$2:$C$4100=$AA219)*('2016 E Maize Soil VWC'!$E$2:$E$4100=$AB219)*('2016 E Maize Soil VWC'!$F$2:$F$4100=AO$5),'2016 E Maize Soil VWC'!$G$2:$G$4100)</f>
        <v>#N/A</v>
      </c>
      <c r="AP219" s="1" t="e" cm="1">
        <f t="array" ref="AP219">_xlfn.XLOOKUP(1,('2016 E Maize Soil VWC'!$C$2:$C$4100=$AA219)*('2016 E Maize Soil VWC'!$E$2:$E$4100=$AB219)*('2016 E Maize Soil VWC'!$F$2:$F$4100=AP$5),'2016 E Maize Soil VWC'!$G$2:$G$4100)</f>
        <v>#N/A</v>
      </c>
      <c r="AQ219" s="1" t="e" cm="1">
        <f t="array" ref="AQ219">_xlfn.XLOOKUP(1,('2016 E Maize Soil VWC'!$C$2:$C$4100=$AA219)*('2016 E Maize Soil VWC'!$E$2:$E$4100=$AB219)*('2016 E Maize Soil VWC'!$F$2:$F$4100=AQ$5),'2016 E Maize Soil VWC'!$G$2:$G$4100)</f>
        <v>#N/A</v>
      </c>
      <c r="AR219" s="1" t="e" cm="1">
        <f t="array" ref="AR219">_xlfn.XLOOKUP(1,('2016 E Maize Soil VWC'!$C$2:$C$4100=$AA219)*('2016 E Maize Soil VWC'!$E$2:$E$4100=$AB219)*('2016 E Maize Soil VWC'!$F$2:$F$4100=AR$5),'2016 E Maize Soil VWC'!$G$2:$G$4100)</f>
        <v>#N/A</v>
      </c>
      <c r="AS219" s="1" t="e" cm="1">
        <f t="array" ref="AS219">_xlfn.XLOOKUP(1,('2016 E Maize Soil VWC'!$C$2:$C$4100=$AA219)*('2016 E Maize Soil VWC'!$E$2:$E$4100=$AB219)*('2016 E Maize Soil VWC'!$F$2:$F$4100=AS$5),'2016 E Maize Soil VWC'!$G$2:$G$4100)</f>
        <v>#N/A</v>
      </c>
      <c r="AT219" s="1" t="e" cm="1">
        <f t="array" ref="AT219">_xlfn.XLOOKUP(1,('2016 E Maize Soil VWC'!$C$2:$C$4100=$AA219)*('2016 E Maize Soil VWC'!$E$2:$E$4100=$AB219)*('2016 E Maize Soil VWC'!$F$2:$F$4100=AT$5),'2016 E Maize Soil VWC'!$G$2:$G$4100)</f>
        <v>#N/A</v>
      </c>
      <c r="AU219" s="1" t="e" cm="1">
        <f t="array" ref="AU219">_xlfn.XLOOKUP(1,('2016 E Maize Soil VWC'!$C$2:$C$4100=$AA219)*('2016 E Maize Soil VWC'!$E$2:$E$4100=$AB219)*('2016 E Maize Soil VWC'!$F$2:$F$4100=AU$5),'2016 E Maize Soil VWC'!$G$2:$G$4100)</f>
        <v>#N/A</v>
      </c>
      <c r="AV219" s="1" t="e" cm="1">
        <f t="array" ref="AV219">_xlfn.XLOOKUP(1,('2016 E Maize Soil VWC'!$C$2:$C$4100=$AA219)*('2016 E Maize Soil VWC'!$E$2:$E$4100=$AB219)*('2016 E Maize Soil VWC'!$F$2:$F$4100=AV$5),'2016 E Maize Soil VWC'!$G$2:$G$4100)</f>
        <v>#N/A</v>
      </c>
    </row>
    <row r="220" spans="25:64" x14ac:dyDescent="0.25">
      <c r="AA220" s="18">
        <f t="shared" si="35"/>
        <v>42671</v>
      </c>
      <c r="AB220" s="1">
        <f t="shared" si="36"/>
        <v>130</v>
      </c>
      <c r="AC220" s="1" cm="1">
        <f t="array" ref="AC220">_xlfn.XLOOKUP(1,('2016 E Maize Soil VWC'!$C$2:$C$4100=$AA220)*('2016 E Maize Soil VWC'!$E$2:$E$4100=$AB220)*('2016 E Maize Soil VWC'!$F$2:$F$4100=AC$5),'2016 E Maize Soil VWC'!$G$2:$G$4100)</f>
        <v>0.30116572375358075</v>
      </c>
      <c r="AD220" s="1" cm="1">
        <f t="array" ref="AD220">_xlfn.XLOOKUP(1,('2016 E Maize Soil VWC'!$C$2:$C$4100=$AA220)*('2016 E Maize Soil VWC'!$E$2:$E$4100=$AB220)*('2016 E Maize Soil VWC'!$F$2:$F$4100=AD$5),'2016 E Maize Soil VWC'!$G$2:$G$4100)</f>
        <v>0.29028506542795685</v>
      </c>
      <c r="AE220" s="1" cm="1">
        <f t="array" ref="AE220">_xlfn.XLOOKUP(1,('2016 E Maize Soil VWC'!$C$2:$C$4100=$AA220)*('2016 E Maize Soil VWC'!$E$2:$E$4100=$AB220)*('2016 E Maize Soil VWC'!$F$2:$F$4100=AE$5),'2016 E Maize Soil VWC'!$G$2:$G$4100)</f>
        <v>0.29147240023629861</v>
      </c>
      <c r="AF220" s="1" cm="1">
        <f t="array" ref="AF220">_xlfn.XLOOKUP(1,('2016 E Maize Soil VWC'!$C$2:$C$4100=$AA220)*('2016 E Maize Soil VWC'!$E$2:$E$4100=$AB220)*('2016 E Maize Soil VWC'!$F$2:$F$4100=AF$5),'2016 E Maize Soil VWC'!$G$2:$G$4100)</f>
        <v>0.28974005928642294</v>
      </c>
      <c r="AG220" s="1" cm="1">
        <f t="array" ref="AG220">_xlfn.XLOOKUP(1,('2016 E Maize Soil VWC'!$C$2:$C$4100=$AA220)*('2016 E Maize Soil VWC'!$E$2:$E$4100=$AB220)*('2016 E Maize Soil VWC'!$F$2:$F$4100=AG$5),'2016 E Maize Soil VWC'!$G$2:$G$4100)</f>
        <v>0.3048445152089348</v>
      </c>
      <c r="AH220" s="1" cm="1">
        <f t="array" ref="AH220">_xlfn.XLOOKUP(1,('2016 E Maize Soil VWC'!$C$2:$C$4100=$AA220)*('2016 E Maize Soil VWC'!$E$2:$E$4100=$AB220)*('2016 E Maize Soil VWC'!$F$2:$F$4100=AH$5),'2016 E Maize Soil VWC'!$G$2:$G$4100)</f>
        <v>0.30137983330918339</v>
      </c>
      <c r="AI220" s="1" cm="1">
        <f t="array" ref="AI220">_xlfn.XLOOKUP(1,('2016 E Maize Soil VWC'!$C$2:$C$4100=$AA220)*('2016 E Maize Soil VWC'!$E$2:$E$4100=$AB220)*('2016 E Maize Soil VWC'!$F$2:$F$4100=AI$5),'2016 E Maize Soil VWC'!$G$2:$G$4100)</f>
        <v>0.29721442922745972</v>
      </c>
      <c r="AJ220" s="1" cm="1">
        <f t="array" ref="AJ220">_xlfn.XLOOKUP(1,('2016 E Maize Soil VWC'!$C$2:$C$4100=$AA220)*('2016 E Maize Soil VWC'!$E$2:$E$4100=$AB220)*('2016 E Maize Soil VWC'!$F$2:$F$4100=AJ$5),'2016 E Maize Soil VWC'!$G$2:$G$4100)</f>
        <v>0.30957438993724717</v>
      </c>
      <c r="AK220" s="1" cm="1">
        <f t="array" ref="AK220">_xlfn.XLOOKUP(1,('2016 E Maize Soil VWC'!$C$2:$C$4100=$AA220)*('2016 E Maize Soil VWC'!$E$2:$E$4100=$AB220)*('2016 E Maize Soil VWC'!$F$2:$F$4100=AK$5),'2016 E Maize Soil VWC'!$G$2:$G$4100)</f>
        <v>0.28892255007412199</v>
      </c>
      <c r="AL220" s="1" cm="1">
        <f t="array" ref="AL220">_xlfn.XLOOKUP(1,('2016 E Maize Soil VWC'!$C$2:$C$4100=$AA220)*('2016 E Maize Soil VWC'!$E$2:$E$4100=$AB220)*('2016 E Maize Soil VWC'!$F$2:$F$4100=AL$5),'2016 E Maize Soil VWC'!$G$2:$G$4100)</f>
        <v>0.29873266062173282</v>
      </c>
      <c r="AM220" s="1" t="e" cm="1">
        <f t="array" ref="AM220">_xlfn.XLOOKUP(1,('2016 E Maize Soil VWC'!$C$2:$C$4100=$AA220)*('2016 E Maize Soil VWC'!$E$2:$E$4100=$AB220)*('2016 E Maize Soil VWC'!$F$2:$F$4100=AM$5),'2016 E Maize Soil VWC'!$G$2:$G$4100)</f>
        <v>#N/A</v>
      </c>
      <c r="AN220" s="1" t="e" cm="1">
        <f t="array" ref="AN220">_xlfn.XLOOKUP(1,('2016 E Maize Soil VWC'!$C$2:$C$4100=$AA220)*('2016 E Maize Soil VWC'!$E$2:$E$4100=$AB220)*('2016 E Maize Soil VWC'!$F$2:$F$4100=AN$5),'2016 E Maize Soil VWC'!$G$2:$G$4100)</f>
        <v>#N/A</v>
      </c>
      <c r="AO220" s="1" t="e" cm="1">
        <f t="array" ref="AO220">_xlfn.XLOOKUP(1,('2016 E Maize Soil VWC'!$C$2:$C$4100=$AA220)*('2016 E Maize Soil VWC'!$E$2:$E$4100=$AB220)*('2016 E Maize Soil VWC'!$F$2:$F$4100=AO$5),'2016 E Maize Soil VWC'!$G$2:$G$4100)</f>
        <v>#N/A</v>
      </c>
      <c r="AP220" s="1" t="e" cm="1">
        <f t="array" ref="AP220">_xlfn.XLOOKUP(1,('2016 E Maize Soil VWC'!$C$2:$C$4100=$AA220)*('2016 E Maize Soil VWC'!$E$2:$E$4100=$AB220)*('2016 E Maize Soil VWC'!$F$2:$F$4100=AP$5),'2016 E Maize Soil VWC'!$G$2:$G$4100)</f>
        <v>#N/A</v>
      </c>
      <c r="AQ220" s="1" t="e" cm="1">
        <f t="array" ref="AQ220">_xlfn.XLOOKUP(1,('2016 E Maize Soil VWC'!$C$2:$C$4100=$AA220)*('2016 E Maize Soil VWC'!$E$2:$E$4100=$AB220)*('2016 E Maize Soil VWC'!$F$2:$F$4100=AQ$5),'2016 E Maize Soil VWC'!$G$2:$G$4100)</f>
        <v>#N/A</v>
      </c>
      <c r="AR220" s="1" t="e" cm="1">
        <f t="array" ref="AR220">_xlfn.XLOOKUP(1,('2016 E Maize Soil VWC'!$C$2:$C$4100=$AA220)*('2016 E Maize Soil VWC'!$E$2:$E$4100=$AB220)*('2016 E Maize Soil VWC'!$F$2:$F$4100=AR$5),'2016 E Maize Soil VWC'!$G$2:$G$4100)</f>
        <v>#N/A</v>
      </c>
      <c r="AS220" s="1" t="e" cm="1">
        <f t="array" ref="AS220">_xlfn.XLOOKUP(1,('2016 E Maize Soil VWC'!$C$2:$C$4100=$AA220)*('2016 E Maize Soil VWC'!$E$2:$E$4100=$AB220)*('2016 E Maize Soil VWC'!$F$2:$F$4100=AS$5),'2016 E Maize Soil VWC'!$G$2:$G$4100)</f>
        <v>#N/A</v>
      </c>
      <c r="AT220" s="1" t="e" cm="1">
        <f t="array" ref="AT220">_xlfn.XLOOKUP(1,('2016 E Maize Soil VWC'!$C$2:$C$4100=$AA220)*('2016 E Maize Soil VWC'!$E$2:$E$4100=$AB220)*('2016 E Maize Soil VWC'!$F$2:$F$4100=AT$5),'2016 E Maize Soil VWC'!$G$2:$G$4100)</f>
        <v>#N/A</v>
      </c>
      <c r="AU220" s="1" t="e" cm="1">
        <f t="array" ref="AU220">_xlfn.XLOOKUP(1,('2016 E Maize Soil VWC'!$C$2:$C$4100=$AA220)*('2016 E Maize Soil VWC'!$E$2:$E$4100=$AB220)*('2016 E Maize Soil VWC'!$F$2:$F$4100=AU$5),'2016 E Maize Soil VWC'!$G$2:$G$4100)</f>
        <v>#N/A</v>
      </c>
      <c r="AV220" s="1" t="e" cm="1">
        <f t="array" ref="AV220">_xlfn.XLOOKUP(1,('2016 E Maize Soil VWC'!$C$2:$C$4100=$AA220)*('2016 E Maize Soil VWC'!$E$2:$E$4100=$AB220)*('2016 E Maize Soil VWC'!$F$2:$F$4100=AV$5),'2016 E Maize Soil VWC'!$G$2:$G$4100)</f>
        <v>#N/A</v>
      </c>
    </row>
    <row r="221" spans="25:64" x14ac:dyDescent="0.25">
      <c r="AA221" s="18">
        <f t="shared" si="35"/>
        <v>42671</v>
      </c>
      <c r="AB221" s="1">
        <f t="shared" si="36"/>
        <v>150</v>
      </c>
      <c r="AC221" s="1" cm="1">
        <f t="array" ref="AC221">_xlfn.XLOOKUP(1,('2016 E Maize Soil VWC'!$C$2:$C$4100=$AA221)*('2016 E Maize Soil VWC'!$E$2:$E$4100=$AB221)*('2016 E Maize Soil VWC'!$F$2:$F$4100=AC$5),'2016 E Maize Soil VWC'!$G$2:$G$4100)</f>
        <v>0.31780787557542051</v>
      </c>
      <c r="AD221" s="1" cm="1">
        <f t="array" ref="AD221">_xlfn.XLOOKUP(1,('2016 E Maize Soil VWC'!$C$2:$C$4100=$AA221)*('2016 E Maize Soil VWC'!$E$2:$E$4100=$AB221)*('2016 E Maize Soil VWC'!$F$2:$F$4100=AD$5),'2016 E Maize Soil VWC'!$G$2:$G$4100)</f>
        <v>0.31453783872621693</v>
      </c>
      <c r="AE221" s="1" cm="1">
        <f t="array" ref="AE221">_xlfn.XLOOKUP(1,('2016 E Maize Soil VWC'!$C$2:$C$4100=$AA221)*('2016 E Maize Soil VWC'!$E$2:$E$4100=$AB221)*('2016 E Maize Soil VWC'!$F$2:$F$4100=AE$5),'2016 E Maize Soil VWC'!$G$2:$G$4100)</f>
        <v>0.29104418112509339</v>
      </c>
      <c r="AF221" s="1" cm="1">
        <f t="array" ref="AF221">_xlfn.XLOOKUP(1,('2016 E Maize Soil VWC'!$C$2:$C$4100=$AA221)*('2016 E Maize Soil VWC'!$E$2:$E$4100=$AB221)*('2016 E Maize Soil VWC'!$F$2:$F$4100=AF$5),'2016 E Maize Soil VWC'!$G$2:$G$4100)</f>
        <v>0.27008090918109168</v>
      </c>
      <c r="AG221" s="1" cm="1">
        <f t="array" ref="AG221">_xlfn.XLOOKUP(1,('2016 E Maize Soil VWC'!$C$2:$C$4100=$AA221)*('2016 E Maize Soil VWC'!$E$2:$E$4100=$AB221)*('2016 E Maize Soil VWC'!$F$2:$F$4100=AG$5),'2016 E Maize Soil VWC'!$G$2:$G$4100)</f>
        <v>0.35418703552281067</v>
      </c>
      <c r="AH221" s="1" cm="1">
        <f t="array" ref="AH221">_xlfn.XLOOKUP(1,('2016 E Maize Soil VWC'!$C$2:$C$4100=$AA221)*('2016 E Maize Soil VWC'!$E$2:$E$4100=$AB221)*('2016 E Maize Soil VWC'!$F$2:$F$4100=AH$5),'2016 E Maize Soil VWC'!$G$2:$G$4100)</f>
        <v>0.34297548061125543</v>
      </c>
      <c r="AI221" s="1" cm="1">
        <f t="array" ref="AI221">_xlfn.XLOOKUP(1,('2016 E Maize Soil VWC'!$C$2:$C$4100=$AA221)*('2016 E Maize Soil VWC'!$E$2:$E$4100=$AB221)*('2016 E Maize Soil VWC'!$F$2:$F$4100=AI$5),'2016 E Maize Soil VWC'!$G$2:$G$4100)</f>
        <v>0.3135062199583134</v>
      </c>
      <c r="AJ221" s="1" cm="1">
        <f t="array" ref="AJ221">_xlfn.XLOOKUP(1,('2016 E Maize Soil VWC'!$C$2:$C$4100=$AA221)*('2016 E Maize Soil VWC'!$E$2:$E$4100=$AB221)*('2016 E Maize Soil VWC'!$F$2:$F$4100=AJ$5),'2016 E Maize Soil VWC'!$G$2:$G$4100)</f>
        <v>0.32972015266894794</v>
      </c>
      <c r="AK221" s="1" cm="1">
        <f t="array" ref="AK221">_xlfn.XLOOKUP(1,('2016 E Maize Soil VWC'!$C$2:$C$4100=$AA221)*('2016 E Maize Soil VWC'!$E$2:$E$4100=$AB221)*('2016 E Maize Soil VWC'!$F$2:$F$4100=AK$5),'2016 E Maize Soil VWC'!$G$2:$G$4100)</f>
        <v>0.3143626581807239</v>
      </c>
      <c r="AL221" s="1" cm="1">
        <f t="array" ref="AL221">_xlfn.XLOOKUP(1,('2016 E Maize Soil VWC'!$C$2:$C$4100=$AA221)*('2016 E Maize Soil VWC'!$E$2:$E$4100=$AB221)*('2016 E Maize Soil VWC'!$F$2:$F$4100=AL$5),'2016 E Maize Soil VWC'!$G$2:$G$4100)</f>
        <v>0.32080540935385715</v>
      </c>
      <c r="AM221" s="1" t="e" cm="1">
        <f t="array" ref="AM221">_xlfn.XLOOKUP(1,('2016 E Maize Soil VWC'!$C$2:$C$4100=$AA221)*('2016 E Maize Soil VWC'!$E$2:$E$4100=$AB221)*('2016 E Maize Soil VWC'!$F$2:$F$4100=AM$5),'2016 E Maize Soil VWC'!$G$2:$G$4100)</f>
        <v>#N/A</v>
      </c>
      <c r="AN221" s="1" t="e" cm="1">
        <f t="array" ref="AN221">_xlfn.XLOOKUP(1,('2016 E Maize Soil VWC'!$C$2:$C$4100=$AA221)*('2016 E Maize Soil VWC'!$E$2:$E$4100=$AB221)*('2016 E Maize Soil VWC'!$F$2:$F$4100=AN$5),'2016 E Maize Soil VWC'!$G$2:$G$4100)</f>
        <v>#N/A</v>
      </c>
      <c r="AO221" s="1" t="e" cm="1">
        <f t="array" ref="AO221">_xlfn.XLOOKUP(1,('2016 E Maize Soil VWC'!$C$2:$C$4100=$AA221)*('2016 E Maize Soil VWC'!$E$2:$E$4100=$AB221)*('2016 E Maize Soil VWC'!$F$2:$F$4100=AO$5),'2016 E Maize Soil VWC'!$G$2:$G$4100)</f>
        <v>#N/A</v>
      </c>
      <c r="AP221" s="1" t="e" cm="1">
        <f t="array" ref="AP221">_xlfn.XLOOKUP(1,('2016 E Maize Soil VWC'!$C$2:$C$4100=$AA221)*('2016 E Maize Soil VWC'!$E$2:$E$4100=$AB221)*('2016 E Maize Soil VWC'!$F$2:$F$4100=AP$5),'2016 E Maize Soil VWC'!$G$2:$G$4100)</f>
        <v>#N/A</v>
      </c>
      <c r="AQ221" s="1" t="e" cm="1">
        <f t="array" ref="AQ221">_xlfn.XLOOKUP(1,('2016 E Maize Soil VWC'!$C$2:$C$4100=$AA221)*('2016 E Maize Soil VWC'!$E$2:$E$4100=$AB221)*('2016 E Maize Soil VWC'!$F$2:$F$4100=AQ$5),'2016 E Maize Soil VWC'!$G$2:$G$4100)</f>
        <v>#N/A</v>
      </c>
      <c r="AR221" s="1" t="e" cm="1">
        <f t="array" ref="AR221">_xlfn.XLOOKUP(1,('2016 E Maize Soil VWC'!$C$2:$C$4100=$AA221)*('2016 E Maize Soil VWC'!$E$2:$E$4100=$AB221)*('2016 E Maize Soil VWC'!$F$2:$F$4100=AR$5),'2016 E Maize Soil VWC'!$G$2:$G$4100)</f>
        <v>#N/A</v>
      </c>
      <c r="AS221" s="1" t="e" cm="1">
        <f t="array" ref="AS221">_xlfn.XLOOKUP(1,('2016 E Maize Soil VWC'!$C$2:$C$4100=$AA221)*('2016 E Maize Soil VWC'!$E$2:$E$4100=$AB221)*('2016 E Maize Soil VWC'!$F$2:$F$4100=AS$5),'2016 E Maize Soil VWC'!$G$2:$G$4100)</f>
        <v>#N/A</v>
      </c>
      <c r="AT221" s="1" t="e" cm="1">
        <f t="array" ref="AT221">_xlfn.XLOOKUP(1,('2016 E Maize Soil VWC'!$C$2:$C$4100=$AA221)*('2016 E Maize Soil VWC'!$E$2:$E$4100=$AB221)*('2016 E Maize Soil VWC'!$F$2:$F$4100=AT$5),'2016 E Maize Soil VWC'!$G$2:$G$4100)</f>
        <v>#N/A</v>
      </c>
      <c r="AU221" s="1" t="e" cm="1">
        <f t="array" ref="AU221">_xlfn.XLOOKUP(1,('2016 E Maize Soil VWC'!$C$2:$C$4100=$AA221)*('2016 E Maize Soil VWC'!$E$2:$E$4100=$AB221)*('2016 E Maize Soil VWC'!$F$2:$F$4100=AU$5),'2016 E Maize Soil VWC'!$G$2:$G$4100)</f>
        <v>#N/A</v>
      </c>
      <c r="AV221" s="1" t="e" cm="1">
        <f t="array" ref="AV221">_xlfn.XLOOKUP(1,('2016 E Maize Soil VWC'!$C$2:$C$4100=$AA221)*('2016 E Maize Soil VWC'!$E$2:$E$4100=$AB221)*('2016 E Maize Soil VWC'!$F$2:$F$4100=AV$5),'2016 E Maize Soil VWC'!$G$2:$G$4100)</f>
        <v>#N/A</v>
      </c>
    </row>
    <row r="222" spans="25:64" x14ac:dyDescent="0.25">
      <c r="AA222" s="18">
        <f t="shared" si="35"/>
        <v>42671</v>
      </c>
      <c r="AB222" s="1">
        <f t="shared" si="36"/>
        <v>170</v>
      </c>
      <c r="AC222" s="1" cm="1">
        <f t="array" ref="AC222">_xlfn.XLOOKUP(1,('2016 E Maize Soil VWC'!$C$2:$C$4100=$AA222)*('2016 E Maize Soil VWC'!$E$2:$E$4100=$AB222)*('2016 E Maize Soil VWC'!$F$2:$F$4100=AC$5),'2016 E Maize Soil VWC'!$G$2:$G$4100)</f>
        <v>0.25487913073330587</v>
      </c>
      <c r="AD222" s="1" cm="1">
        <f t="array" ref="AD222">_xlfn.XLOOKUP(1,('2016 E Maize Soil VWC'!$C$2:$C$4100=$AA222)*('2016 E Maize Soil VWC'!$E$2:$E$4100=$AB222)*('2016 E Maize Soil VWC'!$F$2:$F$4100=AD$5),'2016 E Maize Soil VWC'!$G$2:$G$4100)</f>
        <v>0.2543535890968267</v>
      </c>
      <c r="AE222" s="1" cm="1">
        <f t="array" ref="AE222">_xlfn.XLOOKUP(1,('2016 E Maize Soil VWC'!$C$2:$C$4100=$AA222)*('2016 E Maize Soil VWC'!$E$2:$E$4100=$AB222)*('2016 E Maize Soil VWC'!$F$2:$F$4100=AE$5),'2016 E Maize Soil VWC'!$G$2:$G$4100)</f>
        <v>0.26285957780576708</v>
      </c>
      <c r="AF222" s="1" cm="1">
        <f t="array" ref="AF222">_xlfn.XLOOKUP(1,('2016 E Maize Soil VWC'!$C$2:$C$4100=$AA222)*('2016 E Maize Soil VWC'!$E$2:$E$4100=$AB222)*('2016 E Maize Soil VWC'!$F$2:$F$4100=AF$5),'2016 E Maize Soil VWC'!$G$2:$G$4100)</f>
        <v>0.27159914057536477</v>
      </c>
      <c r="AG222" s="1" cm="1">
        <f t="array" ref="AG222">_xlfn.XLOOKUP(1,('2016 E Maize Soil VWC'!$C$2:$C$4100=$AA222)*('2016 E Maize Soil VWC'!$E$2:$E$4100=$AB222)*('2016 E Maize Soil VWC'!$F$2:$F$4100=AG$5),'2016 E Maize Soil VWC'!$G$2:$G$4100)</f>
        <v>0.32275185985933552</v>
      </c>
      <c r="AH222" s="1" cm="1">
        <f t="array" ref="AH222">_xlfn.XLOOKUP(1,('2016 E Maize Soil VWC'!$C$2:$C$4100=$AA222)*('2016 E Maize Soil VWC'!$E$2:$E$4100=$AB222)*('2016 E Maize Soil VWC'!$F$2:$F$4100=AH$5),'2016 E Maize Soil VWC'!$G$2:$G$4100)</f>
        <v>0.32419223323338947</v>
      </c>
      <c r="AI222" s="1" cm="1">
        <f t="array" ref="AI222">_xlfn.XLOOKUP(1,('2016 E Maize Soil VWC'!$C$2:$C$4100=$AA222)*('2016 E Maize Soil VWC'!$E$2:$E$4100=$AB222)*('2016 E Maize Soil VWC'!$F$2:$F$4100=AI$5),'2016 E Maize Soil VWC'!$G$2:$G$4100)</f>
        <v>0.28395910128515228</v>
      </c>
      <c r="AJ222" s="1" cm="1">
        <f t="array" ref="AJ222">_xlfn.XLOOKUP(1,('2016 E Maize Soil VWC'!$C$2:$C$4100=$AA222)*('2016 E Maize Soil VWC'!$E$2:$E$4100=$AB222)*('2016 E Maize Soil VWC'!$F$2:$F$4100=AJ$5),'2016 E Maize Soil VWC'!$G$2:$G$4100)</f>
        <v>0.29390546336814655</v>
      </c>
      <c r="AK222" s="1" cm="1">
        <f t="array" ref="AK222">_xlfn.XLOOKUP(1,('2016 E Maize Soil VWC'!$C$2:$C$4100=$AA222)*('2016 E Maize Soil VWC'!$E$2:$E$4100=$AB222)*('2016 E Maize Soil VWC'!$F$2:$F$4100=AK$5),'2016 E Maize Soil VWC'!$G$2:$G$4100)</f>
        <v>0.2850101845581105</v>
      </c>
      <c r="AL222" s="1" cm="1">
        <f t="array" ref="AL222">_xlfn.XLOOKUP(1,('2016 E Maize Soil VWC'!$C$2:$C$4100=$AA222)*('2016 E Maize Soil VWC'!$E$2:$E$4100=$AB222)*('2016 E Maize Soil VWC'!$F$2:$F$4100=AL$5),'2016 E Maize Soil VWC'!$G$2:$G$4100)</f>
        <v>0.29413903742880393</v>
      </c>
      <c r="AM222" s="1" t="e" cm="1">
        <f t="array" ref="AM222">_xlfn.XLOOKUP(1,('2016 E Maize Soil VWC'!$C$2:$C$4100=$AA222)*('2016 E Maize Soil VWC'!$E$2:$E$4100=$AB222)*('2016 E Maize Soil VWC'!$F$2:$F$4100=AM$5),'2016 E Maize Soil VWC'!$G$2:$G$4100)</f>
        <v>#N/A</v>
      </c>
      <c r="AN222" s="1" t="e" cm="1">
        <f t="array" ref="AN222">_xlfn.XLOOKUP(1,('2016 E Maize Soil VWC'!$C$2:$C$4100=$AA222)*('2016 E Maize Soil VWC'!$E$2:$E$4100=$AB222)*('2016 E Maize Soil VWC'!$F$2:$F$4100=AN$5),'2016 E Maize Soil VWC'!$G$2:$G$4100)</f>
        <v>#N/A</v>
      </c>
      <c r="AO222" s="1" t="e" cm="1">
        <f t="array" ref="AO222">_xlfn.XLOOKUP(1,('2016 E Maize Soil VWC'!$C$2:$C$4100=$AA222)*('2016 E Maize Soil VWC'!$E$2:$E$4100=$AB222)*('2016 E Maize Soil VWC'!$F$2:$F$4100=AO$5),'2016 E Maize Soil VWC'!$G$2:$G$4100)</f>
        <v>#N/A</v>
      </c>
      <c r="AP222" s="1" t="e" cm="1">
        <f t="array" ref="AP222">_xlfn.XLOOKUP(1,('2016 E Maize Soil VWC'!$C$2:$C$4100=$AA222)*('2016 E Maize Soil VWC'!$E$2:$E$4100=$AB222)*('2016 E Maize Soil VWC'!$F$2:$F$4100=AP$5),'2016 E Maize Soil VWC'!$G$2:$G$4100)</f>
        <v>#N/A</v>
      </c>
      <c r="AQ222" s="1" t="e" cm="1">
        <f t="array" ref="AQ222">_xlfn.XLOOKUP(1,('2016 E Maize Soil VWC'!$C$2:$C$4100=$AA222)*('2016 E Maize Soil VWC'!$E$2:$E$4100=$AB222)*('2016 E Maize Soil VWC'!$F$2:$F$4100=AQ$5),'2016 E Maize Soil VWC'!$G$2:$G$4100)</f>
        <v>#N/A</v>
      </c>
      <c r="AR222" s="1" t="e" cm="1">
        <f t="array" ref="AR222">_xlfn.XLOOKUP(1,('2016 E Maize Soil VWC'!$C$2:$C$4100=$AA222)*('2016 E Maize Soil VWC'!$E$2:$E$4100=$AB222)*('2016 E Maize Soil VWC'!$F$2:$F$4100=AR$5),'2016 E Maize Soil VWC'!$G$2:$G$4100)</f>
        <v>#N/A</v>
      </c>
      <c r="AS222" s="1" t="e" cm="1">
        <f t="array" ref="AS222">_xlfn.XLOOKUP(1,('2016 E Maize Soil VWC'!$C$2:$C$4100=$AA222)*('2016 E Maize Soil VWC'!$E$2:$E$4100=$AB222)*('2016 E Maize Soil VWC'!$F$2:$F$4100=AS$5),'2016 E Maize Soil VWC'!$G$2:$G$4100)</f>
        <v>#N/A</v>
      </c>
      <c r="AT222" s="1" t="e" cm="1">
        <f t="array" ref="AT222">_xlfn.XLOOKUP(1,('2016 E Maize Soil VWC'!$C$2:$C$4100=$AA222)*('2016 E Maize Soil VWC'!$E$2:$E$4100=$AB222)*('2016 E Maize Soil VWC'!$F$2:$F$4100=AT$5),'2016 E Maize Soil VWC'!$G$2:$G$4100)</f>
        <v>#N/A</v>
      </c>
      <c r="AU222" s="1" t="e" cm="1">
        <f t="array" ref="AU222">_xlfn.XLOOKUP(1,('2016 E Maize Soil VWC'!$C$2:$C$4100=$AA222)*('2016 E Maize Soil VWC'!$E$2:$E$4100=$AB222)*('2016 E Maize Soil VWC'!$F$2:$F$4100=AU$5),'2016 E Maize Soil VWC'!$G$2:$G$4100)</f>
        <v>#N/A</v>
      </c>
      <c r="AV222" s="1" t="e" cm="1">
        <f t="array" ref="AV222">_xlfn.XLOOKUP(1,('2016 E Maize Soil VWC'!$C$2:$C$4100=$AA222)*('2016 E Maize Soil VWC'!$E$2:$E$4100=$AB222)*('2016 E Maize Soil VWC'!$F$2:$F$4100=AV$5),'2016 E Maize Soil VWC'!$G$2:$G$4100)</f>
        <v>#N/A</v>
      </c>
    </row>
    <row r="223" spans="25:64" x14ac:dyDescent="0.25">
      <c r="AA223" s="18">
        <f t="shared" si="35"/>
        <v>42671</v>
      </c>
      <c r="AB223" s="1">
        <f t="shared" si="36"/>
        <v>190</v>
      </c>
      <c r="AC223" s="1" cm="1">
        <f t="array" ref="AC223">_xlfn.XLOOKUP(1,('2016 E Maize Soil VWC'!$C$2:$C$4100=$AA223)*('2016 E Maize Soil VWC'!$E$2:$E$4100=$AB223)*('2016 E Maize Soil VWC'!$F$2:$F$4100=AC$5),'2016 E Maize Soil VWC'!$G$2:$G$4100)</f>
        <v>0.26274279077543833</v>
      </c>
      <c r="AD223" s="1" cm="1">
        <f t="array" ref="AD223">_xlfn.XLOOKUP(1,('2016 E Maize Soil VWC'!$C$2:$C$4100=$AA223)*('2016 E Maize Soil VWC'!$E$2:$E$4100=$AB223)*('2016 E Maize Soil VWC'!$F$2:$F$4100=AD$5),'2016 E Maize Soil VWC'!$G$2:$G$4100)</f>
        <v>0.2689908968980238</v>
      </c>
      <c r="AE223" s="1" cm="1">
        <f t="array" ref="AE223">_xlfn.XLOOKUP(1,('2016 E Maize Soil VWC'!$C$2:$C$4100=$AA223)*('2016 E Maize Soil VWC'!$E$2:$E$4100=$AB223)*('2016 E Maize Soil VWC'!$F$2:$F$4100=AE$5),'2016 E Maize Soil VWC'!$G$2:$G$4100)</f>
        <v>0.27619276376829371</v>
      </c>
      <c r="AF223" s="1" cm="1">
        <f t="array" ref="AF223">_xlfn.XLOOKUP(1,('2016 E Maize Soil VWC'!$C$2:$C$4100=$AA223)*('2016 E Maize Soil VWC'!$E$2:$E$4100=$AB223)*('2016 E Maize Soil VWC'!$F$2:$F$4100=AF$5),'2016 E Maize Soil VWC'!$G$2:$G$4100)</f>
        <v>0.27586186718236233</v>
      </c>
      <c r="AG223" s="1" cm="1">
        <f t="array" ref="AG223">_xlfn.XLOOKUP(1,('2016 E Maize Soil VWC'!$C$2:$C$4100=$AA223)*('2016 E Maize Soil VWC'!$E$2:$E$4100=$AB223)*('2016 E Maize Soil VWC'!$F$2:$F$4100=AG$5),'2016 E Maize Soil VWC'!$G$2:$G$4100)</f>
        <v>0.3216229185661581</v>
      </c>
      <c r="AH223" s="1" cm="1">
        <f t="array" ref="AH223">_xlfn.XLOOKUP(1,('2016 E Maize Soil VWC'!$C$2:$C$4100=$AA223)*('2016 E Maize Soil VWC'!$E$2:$E$4100=$AB223)*('2016 E Maize Soil VWC'!$F$2:$F$4100=AH$5),'2016 E Maize Soil VWC'!$G$2:$G$4100)</f>
        <v>0.33635754889262909</v>
      </c>
      <c r="AI223" s="1" cm="1">
        <f t="array" ref="AI223">_xlfn.XLOOKUP(1,('2016 E Maize Soil VWC'!$C$2:$C$4100=$AA223)*('2016 E Maize Soil VWC'!$E$2:$E$4100=$AB223)*('2016 E Maize Soil VWC'!$F$2:$F$4100=AI$5),'2016 E Maize Soil VWC'!$G$2:$G$4100)</f>
        <v>0.26595443410947761</v>
      </c>
      <c r="AJ223" s="1" cm="1">
        <f t="array" ref="AJ223">_xlfn.XLOOKUP(1,('2016 E Maize Soil VWC'!$C$2:$C$4100=$AA223)*('2016 E Maize Soil VWC'!$E$2:$E$4100=$AB223)*('2016 E Maize Soil VWC'!$F$2:$F$4100=AJ$5),'2016 E Maize Soil VWC'!$G$2:$G$4100)</f>
        <v>0.27728277605136153</v>
      </c>
      <c r="AK223" s="1" cm="1">
        <f t="array" ref="AK223">_xlfn.XLOOKUP(1,('2016 E Maize Soil VWC'!$C$2:$C$4100=$AA223)*('2016 E Maize Soil VWC'!$E$2:$E$4100=$AB223)*('2016 E Maize Soil VWC'!$F$2:$F$4100=AK$5),'2016 E Maize Soil VWC'!$G$2:$G$4100)</f>
        <v>0.26881571635253076</v>
      </c>
      <c r="AL223" s="1" cm="1">
        <f t="array" ref="AL223">_xlfn.XLOOKUP(1,('2016 E Maize Soil VWC'!$C$2:$C$4100=$AA223)*('2016 E Maize Soil VWC'!$E$2:$E$4100=$AB223)*('2016 E Maize Soil VWC'!$F$2:$F$4100=AL$5),'2016 E Maize Soil VWC'!$G$2:$G$4100)</f>
        <v>0.27514168049533538</v>
      </c>
      <c r="AM223" s="1" t="e" cm="1">
        <f t="array" ref="AM223">_xlfn.XLOOKUP(1,('2016 E Maize Soil VWC'!$C$2:$C$4100=$AA223)*('2016 E Maize Soil VWC'!$E$2:$E$4100=$AB223)*('2016 E Maize Soil VWC'!$F$2:$F$4100=AM$5),'2016 E Maize Soil VWC'!$G$2:$G$4100)</f>
        <v>#N/A</v>
      </c>
      <c r="AN223" s="1" t="e" cm="1">
        <f t="array" ref="AN223">_xlfn.XLOOKUP(1,('2016 E Maize Soil VWC'!$C$2:$C$4100=$AA223)*('2016 E Maize Soil VWC'!$E$2:$E$4100=$AB223)*('2016 E Maize Soil VWC'!$F$2:$F$4100=AN$5),'2016 E Maize Soil VWC'!$G$2:$G$4100)</f>
        <v>#N/A</v>
      </c>
      <c r="AO223" s="1" t="e" cm="1">
        <f t="array" ref="AO223">_xlfn.XLOOKUP(1,('2016 E Maize Soil VWC'!$C$2:$C$4100=$AA223)*('2016 E Maize Soil VWC'!$E$2:$E$4100=$AB223)*('2016 E Maize Soil VWC'!$F$2:$F$4100=AO$5),'2016 E Maize Soil VWC'!$G$2:$G$4100)</f>
        <v>#N/A</v>
      </c>
      <c r="AP223" s="1" t="e" cm="1">
        <f t="array" ref="AP223">_xlfn.XLOOKUP(1,('2016 E Maize Soil VWC'!$C$2:$C$4100=$AA223)*('2016 E Maize Soil VWC'!$E$2:$E$4100=$AB223)*('2016 E Maize Soil VWC'!$F$2:$F$4100=AP$5),'2016 E Maize Soil VWC'!$G$2:$G$4100)</f>
        <v>#N/A</v>
      </c>
      <c r="AQ223" s="1" t="e" cm="1">
        <f t="array" ref="AQ223">_xlfn.XLOOKUP(1,('2016 E Maize Soil VWC'!$C$2:$C$4100=$AA223)*('2016 E Maize Soil VWC'!$E$2:$E$4100=$AB223)*('2016 E Maize Soil VWC'!$F$2:$F$4100=AQ$5),'2016 E Maize Soil VWC'!$G$2:$G$4100)</f>
        <v>#N/A</v>
      </c>
      <c r="AR223" s="1" t="e" cm="1">
        <f t="array" ref="AR223">_xlfn.XLOOKUP(1,('2016 E Maize Soil VWC'!$C$2:$C$4100=$AA223)*('2016 E Maize Soil VWC'!$E$2:$E$4100=$AB223)*('2016 E Maize Soil VWC'!$F$2:$F$4100=AR$5),'2016 E Maize Soil VWC'!$G$2:$G$4100)</f>
        <v>#N/A</v>
      </c>
      <c r="AS223" s="1" t="e" cm="1">
        <f t="array" ref="AS223">_xlfn.XLOOKUP(1,('2016 E Maize Soil VWC'!$C$2:$C$4100=$AA223)*('2016 E Maize Soil VWC'!$E$2:$E$4100=$AB223)*('2016 E Maize Soil VWC'!$F$2:$F$4100=AS$5),'2016 E Maize Soil VWC'!$G$2:$G$4100)</f>
        <v>#N/A</v>
      </c>
      <c r="AT223" s="1" t="e" cm="1">
        <f t="array" ref="AT223">_xlfn.XLOOKUP(1,('2016 E Maize Soil VWC'!$C$2:$C$4100=$AA223)*('2016 E Maize Soil VWC'!$E$2:$E$4100=$AB223)*('2016 E Maize Soil VWC'!$F$2:$F$4100=AT$5),'2016 E Maize Soil VWC'!$G$2:$G$4100)</f>
        <v>#N/A</v>
      </c>
      <c r="AU223" s="1" t="e" cm="1">
        <f t="array" ref="AU223">_xlfn.XLOOKUP(1,('2016 E Maize Soil VWC'!$C$2:$C$4100=$AA223)*('2016 E Maize Soil VWC'!$E$2:$E$4100=$AB223)*('2016 E Maize Soil VWC'!$F$2:$F$4100=AU$5),'2016 E Maize Soil VWC'!$G$2:$G$4100)</f>
        <v>#N/A</v>
      </c>
      <c r="AV223" s="1" t="e" cm="1">
        <f t="array" ref="AV223">_xlfn.XLOOKUP(1,('2016 E Maize Soil VWC'!$C$2:$C$4100=$AA223)*('2016 E Maize Soil VWC'!$E$2:$E$4100=$AB223)*('2016 E Maize Soil VWC'!$F$2:$F$4100=AV$5),'2016 E Maize Soil VWC'!$G$2:$G$4100)</f>
        <v>#N/A</v>
      </c>
    </row>
    <row r="224" spans="25:64" x14ac:dyDescent="0.25">
      <c r="AA224" s="18">
        <f t="shared" si="35"/>
        <v>42671</v>
      </c>
      <c r="AB224" s="1">
        <f t="shared" si="36"/>
        <v>210</v>
      </c>
      <c r="AC224" s="1" cm="1">
        <f t="array" ref="AC224">_xlfn.XLOOKUP(1,('2016 E Maize Soil VWC'!$C$2:$C$4100=$AA224)*('2016 E Maize Soil VWC'!$E$2:$E$4100=$AB224)*('2016 E Maize Soil VWC'!$F$2:$F$4100=AC$5),'2016 E Maize Soil VWC'!$G$2:$G$4100)</f>
        <v>0.28851379546797157</v>
      </c>
      <c r="AD224" s="1" cm="1">
        <f t="array" ref="AD224">_xlfn.XLOOKUP(1,('2016 E Maize Soil VWC'!$C$2:$C$4100=$AA224)*('2016 E Maize Soil VWC'!$E$2:$E$4100=$AB224)*('2016 E Maize Soil VWC'!$F$2:$F$4100=AD$5),'2016 E Maize Soil VWC'!$G$2:$G$4100)</f>
        <v>0.28981791730664203</v>
      </c>
      <c r="AE224" s="1" cm="1">
        <f t="array" ref="AE224">_xlfn.XLOOKUP(1,('2016 E Maize Soil VWC'!$C$2:$C$4100=$AA224)*('2016 E Maize Soil VWC'!$E$2:$E$4100=$AB224)*('2016 E Maize Soil VWC'!$F$2:$F$4100=AE$5),'2016 E Maize Soil VWC'!$G$2:$G$4100)</f>
        <v>0.24662618059007768</v>
      </c>
      <c r="AF224" s="1" cm="1">
        <f t="array" ref="AF224">_xlfn.XLOOKUP(1,('2016 E Maize Soil VWC'!$C$2:$C$4100=$AA224)*('2016 E Maize Soil VWC'!$E$2:$E$4100=$AB224)*('2016 E Maize Soil VWC'!$F$2:$F$4100=AF$5),'2016 E Maize Soil VWC'!$G$2:$G$4100)</f>
        <v>0.26918554194857169</v>
      </c>
      <c r="AG224" s="1" t="e" cm="1">
        <f t="array" ref="AG224">_xlfn.XLOOKUP(1,('2016 E Maize Soil VWC'!$C$2:$C$4100=$AA224)*('2016 E Maize Soil VWC'!$E$2:$E$4100=$AB224)*('2016 E Maize Soil VWC'!$F$2:$F$4100=AG$5),'2016 E Maize Soil VWC'!$G$2:$G$4100)</f>
        <v>#N/A</v>
      </c>
      <c r="AH224" s="1" t="e" cm="1">
        <f t="array" ref="AH224">_xlfn.XLOOKUP(1,('2016 E Maize Soil VWC'!$C$2:$C$4100=$AA224)*('2016 E Maize Soil VWC'!$E$2:$E$4100=$AB224)*('2016 E Maize Soil VWC'!$F$2:$F$4100=AH$5),'2016 E Maize Soil VWC'!$G$2:$G$4100)</f>
        <v>#N/A</v>
      </c>
      <c r="AI224" s="1" cm="1">
        <f t="array" ref="AI224">_xlfn.XLOOKUP(1,('2016 E Maize Soil VWC'!$C$2:$C$4100=$AA224)*('2016 E Maize Soil VWC'!$E$2:$E$4100=$AB224)*('2016 E Maize Soil VWC'!$F$2:$F$4100=AI$5),'2016 E Maize Soil VWC'!$G$2:$G$4100)</f>
        <v>0.24469919458965417</v>
      </c>
      <c r="AJ224" s="1" cm="1">
        <f t="array" ref="AJ224">_xlfn.XLOOKUP(1,('2016 E Maize Soil VWC'!$C$2:$C$4100=$AA224)*('2016 E Maize Soil VWC'!$E$2:$E$4100=$AB224)*('2016 E Maize Soil VWC'!$F$2:$F$4100=AJ$5),'2016 E Maize Soil VWC'!$G$2:$G$4100)</f>
        <v>0.29573512684329617</v>
      </c>
      <c r="AK224" s="1" cm="1">
        <f t="array" ref="AK224">_xlfn.XLOOKUP(1,('2016 E Maize Soil VWC'!$C$2:$C$4100=$AA224)*('2016 E Maize Soil VWC'!$E$2:$E$4100=$AB224)*('2016 E Maize Soil VWC'!$F$2:$F$4100=AK$5),'2016 E Maize Soil VWC'!$G$2:$G$4100)</f>
        <v>0.2755893641115954</v>
      </c>
      <c r="AL224" s="1" cm="1">
        <f t="array" ref="AL224">_xlfn.XLOOKUP(1,('2016 E Maize Soil VWC'!$C$2:$C$4100=$AA224)*('2016 E Maize Soil VWC'!$E$2:$E$4100=$AB224)*('2016 E Maize Soil VWC'!$F$2:$F$4100=AL$5),'2016 E Maize Soil VWC'!$G$2:$G$4100)</f>
        <v>0.24316149869032627</v>
      </c>
      <c r="AM224" s="1" t="e" cm="1">
        <f t="array" ref="AM224">_xlfn.XLOOKUP(1,('2016 E Maize Soil VWC'!$C$2:$C$4100=$AA224)*('2016 E Maize Soil VWC'!$E$2:$E$4100=$AB224)*('2016 E Maize Soil VWC'!$F$2:$F$4100=AM$5),'2016 E Maize Soil VWC'!$G$2:$G$4100)</f>
        <v>#N/A</v>
      </c>
      <c r="AN224" s="1" t="e" cm="1">
        <f t="array" ref="AN224">_xlfn.XLOOKUP(1,('2016 E Maize Soil VWC'!$C$2:$C$4100=$AA224)*('2016 E Maize Soil VWC'!$E$2:$E$4100=$AB224)*('2016 E Maize Soil VWC'!$F$2:$F$4100=AN$5),'2016 E Maize Soil VWC'!$G$2:$G$4100)</f>
        <v>#N/A</v>
      </c>
      <c r="AO224" s="1" t="e" cm="1">
        <f t="array" ref="AO224">_xlfn.XLOOKUP(1,('2016 E Maize Soil VWC'!$C$2:$C$4100=$AA224)*('2016 E Maize Soil VWC'!$E$2:$E$4100=$AB224)*('2016 E Maize Soil VWC'!$F$2:$F$4100=AO$5),'2016 E Maize Soil VWC'!$G$2:$G$4100)</f>
        <v>#N/A</v>
      </c>
      <c r="AP224" s="1" t="e" cm="1">
        <f t="array" ref="AP224">_xlfn.XLOOKUP(1,('2016 E Maize Soil VWC'!$C$2:$C$4100=$AA224)*('2016 E Maize Soil VWC'!$E$2:$E$4100=$AB224)*('2016 E Maize Soil VWC'!$F$2:$F$4100=AP$5),'2016 E Maize Soil VWC'!$G$2:$G$4100)</f>
        <v>#N/A</v>
      </c>
      <c r="AQ224" s="1" t="e" cm="1">
        <f t="array" ref="AQ224">_xlfn.XLOOKUP(1,('2016 E Maize Soil VWC'!$C$2:$C$4100=$AA224)*('2016 E Maize Soil VWC'!$E$2:$E$4100=$AB224)*('2016 E Maize Soil VWC'!$F$2:$F$4100=AQ$5),'2016 E Maize Soil VWC'!$G$2:$G$4100)</f>
        <v>#N/A</v>
      </c>
      <c r="AR224" s="1" t="e" cm="1">
        <f t="array" ref="AR224">_xlfn.XLOOKUP(1,('2016 E Maize Soil VWC'!$C$2:$C$4100=$AA224)*('2016 E Maize Soil VWC'!$E$2:$E$4100=$AB224)*('2016 E Maize Soil VWC'!$F$2:$F$4100=AR$5),'2016 E Maize Soil VWC'!$G$2:$G$4100)</f>
        <v>#N/A</v>
      </c>
      <c r="AS224" s="1" t="e" cm="1">
        <f t="array" ref="AS224">_xlfn.XLOOKUP(1,('2016 E Maize Soil VWC'!$C$2:$C$4100=$AA224)*('2016 E Maize Soil VWC'!$E$2:$E$4100=$AB224)*('2016 E Maize Soil VWC'!$F$2:$F$4100=AS$5),'2016 E Maize Soil VWC'!$G$2:$G$4100)</f>
        <v>#N/A</v>
      </c>
      <c r="AT224" s="1" t="e" cm="1">
        <f t="array" ref="AT224">_xlfn.XLOOKUP(1,('2016 E Maize Soil VWC'!$C$2:$C$4100=$AA224)*('2016 E Maize Soil VWC'!$E$2:$E$4100=$AB224)*('2016 E Maize Soil VWC'!$F$2:$F$4100=AT$5),'2016 E Maize Soil VWC'!$G$2:$G$4100)</f>
        <v>#N/A</v>
      </c>
      <c r="AU224" s="1" t="e" cm="1">
        <f t="array" ref="AU224">_xlfn.XLOOKUP(1,('2016 E Maize Soil VWC'!$C$2:$C$4100=$AA224)*('2016 E Maize Soil VWC'!$E$2:$E$4100=$AB224)*('2016 E Maize Soil VWC'!$F$2:$F$4100=AU$5),'2016 E Maize Soil VWC'!$G$2:$G$4100)</f>
        <v>#N/A</v>
      </c>
      <c r="AV224" s="1" t="e" cm="1">
        <f t="array" ref="AV224">_xlfn.XLOOKUP(1,('2016 E Maize Soil VWC'!$C$2:$C$4100=$AA224)*('2016 E Maize Soil VWC'!$E$2:$E$4100=$AB224)*('2016 E Maize Soil VWC'!$F$2:$F$4100=AV$5),'2016 E Maize Soil VWC'!$G$2:$G$4100)</f>
        <v>#N/A</v>
      </c>
    </row>
    <row r="225" spans="25:64" x14ac:dyDescent="0.25">
      <c r="AA225" s="18">
        <f t="shared" si="35"/>
        <v>42671</v>
      </c>
      <c r="AB225" s="1">
        <f t="shared" si="36"/>
        <v>230</v>
      </c>
      <c r="AC225" s="1" cm="1">
        <f t="array" ref="AC225">_xlfn.XLOOKUP(1,('2016 E Maize Soil VWC'!$C$2:$C$4100=$AA225)*('2016 E Maize Soil VWC'!$E$2:$E$4100=$AB225)*('2016 E Maize Soil VWC'!$F$2:$F$4100=AC$5),'2016 E Maize Soil VWC'!$G$2:$G$4100)</f>
        <v>0.28627537738667141</v>
      </c>
      <c r="AD225" s="1" cm="1">
        <f t="array" ref="AD225">_xlfn.XLOOKUP(1,('2016 E Maize Soil VWC'!$C$2:$C$4100=$AA225)*('2016 E Maize Soil VWC'!$E$2:$E$4100=$AB225)*('2016 E Maize Soil VWC'!$F$2:$F$4100=AD$5),'2016 E Maize Soil VWC'!$G$2:$G$4100)</f>
        <v>0.29390546336814655</v>
      </c>
      <c r="AE225" s="1" cm="1">
        <f t="array" ref="AE225">_xlfn.XLOOKUP(1,('2016 E Maize Soil VWC'!$C$2:$C$4100=$AA225)*('2016 E Maize Soil VWC'!$E$2:$E$4100=$AB225)*('2016 E Maize Soil VWC'!$F$2:$F$4100=AE$5),'2016 E Maize Soil VWC'!$G$2:$G$4100)</f>
        <v>0.25970632798689219</v>
      </c>
      <c r="AF225" s="1" cm="1">
        <f t="array" ref="AF225">_xlfn.XLOOKUP(1,('2016 E Maize Soil VWC'!$C$2:$C$4100=$AA225)*('2016 E Maize Soil VWC'!$E$2:$E$4100=$AB225)*('2016 E Maize Soil VWC'!$F$2:$F$4100=AF$5),'2016 E Maize Soil VWC'!$G$2:$G$4100)</f>
        <v>0.25777934198646857</v>
      </c>
      <c r="AG225" s="1" t="e" cm="1">
        <f t="array" ref="AG225">_xlfn.XLOOKUP(1,('2016 E Maize Soil VWC'!$C$2:$C$4100=$AA225)*('2016 E Maize Soil VWC'!$E$2:$E$4100=$AB225)*('2016 E Maize Soil VWC'!$F$2:$F$4100=AG$5),'2016 E Maize Soil VWC'!$G$2:$G$4100)</f>
        <v>#N/A</v>
      </c>
      <c r="AH225" s="1" t="e" cm="1">
        <f t="array" ref="AH225">_xlfn.XLOOKUP(1,('2016 E Maize Soil VWC'!$C$2:$C$4100=$AA225)*('2016 E Maize Soil VWC'!$E$2:$E$4100=$AB225)*('2016 E Maize Soil VWC'!$F$2:$F$4100=AH$5),'2016 E Maize Soil VWC'!$G$2:$G$4100)</f>
        <v>#N/A</v>
      </c>
      <c r="AI225" s="1" cm="1">
        <f t="array" ref="AI225">_xlfn.XLOOKUP(1,('2016 E Maize Soil VWC'!$C$2:$C$4100=$AA225)*('2016 E Maize Soil VWC'!$E$2:$E$4100=$AB225)*('2016 E Maize Soil VWC'!$F$2:$F$4100=AI$5),'2016 E Maize Soil VWC'!$G$2:$G$4100)</f>
        <v>0.25223195804585535</v>
      </c>
      <c r="AJ225" s="1" cm="1">
        <f t="array" ref="AJ225">_xlfn.XLOOKUP(1,('2016 E Maize Soil VWC'!$C$2:$C$4100=$AA225)*('2016 E Maize Soil VWC'!$E$2:$E$4100=$AB225)*('2016 E Maize Soil VWC'!$F$2:$F$4100=AJ$5),'2016 E Maize Soil VWC'!$G$2:$G$4100)</f>
        <v>0.30354039337026428</v>
      </c>
      <c r="AK225" s="1" cm="1">
        <f t="array" ref="AK225">_xlfn.XLOOKUP(1,('2016 E Maize Soil VWC'!$C$2:$C$4100=$AA225)*('2016 E Maize Soil VWC'!$E$2:$E$4100=$AB225)*('2016 E Maize Soil VWC'!$F$2:$F$4100=AK$5),'2016 E Maize Soil VWC'!$G$2:$G$4100)</f>
        <v>0.29740907427800756</v>
      </c>
      <c r="AL225" s="1" cm="1">
        <f t="array" ref="AL225">_xlfn.XLOOKUP(1,('2016 E Maize Soil VWC'!$C$2:$C$4100=$AA225)*('2016 E Maize Soil VWC'!$E$2:$E$4100=$AB225)*('2016 E Maize Soil VWC'!$F$2:$F$4100=AL$5),'2016 E Maize Soil VWC'!$G$2:$G$4100)</f>
        <v>0.2493512112977474</v>
      </c>
      <c r="AM225" s="1" t="e" cm="1">
        <f t="array" ref="AM225">_xlfn.XLOOKUP(1,('2016 E Maize Soil VWC'!$C$2:$C$4100=$AA225)*('2016 E Maize Soil VWC'!$E$2:$E$4100=$AB225)*('2016 E Maize Soil VWC'!$F$2:$F$4100=AM$5),'2016 E Maize Soil VWC'!$G$2:$G$4100)</f>
        <v>#N/A</v>
      </c>
      <c r="AN225" s="1" t="e" cm="1">
        <f t="array" ref="AN225">_xlfn.XLOOKUP(1,('2016 E Maize Soil VWC'!$C$2:$C$4100=$AA225)*('2016 E Maize Soil VWC'!$E$2:$E$4100=$AB225)*('2016 E Maize Soil VWC'!$F$2:$F$4100=AN$5),'2016 E Maize Soil VWC'!$G$2:$G$4100)</f>
        <v>#N/A</v>
      </c>
      <c r="AO225" s="1" t="e" cm="1">
        <f t="array" ref="AO225">_xlfn.XLOOKUP(1,('2016 E Maize Soil VWC'!$C$2:$C$4100=$AA225)*('2016 E Maize Soil VWC'!$E$2:$E$4100=$AB225)*('2016 E Maize Soil VWC'!$F$2:$F$4100=AO$5),'2016 E Maize Soil VWC'!$G$2:$G$4100)</f>
        <v>#N/A</v>
      </c>
      <c r="AP225" s="1" t="e" cm="1">
        <f t="array" ref="AP225">_xlfn.XLOOKUP(1,('2016 E Maize Soil VWC'!$C$2:$C$4100=$AA225)*('2016 E Maize Soil VWC'!$E$2:$E$4100=$AB225)*('2016 E Maize Soil VWC'!$F$2:$F$4100=AP$5),'2016 E Maize Soil VWC'!$G$2:$G$4100)</f>
        <v>#N/A</v>
      </c>
      <c r="AQ225" s="1" t="e" cm="1">
        <f t="array" ref="AQ225">_xlfn.XLOOKUP(1,('2016 E Maize Soil VWC'!$C$2:$C$4100=$AA225)*('2016 E Maize Soil VWC'!$E$2:$E$4100=$AB225)*('2016 E Maize Soil VWC'!$F$2:$F$4100=AQ$5),'2016 E Maize Soil VWC'!$G$2:$G$4100)</f>
        <v>#N/A</v>
      </c>
      <c r="AR225" s="1" t="e" cm="1">
        <f t="array" ref="AR225">_xlfn.XLOOKUP(1,('2016 E Maize Soil VWC'!$C$2:$C$4100=$AA225)*('2016 E Maize Soil VWC'!$E$2:$E$4100=$AB225)*('2016 E Maize Soil VWC'!$F$2:$F$4100=AR$5),'2016 E Maize Soil VWC'!$G$2:$G$4100)</f>
        <v>#N/A</v>
      </c>
      <c r="AS225" s="1" t="e" cm="1">
        <f t="array" ref="AS225">_xlfn.XLOOKUP(1,('2016 E Maize Soil VWC'!$C$2:$C$4100=$AA225)*('2016 E Maize Soil VWC'!$E$2:$E$4100=$AB225)*('2016 E Maize Soil VWC'!$F$2:$F$4100=AS$5),'2016 E Maize Soil VWC'!$G$2:$G$4100)</f>
        <v>#N/A</v>
      </c>
      <c r="AT225" s="1" t="e" cm="1">
        <f t="array" ref="AT225">_xlfn.XLOOKUP(1,('2016 E Maize Soil VWC'!$C$2:$C$4100=$AA225)*('2016 E Maize Soil VWC'!$E$2:$E$4100=$AB225)*('2016 E Maize Soil VWC'!$F$2:$F$4100=AT$5),'2016 E Maize Soil VWC'!$G$2:$G$4100)</f>
        <v>#N/A</v>
      </c>
      <c r="AU225" s="1" t="e" cm="1">
        <f t="array" ref="AU225">_xlfn.XLOOKUP(1,('2016 E Maize Soil VWC'!$C$2:$C$4100=$AA225)*('2016 E Maize Soil VWC'!$E$2:$E$4100=$AB225)*('2016 E Maize Soil VWC'!$F$2:$F$4100=AU$5),'2016 E Maize Soil VWC'!$G$2:$G$4100)</f>
        <v>#N/A</v>
      </c>
      <c r="AV225" s="1" t="e" cm="1">
        <f t="array" ref="AV225">_xlfn.XLOOKUP(1,('2016 E Maize Soil VWC'!$C$2:$C$4100=$AA225)*('2016 E Maize Soil VWC'!$E$2:$E$4100=$AB225)*('2016 E Maize Soil VWC'!$F$2:$F$4100=AV$5),'2016 E Maize Soil VWC'!$G$2:$G$4100)</f>
        <v>#N/A</v>
      </c>
    </row>
    <row r="227" spans="25:64" x14ac:dyDescent="0.25">
      <c r="Y227" s="1">
        <v>2016</v>
      </c>
      <c r="Z227" s="1">
        <v>0</v>
      </c>
      <c r="AA227" s="18">
        <f>DATE(Y227,1,Z227)</f>
        <v>42369</v>
      </c>
      <c r="AB227" s="1">
        <v>10</v>
      </c>
      <c r="AC227" s="1" t="e" cm="1">
        <f t="array" ref="AC227">_xlfn.XLOOKUP(1,('2016 E Maize Soil VWC'!$C$2:$C$6000=$AA227)*('2016 E Maize Soil VWC'!$E$2:$E$6000=$AB227)*('2016 E Maize Soil VWC'!$F$2:$F$6000=AC$5),'2016 E Maize Soil VWC'!$G$2:$G$6000)</f>
        <v>#N/A</v>
      </c>
      <c r="AD227" s="1" t="e" cm="1">
        <f t="array" ref="AD227">_xlfn.XLOOKUP(1,('2016 E Maize Soil VWC'!$C$2:$C$6000=$AA227)*('2016 E Maize Soil VWC'!$E$2:$E$6000=$AB227)*('2016 E Maize Soil VWC'!$F$2:$F$6000=AD$5),'2016 E Maize Soil VWC'!$G$2:$G$6000)</f>
        <v>#N/A</v>
      </c>
      <c r="AE227" s="1" t="e" cm="1">
        <f t="array" ref="AE227">_xlfn.XLOOKUP(1,('2016 E Maize Soil VWC'!$C$2:$C$6000=$AA227)*('2016 E Maize Soil VWC'!$E$2:$E$6000=$AB227)*('2016 E Maize Soil VWC'!$F$2:$F$6000=AE$5),'2016 E Maize Soil VWC'!$G$2:$G$6000)</f>
        <v>#N/A</v>
      </c>
      <c r="AF227" s="1" t="e" cm="1">
        <f t="array" ref="AF227">_xlfn.XLOOKUP(1,('2016 E Maize Soil VWC'!$C$2:$C$6000=$AA227)*('2016 E Maize Soil VWC'!$E$2:$E$6000=$AB227)*('2016 E Maize Soil VWC'!$F$2:$F$6000=AF$5),'2016 E Maize Soil VWC'!$G$2:$G$6000)</f>
        <v>#N/A</v>
      </c>
      <c r="AG227" s="1" t="e" cm="1">
        <f t="array" ref="AG227">_xlfn.XLOOKUP(1,('2016 E Maize Soil VWC'!$C$2:$C$6000=$AA227)*('2016 E Maize Soil VWC'!$E$2:$E$6000=$AB227)*('2016 E Maize Soil VWC'!$F$2:$F$6000=AG$5),'2016 E Maize Soil VWC'!$G$2:$G$6000)</f>
        <v>#N/A</v>
      </c>
      <c r="AH227" s="1" t="e" cm="1">
        <f t="array" ref="AH227">_xlfn.XLOOKUP(1,('2016 E Maize Soil VWC'!$C$2:$C$6000=$AA227)*('2016 E Maize Soil VWC'!$E$2:$E$6000=$AB227)*('2016 E Maize Soil VWC'!$F$2:$F$6000=AH$5),'2016 E Maize Soil VWC'!$G$2:$G$6000)</f>
        <v>#N/A</v>
      </c>
      <c r="AI227" s="1" t="e" cm="1">
        <f t="array" ref="AI227">_xlfn.XLOOKUP(1,('2016 E Maize Soil VWC'!$C$2:$C$6000=$AA227)*('2016 E Maize Soil VWC'!$E$2:$E$6000=$AB227)*('2016 E Maize Soil VWC'!$F$2:$F$6000=AI$5),'2016 E Maize Soil VWC'!$G$2:$G$6000)</f>
        <v>#N/A</v>
      </c>
      <c r="AJ227" s="1" t="e" cm="1">
        <f t="array" ref="AJ227">_xlfn.XLOOKUP(1,('2016 E Maize Soil VWC'!$C$2:$C$6000=$AA227)*('2016 E Maize Soil VWC'!$E$2:$E$6000=$AB227)*('2016 E Maize Soil VWC'!$F$2:$F$6000=AJ$5),'2016 E Maize Soil VWC'!$G$2:$G$6000)</f>
        <v>#N/A</v>
      </c>
      <c r="AK227" s="1" t="e" cm="1">
        <f t="array" ref="AK227">_xlfn.XLOOKUP(1,('2016 E Maize Soil VWC'!$C$2:$C$6000=$AA227)*('2016 E Maize Soil VWC'!$E$2:$E$6000=$AB227)*('2016 E Maize Soil VWC'!$F$2:$F$6000=AK$5),'2016 E Maize Soil VWC'!$G$2:$G$6000)</f>
        <v>#N/A</v>
      </c>
      <c r="AL227" s="1" t="e" cm="1">
        <f t="array" ref="AL227">_xlfn.XLOOKUP(1,('2016 E Maize Soil VWC'!$C$2:$C$6000=$AA227)*('2016 E Maize Soil VWC'!$E$2:$E$6000=$AB227)*('2016 E Maize Soil VWC'!$F$2:$F$6000=AL$5),'2016 E Maize Soil VWC'!$G$2:$G$6000)</f>
        <v>#N/A</v>
      </c>
      <c r="AM227" s="1" t="e" cm="1">
        <f t="array" ref="AM227">_xlfn.XLOOKUP(1,('2016 E Maize Soil VWC'!$C$2:$C$6000=$AA227)*('2016 E Maize Soil VWC'!$E$2:$E$6000=$AB227)*('2016 E Maize Soil VWC'!$F$2:$F$6000=AM$5),'2016 E Maize Soil VWC'!$G$2:$G$6000)</f>
        <v>#N/A</v>
      </c>
      <c r="AN227" s="1" t="e" cm="1">
        <f t="array" ref="AN227">_xlfn.XLOOKUP(1,('2016 E Maize Soil VWC'!$C$2:$C$6000=$AA227)*('2016 E Maize Soil VWC'!$E$2:$E$6000=$AB227)*('2016 E Maize Soil VWC'!$F$2:$F$6000=AN$5),'2016 E Maize Soil VWC'!$G$2:$G$6000)</f>
        <v>#N/A</v>
      </c>
      <c r="AO227" s="1" t="e" cm="1">
        <f t="array" ref="AO227">_xlfn.XLOOKUP(1,('2016 E Maize Soil VWC'!$C$2:$C$6000=$AA227)*('2016 E Maize Soil VWC'!$E$2:$E$6000=$AB227)*('2016 E Maize Soil VWC'!$F$2:$F$6000=AO$5),'2016 E Maize Soil VWC'!$G$2:$G$6000)</f>
        <v>#N/A</v>
      </c>
      <c r="AP227" s="1" t="e" cm="1">
        <f t="array" ref="AP227">_xlfn.XLOOKUP(1,('2016 E Maize Soil VWC'!$C$2:$C$6000=$AA227)*('2016 E Maize Soil VWC'!$E$2:$E$6000=$AB227)*('2016 E Maize Soil VWC'!$F$2:$F$6000=AP$5),'2016 E Maize Soil VWC'!$G$2:$G$6000)</f>
        <v>#N/A</v>
      </c>
      <c r="AQ227" s="1" t="e" cm="1">
        <f t="array" ref="AQ227">_xlfn.XLOOKUP(1,('2016 E Maize Soil VWC'!$C$2:$C$6000=$AA227)*('2016 E Maize Soil VWC'!$E$2:$E$6000=$AB227)*('2016 E Maize Soil VWC'!$F$2:$F$6000=AQ$5),'2016 E Maize Soil VWC'!$G$2:$G$6000)</f>
        <v>#N/A</v>
      </c>
      <c r="AR227" s="1" t="e" cm="1">
        <f t="array" ref="AR227">_xlfn.XLOOKUP(1,('2016 E Maize Soil VWC'!$C$2:$C$6000=$AA227)*('2016 E Maize Soil VWC'!$E$2:$E$6000=$AB227)*('2016 E Maize Soil VWC'!$F$2:$F$6000=AR$5),'2016 E Maize Soil VWC'!$G$2:$G$6000)</f>
        <v>#N/A</v>
      </c>
      <c r="AS227" s="1" t="e" cm="1">
        <f t="array" ref="AS227">_xlfn.XLOOKUP(1,('2016 E Maize Soil VWC'!$C$2:$C$6000=$AA227)*('2016 E Maize Soil VWC'!$E$2:$E$6000=$AB227)*('2016 E Maize Soil VWC'!$F$2:$F$6000=AS$5),'2016 E Maize Soil VWC'!$G$2:$G$6000)</f>
        <v>#N/A</v>
      </c>
      <c r="AT227" s="1" t="e" cm="1">
        <f t="array" ref="AT227">_xlfn.XLOOKUP(1,('2016 E Maize Soil VWC'!$C$2:$C$6000=$AA227)*('2016 E Maize Soil VWC'!$E$2:$E$6000=$AB227)*('2016 E Maize Soil VWC'!$F$2:$F$6000=AT$5),'2016 E Maize Soil VWC'!$G$2:$G$6000)</f>
        <v>#N/A</v>
      </c>
      <c r="AU227" s="1" t="e" cm="1">
        <f t="array" ref="AU227">_xlfn.XLOOKUP(1,('2016 E Maize Soil VWC'!$C$2:$C$6000=$AA227)*('2016 E Maize Soil VWC'!$E$2:$E$6000=$AB227)*('2016 E Maize Soil VWC'!$F$2:$F$6000=AU$5),'2016 E Maize Soil VWC'!$G$2:$G$6000)</f>
        <v>#N/A</v>
      </c>
      <c r="AV227" s="1" t="e" cm="1">
        <f t="array" ref="AV227">_xlfn.XLOOKUP(1,('2016 E Maize Soil VWC'!$C$2:$C$6000=$AA227)*('2016 E Maize Soil VWC'!$E$2:$E$6000=$AB227)*('2016 E Maize Soil VWC'!$F$2:$F$6000=AV$5),'2016 E Maize Soil VWC'!$G$2:$G$6000)</f>
        <v>#N/A</v>
      </c>
      <c r="AW227" s="1">
        <f>Z227</f>
        <v>0</v>
      </c>
      <c r="AX227" s="15">
        <f>AA227</f>
        <v>42369</v>
      </c>
      <c r="AY227" s="1" t="e">
        <f>1400*AVERAGE(AG227:AH233)+100*AVERAGE(AG234:AH234)</f>
        <v>#N/A</v>
      </c>
      <c r="AZ227" s="1" t="e">
        <f>1400*AVERAGE(AC227:AF233,AI227:AL233)+100*AVERAGE(AC234:AF234,AI234:AL234)</f>
        <v>#N/A</v>
      </c>
      <c r="BA227" s="1" t="e">
        <f>1400*AVERAGE(AQ227:AR233)+100*AVERAGE(AQ234:AR234)</f>
        <v>#N/A</v>
      </c>
      <c r="BB227" s="1" t="e">
        <f>1400*AVERAGE(AM227:AP233,AS227:AV233)+100*AVERAGE(AM234:AP234,AS234:AV234)</f>
        <v>#N/A</v>
      </c>
      <c r="BC227" s="1" t="e">
        <f>AVERAGE(AC227:AD238)*2400</f>
        <v>#N/A</v>
      </c>
      <c r="BD227" s="1" t="e">
        <f>AVERAGE(AE227:AF238)*2400</f>
        <v>#N/A</v>
      </c>
      <c r="BE227" s="1" t="e">
        <f>AVERAGE(AG227:AH236)*2000</f>
        <v>#N/A</v>
      </c>
      <c r="BF227" s="1" t="e">
        <f>AVERAGE(AI227:AJ238)*2400</f>
        <v>#N/A</v>
      </c>
      <c r="BG227" s="1" t="e">
        <f>AVERAGE(AK227:AL238)*2400</f>
        <v>#N/A</v>
      </c>
      <c r="BH227" s="1" t="e">
        <f>AVERAGE(AM227:AN238)*2400</f>
        <v>#N/A</v>
      </c>
      <c r="BI227" s="1" t="e">
        <f>AVERAGE(AO227:AP238)*2400</f>
        <v>#N/A</v>
      </c>
      <c r="BJ227" s="1" t="e">
        <f>AVERAGE(AQ227:AR236)*2000</f>
        <v>#N/A</v>
      </c>
      <c r="BK227" s="1" t="e">
        <f>AVERAGE(AS227:AT238)*2400</f>
        <v>#N/A</v>
      </c>
      <c r="BL227" s="1" t="e">
        <f>AVERAGE(AU227:AV238)*2400</f>
        <v>#N/A</v>
      </c>
    </row>
    <row r="228" spans="25:64" x14ac:dyDescent="0.25">
      <c r="AA228" s="18">
        <f t="shared" ref="AA228:AA238" si="37">AA227</f>
        <v>42369</v>
      </c>
      <c r="AB228" s="1">
        <f t="shared" ref="AB228:AB238" si="38">AB227+20</f>
        <v>30</v>
      </c>
      <c r="AC228" s="1" t="e" cm="1">
        <f t="array" ref="AC228">_xlfn.XLOOKUP(1,('2016 E Maize Soil VWC'!$C$2:$C$6000=$AA228)*('2016 E Maize Soil VWC'!$E$2:$E$6000=$AB228)*('2016 E Maize Soil VWC'!$F$2:$F$6000=AC$5),'2016 E Maize Soil VWC'!$G$2:$G$6000)</f>
        <v>#N/A</v>
      </c>
      <c r="AD228" s="1" t="e" cm="1">
        <f t="array" ref="AD228">_xlfn.XLOOKUP(1,('2016 E Maize Soil VWC'!$C$2:$C$6000=$AA228)*('2016 E Maize Soil VWC'!$E$2:$E$6000=$AB228)*('2016 E Maize Soil VWC'!$F$2:$F$6000=AD$5),'2016 E Maize Soil VWC'!$G$2:$G$6000)</f>
        <v>#N/A</v>
      </c>
      <c r="AE228" s="1" t="e" cm="1">
        <f t="array" ref="AE228">_xlfn.XLOOKUP(1,('2016 E Maize Soil VWC'!$C$2:$C$6000=$AA228)*('2016 E Maize Soil VWC'!$E$2:$E$6000=$AB228)*('2016 E Maize Soil VWC'!$F$2:$F$6000=AE$5),'2016 E Maize Soil VWC'!$G$2:$G$6000)</f>
        <v>#N/A</v>
      </c>
      <c r="AF228" s="1" t="e" cm="1">
        <f t="array" ref="AF228">_xlfn.XLOOKUP(1,('2016 E Maize Soil VWC'!$C$2:$C$6000=$AA228)*('2016 E Maize Soil VWC'!$E$2:$E$6000=$AB228)*('2016 E Maize Soil VWC'!$F$2:$F$6000=AF$5),'2016 E Maize Soil VWC'!$G$2:$G$6000)</f>
        <v>#N/A</v>
      </c>
      <c r="AG228" s="1" t="e" cm="1">
        <f t="array" ref="AG228">_xlfn.XLOOKUP(1,('2016 E Maize Soil VWC'!$C$2:$C$6000=$AA228)*('2016 E Maize Soil VWC'!$E$2:$E$6000=$AB228)*('2016 E Maize Soil VWC'!$F$2:$F$6000=AG$5),'2016 E Maize Soil VWC'!$G$2:$G$6000)</f>
        <v>#N/A</v>
      </c>
      <c r="AH228" s="1" t="e" cm="1">
        <f t="array" ref="AH228">_xlfn.XLOOKUP(1,('2016 E Maize Soil VWC'!$C$2:$C$6000=$AA228)*('2016 E Maize Soil VWC'!$E$2:$E$6000=$AB228)*('2016 E Maize Soil VWC'!$F$2:$F$6000=AH$5),'2016 E Maize Soil VWC'!$G$2:$G$6000)</f>
        <v>#N/A</v>
      </c>
      <c r="AI228" s="1" t="e" cm="1">
        <f t="array" ref="AI228">_xlfn.XLOOKUP(1,('2016 E Maize Soil VWC'!$C$2:$C$6000=$AA228)*('2016 E Maize Soil VWC'!$E$2:$E$6000=$AB228)*('2016 E Maize Soil VWC'!$F$2:$F$6000=AI$5),'2016 E Maize Soil VWC'!$G$2:$G$6000)</f>
        <v>#N/A</v>
      </c>
      <c r="AJ228" s="1" t="e" cm="1">
        <f t="array" ref="AJ228">_xlfn.XLOOKUP(1,('2016 E Maize Soil VWC'!$C$2:$C$6000=$AA228)*('2016 E Maize Soil VWC'!$E$2:$E$6000=$AB228)*('2016 E Maize Soil VWC'!$F$2:$F$6000=AJ$5),'2016 E Maize Soil VWC'!$G$2:$G$6000)</f>
        <v>#N/A</v>
      </c>
      <c r="AK228" s="1" t="e" cm="1">
        <f t="array" ref="AK228">_xlfn.XLOOKUP(1,('2016 E Maize Soil VWC'!$C$2:$C$6000=$AA228)*('2016 E Maize Soil VWC'!$E$2:$E$6000=$AB228)*('2016 E Maize Soil VWC'!$F$2:$F$6000=AK$5),'2016 E Maize Soil VWC'!$G$2:$G$6000)</f>
        <v>#N/A</v>
      </c>
      <c r="AL228" s="1" t="e" cm="1">
        <f t="array" ref="AL228">_xlfn.XLOOKUP(1,('2016 E Maize Soil VWC'!$C$2:$C$6000=$AA228)*('2016 E Maize Soil VWC'!$E$2:$E$6000=$AB228)*('2016 E Maize Soil VWC'!$F$2:$F$6000=AL$5),'2016 E Maize Soil VWC'!$G$2:$G$6000)</f>
        <v>#N/A</v>
      </c>
      <c r="AM228" s="1" t="e" cm="1">
        <f t="array" ref="AM228">_xlfn.XLOOKUP(1,('2016 E Maize Soil VWC'!$C$2:$C$6000=$AA228)*('2016 E Maize Soil VWC'!$E$2:$E$6000=$AB228)*('2016 E Maize Soil VWC'!$F$2:$F$6000=AM$5),'2016 E Maize Soil VWC'!$G$2:$G$6000)</f>
        <v>#N/A</v>
      </c>
      <c r="AN228" s="1" t="e" cm="1">
        <f t="array" ref="AN228">_xlfn.XLOOKUP(1,('2016 E Maize Soil VWC'!$C$2:$C$6000=$AA228)*('2016 E Maize Soil VWC'!$E$2:$E$6000=$AB228)*('2016 E Maize Soil VWC'!$F$2:$F$6000=AN$5),'2016 E Maize Soil VWC'!$G$2:$G$6000)</f>
        <v>#N/A</v>
      </c>
      <c r="AO228" s="1" t="e" cm="1">
        <f t="array" ref="AO228">_xlfn.XLOOKUP(1,('2016 E Maize Soil VWC'!$C$2:$C$6000=$AA228)*('2016 E Maize Soil VWC'!$E$2:$E$6000=$AB228)*('2016 E Maize Soil VWC'!$F$2:$F$6000=AO$5),'2016 E Maize Soil VWC'!$G$2:$G$6000)</f>
        <v>#N/A</v>
      </c>
      <c r="AP228" s="1" t="e" cm="1">
        <f t="array" ref="AP228">_xlfn.XLOOKUP(1,('2016 E Maize Soil VWC'!$C$2:$C$6000=$AA228)*('2016 E Maize Soil VWC'!$E$2:$E$6000=$AB228)*('2016 E Maize Soil VWC'!$F$2:$F$6000=AP$5),'2016 E Maize Soil VWC'!$G$2:$G$6000)</f>
        <v>#N/A</v>
      </c>
      <c r="AQ228" s="1" t="e" cm="1">
        <f t="array" ref="AQ228">_xlfn.XLOOKUP(1,('2016 E Maize Soil VWC'!$C$2:$C$6000=$AA228)*('2016 E Maize Soil VWC'!$E$2:$E$6000=$AB228)*('2016 E Maize Soil VWC'!$F$2:$F$6000=AQ$5),'2016 E Maize Soil VWC'!$G$2:$G$6000)</f>
        <v>#N/A</v>
      </c>
      <c r="AR228" s="1" t="e" cm="1">
        <f t="array" ref="AR228">_xlfn.XLOOKUP(1,('2016 E Maize Soil VWC'!$C$2:$C$6000=$AA228)*('2016 E Maize Soil VWC'!$E$2:$E$6000=$AB228)*('2016 E Maize Soil VWC'!$F$2:$F$6000=AR$5),'2016 E Maize Soil VWC'!$G$2:$G$6000)</f>
        <v>#N/A</v>
      </c>
      <c r="AS228" s="1" t="e" cm="1">
        <f t="array" ref="AS228">_xlfn.XLOOKUP(1,('2016 E Maize Soil VWC'!$C$2:$C$6000=$AA228)*('2016 E Maize Soil VWC'!$E$2:$E$6000=$AB228)*('2016 E Maize Soil VWC'!$F$2:$F$6000=AS$5),'2016 E Maize Soil VWC'!$G$2:$G$6000)</f>
        <v>#N/A</v>
      </c>
      <c r="AT228" s="1" t="e" cm="1">
        <f t="array" ref="AT228">_xlfn.XLOOKUP(1,('2016 E Maize Soil VWC'!$C$2:$C$6000=$AA228)*('2016 E Maize Soil VWC'!$E$2:$E$6000=$AB228)*('2016 E Maize Soil VWC'!$F$2:$F$6000=AT$5),'2016 E Maize Soil VWC'!$G$2:$G$6000)</f>
        <v>#N/A</v>
      </c>
      <c r="AU228" s="1" t="e" cm="1">
        <f t="array" ref="AU228">_xlfn.XLOOKUP(1,('2016 E Maize Soil VWC'!$C$2:$C$6000=$AA228)*('2016 E Maize Soil VWC'!$E$2:$E$6000=$AB228)*('2016 E Maize Soil VWC'!$F$2:$F$6000=AU$5),'2016 E Maize Soil VWC'!$G$2:$G$6000)</f>
        <v>#N/A</v>
      </c>
      <c r="AV228" s="1" t="e" cm="1">
        <f t="array" ref="AV228">_xlfn.XLOOKUP(1,('2016 E Maize Soil VWC'!$C$2:$C$6000=$AA228)*('2016 E Maize Soil VWC'!$E$2:$E$6000=$AB228)*('2016 E Maize Soil VWC'!$F$2:$F$6000=AV$5),'2016 E Maize Soil VWC'!$G$2:$G$6000)</f>
        <v>#N/A</v>
      </c>
    </row>
    <row r="229" spans="25:64" x14ac:dyDescent="0.25">
      <c r="AA229" s="18">
        <f t="shared" si="37"/>
        <v>42369</v>
      </c>
      <c r="AB229" s="1">
        <f t="shared" si="38"/>
        <v>50</v>
      </c>
      <c r="AC229" s="1" t="e" cm="1">
        <f t="array" ref="AC229">_xlfn.XLOOKUP(1,('2016 E Maize Soil VWC'!$C$2:$C$6000=$AA229)*('2016 E Maize Soil VWC'!$E$2:$E$6000=$AB229)*('2016 E Maize Soil VWC'!$F$2:$F$6000=AC$5),'2016 E Maize Soil VWC'!$G$2:$G$6000)</f>
        <v>#N/A</v>
      </c>
      <c r="AD229" s="1" t="e" cm="1">
        <f t="array" ref="AD229">_xlfn.XLOOKUP(1,('2016 E Maize Soil VWC'!$C$2:$C$6000=$AA229)*('2016 E Maize Soil VWC'!$E$2:$E$6000=$AB229)*('2016 E Maize Soil VWC'!$F$2:$F$6000=AD$5),'2016 E Maize Soil VWC'!$G$2:$G$6000)</f>
        <v>#N/A</v>
      </c>
      <c r="AE229" s="1" t="e" cm="1">
        <f t="array" ref="AE229">_xlfn.XLOOKUP(1,('2016 E Maize Soil VWC'!$C$2:$C$6000=$AA229)*('2016 E Maize Soil VWC'!$E$2:$E$6000=$AB229)*('2016 E Maize Soil VWC'!$F$2:$F$6000=AE$5),'2016 E Maize Soil VWC'!$G$2:$G$6000)</f>
        <v>#N/A</v>
      </c>
      <c r="AF229" s="1" t="e" cm="1">
        <f t="array" ref="AF229">_xlfn.XLOOKUP(1,('2016 E Maize Soil VWC'!$C$2:$C$6000=$AA229)*('2016 E Maize Soil VWC'!$E$2:$E$6000=$AB229)*('2016 E Maize Soil VWC'!$F$2:$F$6000=AF$5),'2016 E Maize Soil VWC'!$G$2:$G$6000)</f>
        <v>#N/A</v>
      </c>
      <c r="AG229" s="1" t="e" cm="1">
        <f t="array" ref="AG229">_xlfn.XLOOKUP(1,('2016 E Maize Soil VWC'!$C$2:$C$6000=$AA229)*('2016 E Maize Soil VWC'!$E$2:$E$6000=$AB229)*('2016 E Maize Soil VWC'!$F$2:$F$6000=AG$5),'2016 E Maize Soil VWC'!$G$2:$G$6000)</f>
        <v>#N/A</v>
      </c>
      <c r="AH229" s="1" t="e" cm="1">
        <f t="array" ref="AH229">_xlfn.XLOOKUP(1,('2016 E Maize Soil VWC'!$C$2:$C$6000=$AA229)*('2016 E Maize Soil VWC'!$E$2:$E$6000=$AB229)*('2016 E Maize Soil VWC'!$F$2:$F$6000=AH$5),'2016 E Maize Soil VWC'!$G$2:$G$6000)</f>
        <v>#N/A</v>
      </c>
      <c r="AI229" s="1" t="e" cm="1">
        <f t="array" ref="AI229">_xlfn.XLOOKUP(1,('2016 E Maize Soil VWC'!$C$2:$C$6000=$AA229)*('2016 E Maize Soil VWC'!$E$2:$E$6000=$AB229)*('2016 E Maize Soil VWC'!$F$2:$F$6000=AI$5),'2016 E Maize Soil VWC'!$G$2:$G$6000)</f>
        <v>#N/A</v>
      </c>
      <c r="AJ229" s="1" t="e" cm="1">
        <f t="array" ref="AJ229">_xlfn.XLOOKUP(1,('2016 E Maize Soil VWC'!$C$2:$C$6000=$AA229)*('2016 E Maize Soil VWC'!$E$2:$E$6000=$AB229)*('2016 E Maize Soil VWC'!$F$2:$F$6000=AJ$5),'2016 E Maize Soil VWC'!$G$2:$G$6000)</f>
        <v>#N/A</v>
      </c>
      <c r="AK229" s="1" t="e" cm="1">
        <f t="array" ref="AK229">_xlfn.XLOOKUP(1,('2016 E Maize Soil VWC'!$C$2:$C$6000=$AA229)*('2016 E Maize Soil VWC'!$E$2:$E$6000=$AB229)*('2016 E Maize Soil VWC'!$F$2:$F$6000=AK$5),'2016 E Maize Soil VWC'!$G$2:$G$6000)</f>
        <v>#N/A</v>
      </c>
      <c r="AL229" s="1" t="e" cm="1">
        <f t="array" ref="AL229">_xlfn.XLOOKUP(1,('2016 E Maize Soil VWC'!$C$2:$C$6000=$AA229)*('2016 E Maize Soil VWC'!$E$2:$E$6000=$AB229)*('2016 E Maize Soil VWC'!$F$2:$F$6000=AL$5),'2016 E Maize Soil VWC'!$G$2:$G$6000)</f>
        <v>#N/A</v>
      </c>
      <c r="AM229" s="1" t="e" cm="1">
        <f t="array" ref="AM229">_xlfn.XLOOKUP(1,('2016 E Maize Soil VWC'!$C$2:$C$6000=$AA229)*('2016 E Maize Soil VWC'!$E$2:$E$6000=$AB229)*('2016 E Maize Soil VWC'!$F$2:$F$6000=AM$5),'2016 E Maize Soil VWC'!$G$2:$G$6000)</f>
        <v>#N/A</v>
      </c>
      <c r="AN229" s="1" t="e" cm="1">
        <f t="array" ref="AN229">_xlfn.XLOOKUP(1,('2016 E Maize Soil VWC'!$C$2:$C$6000=$AA229)*('2016 E Maize Soil VWC'!$E$2:$E$6000=$AB229)*('2016 E Maize Soil VWC'!$F$2:$F$6000=AN$5),'2016 E Maize Soil VWC'!$G$2:$G$6000)</f>
        <v>#N/A</v>
      </c>
      <c r="AO229" s="1" t="e" cm="1">
        <f t="array" ref="AO229">_xlfn.XLOOKUP(1,('2016 E Maize Soil VWC'!$C$2:$C$6000=$AA229)*('2016 E Maize Soil VWC'!$E$2:$E$6000=$AB229)*('2016 E Maize Soil VWC'!$F$2:$F$6000=AO$5),'2016 E Maize Soil VWC'!$G$2:$G$6000)</f>
        <v>#N/A</v>
      </c>
      <c r="AP229" s="1" t="e" cm="1">
        <f t="array" ref="AP229">_xlfn.XLOOKUP(1,('2016 E Maize Soil VWC'!$C$2:$C$6000=$AA229)*('2016 E Maize Soil VWC'!$E$2:$E$6000=$AB229)*('2016 E Maize Soil VWC'!$F$2:$F$6000=AP$5),'2016 E Maize Soil VWC'!$G$2:$G$6000)</f>
        <v>#N/A</v>
      </c>
      <c r="AQ229" s="1" t="e" cm="1">
        <f t="array" ref="AQ229">_xlfn.XLOOKUP(1,('2016 E Maize Soil VWC'!$C$2:$C$6000=$AA229)*('2016 E Maize Soil VWC'!$E$2:$E$6000=$AB229)*('2016 E Maize Soil VWC'!$F$2:$F$6000=AQ$5),'2016 E Maize Soil VWC'!$G$2:$G$6000)</f>
        <v>#N/A</v>
      </c>
      <c r="AR229" s="1" t="e" cm="1">
        <f t="array" ref="AR229">_xlfn.XLOOKUP(1,('2016 E Maize Soil VWC'!$C$2:$C$6000=$AA229)*('2016 E Maize Soil VWC'!$E$2:$E$6000=$AB229)*('2016 E Maize Soil VWC'!$F$2:$F$6000=AR$5),'2016 E Maize Soil VWC'!$G$2:$G$6000)</f>
        <v>#N/A</v>
      </c>
      <c r="AS229" s="1" t="e" cm="1">
        <f t="array" ref="AS229">_xlfn.XLOOKUP(1,('2016 E Maize Soil VWC'!$C$2:$C$6000=$AA229)*('2016 E Maize Soil VWC'!$E$2:$E$6000=$AB229)*('2016 E Maize Soil VWC'!$F$2:$F$6000=AS$5),'2016 E Maize Soil VWC'!$G$2:$G$6000)</f>
        <v>#N/A</v>
      </c>
      <c r="AT229" s="1" t="e" cm="1">
        <f t="array" ref="AT229">_xlfn.XLOOKUP(1,('2016 E Maize Soil VWC'!$C$2:$C$6000=$AA229)*('2016 E Maize Soil VWC'!$E$2:$E$6000=$AB229)*('2016 E Maize Soil VWC'!$F$2:$F$6000=AT$5),'2016 E Maize Soil VWC'!$G$2:$G$6000)</f>
        <v>#N/A</v>
      </c>
      <c r="AU229" s="1" t="e" cm="1">
        <f t="array" ref="AU229">_xlfn.XLOOKUP(1,('2016 E Maize Soil VWC'!$C$2:$C$6000=$AA229)*('2016 E Maize Soil VWC'!$E$2:$E$6000=$AB229)*('2016 E Maize Soil VWC'!$F$2:$F$6000=AU$5),'2016 E Maize Soil VWC'!$G$2:$G$6000)</f>
        <v>#N/A</v>
      </c>
      <c r="AV229" s="1" t="e" cm="1">
        <f t="array" ref="AV229">_xlfn.XLOOKUP(1,('2016 E Maize Soil VWC'!$C$2:$C$6000=$AA229)*('2016 E Maize Soil VWC'!$E$2:$E$6000=$AB229)*('2016 E Maize Soil VWC'!$F$2:$F$6000=AV$5),'2016 E Maize Soil VWC'!$G$2:$G$6000)</f>
        <v>#N/A</v>
      </c>
    </row>
    <row r="230" spans="25:64" x14ac:dyDescent="0.25">
      <c r="AA230" s="18">
        <f t="shared" si="37"/>
        <v>42369</v>
      </c>
      <c r="AB230" s="1">
        <f t="shared" si="38"/>
        <v>70</v>
      </c>
      <c r="AC230" s="1" t="e" cm="1">
        <f t="array" ref="AC230">_xlfn.XLOOKUP(1,('2016 E Maize Soil VWC'!$C$2:$C$6000=$AA230)*('2016 E Maize Soil VWC'!$E$2:$E$6000=$AB230)*('2016 E Maize Soil VWC'!$F$2:$F$6000=AC$5),'2016 E Maize Soil VWC'!$G$2:$G$6000)</f>
        <v>#N/A</v>
      </c>
      <c r="AD230" s="1" t="e" cm="1">
        <f t="array" ref="AD230">_xlfn.XLOOKUP(1,('2016 E Maize Soil VWC'!$C$2:$C$6000=$AA230)*('2016 E Maize Soil VWC'!$E$2:$E$6000=$AB230)*('2016 E Maize Soil VWC'!$F$2:$F$6000=AD$5),'2016 E Maize Soil VWC'!$G$2:$G$6000)</f>
        <v>#N/A</v>
      </c>
      <c r="AE230" s="1" t="e" cm="1">
        <f t="array" ref="AE230">_xlfn.XLOOKUP(1,('2016 E Maize Soil VWC'!$C$2:$C$6000=$AA230)*('2016 E Maize Soil VWC'!$E$2:$E$6000=$AB230)*('2016 E Maize Soil VWC'!$F$2:$F$6000=AE$5),'2016 E Maize Soil VWC'!$G$2:$G$6000)</f>
        <v>#N/A</v>
      </c>
      <c r="AF230" s="1" t="e" cm="1">
        <f t="array" ref="AF230">_xlfn.XLOOKUP(1,('2016 E Maize Soil VWC'!$C$2:$C$6000=$AA230)*('2016 E Maize Soil VWC'!$E$2:$E$6000=$AB230)*('2016 E Maize Soil VWC'!$F$2:$F$6000=AF$5),'2016 E Maize Soil VWC'!$G$2:$G$6000)</f>
        <v>#N/A</v>
      </c>
      <c r="AG230" s="1" t="e" cm="1">
        <f t="array" ref="AG230">_xlfn.XLOOKUP(1,('2016 E Maize Soil VWC'!$C$2:$C$6000=$AA230)*('2016 E Maize Soil VWC'!$E$2:$E$6000=$AB230)*('2016 E Maize Soil VWC'!$F$2:$F$6000=AG$5),'2016 E Maize Soil VWC'!$G$2:$G$6000)</f>
        <v>#N/A</v>
      </c>
      <c r="AH230" s="1" t="e" cm="1">
        <f t="array" ref="AH230">_xlfn.XLOOKUP(1,('2016 E Maize Soil VWC'!$C$2:$C$6000=$AA230)*('2016 E Maize Soil VWC'!$E$2:$E$6000=$AB230)*('2016 E Maize Soil VWC'!$F$2:$F$6000=AH$5),'2016 E Maize Soil VWC'!$G$2:$G$6000)</f>
        <v>#N/A</v>
      </c>
      <c r="AI230" s="1" t="e" cm="1">
        <f t="array" ref="AI230">_xlfn.XLOOKUP(1,('2016 E Maize Soil VWC'!$C$2:$C$6000=$AA230)*('2016 E Maize Soil VWC'!$E$2:$E$6000=$AB230)*('2016 E Maize Soil VWC'!$F$2:$F$6000=AI$5),'2016 E Maize Soil VWC'!$G$2:$G$6000)</f>
        <v>#N/A</v>
      </c>
      <c r="AJ230" s="1" t="e" cm="1">
        <f t="array" ref="AJ230">_xlfn.XLOOKUP(1,('2016 E Maize Soil VWC'!$C$2:$C$6000=$AA230)*('2016 E Maize Soil VWC'!$E$2:$E$6000=$AB230)*('2016 E Maize Soil VWC'!$F$2:$F$6000=AJ$5),'2016 E Maize Soil VWC'!$G$2:$G$6000)</f>
        <v>#N/A</v>
      </c>
      <c r="AK230" s="1" t="e" cm="1">
        <f t="array" ref="AK230">_xlfn.XLOOKUP(1,('2016 E Maize Soil VWC'!$C$2:$C$6000=$AA230)*('2016 E Maize Soil VWC'!$E$2:$E$6000=$AB230)*('2016 E Maize Soil VWC'!$F$2:$F$6000=AK$5),'2016 E Maize Soil VWC'!$G$2:$G$6000)</f>
        <v>#N/A</v>
      </c>
      <c r="AL230" s="1" t="e" cm="1">
        <f t="array" ref="AL230">_xlfn.XLOOKUP(1,('2016 E Maize Soil VWC'!$C$2:$C$6000=$AA230)*('2016 E Maize Soil VWC'!$E$2:$E$6000=$AB230)*('2016 E Maize Soil VWC'!$F$2:$F$6000=AL$5),'2016 E Maize Soil VWC'!$G$2:$G$6000)</f>
        <v>#N/A</v>
      </c>
      <c r="AM230" s="1" t="e" cm="1">
        <f t="array" ref="AM230">_xlfn.XLOOKUP(1,('2016 E Maize Soil VWC'!$C$2:$C$6000=$AA230)*('2016 E Maize Soil VWC'!$E$2:$E$6000=$AB230)*('2016 E Maize Soil VWC'!$F$2:$F$6000=AM$5),'2016 E Maize Soil VWC'!$G$2:$G$6000)</f>
        <v>#N/A</v>
      </c>
      <c r="AN230" s="1" t="e" cm="1">
        <f t="array" ref="AN230">_xlfn.XLOOKUP(1,('2016 E Maize Soil VWC'!$C$2:$C$6000=$AA230)*('2016 E Maize Soil VWC'!$E$2:$E$6000=$AB230)*('2016 E Maize Soil VWC'!$F$2:$F$6000=AN$5),'2016 E Maize Soil VWC'!$G$2:$G$6000)</f>
        <v>#N/A</v>
      </c>
      <c r="AO230" s="1" t="e" cm="1">
        <f t="array" ref="AO230">_xlfn.XLOOKUP(1,('2016 E Maize Soil VWC'!$C$2:$C$6000=$AA230)*('2016 E Maize Soil VWC'!$E$2:$E$6000=$AB230)*('2016 E Maize Soil VWC'!$F$2:$F$6000=AO$5),'2016 E Maize Soil VWC'!$G$2:$G$6000)</f>
        <v>#N/A</v>
      </c>
      <c r="AP230" s="1" t="e" cm="1">
        <f t="array" ref="AP230">_xlfn.XLOOKUP(1,('2016 E Maize Soil VWC'!$C$2:$C$6000=$AA230)*('2016 E Maize Soil VWC'!$E$2:$E$6000=$AB230)*('2016 E Maize Soil VWC'!$F$2:$F$6000=AP$5),'2016 E Maize Soil VWC'!$G$2:$G$6000)</f>
        <v>#N/A</v>
      </c>
      <c r="AQ230" s="1" t="e" cm="1">
        <f t="array" ref="AQ230">_xlfn.XLOOKUP(1,('2016 E Maize Soil VWC'!$C$2:$C$6000=$AA230)*('2016 E Maize Soil VWC'!$E$2:$E$6000=$AB230)*('2016 E Maize Soil VWC'!$F$2:$F$6000=AQ$5),'2016 E Maize Soil VWC'!$G$2:$G$6000)</f>
        <v>#N/A</v>
      </c>
      <c r="AR230" s="1" t="e" cm="1">
        <f t="array" ref="AR230">_xlfn.XLOOKUP(1,('2016 E Maize Soil VWC'!$C$2:$C$6000=$AA230)*('2016 E Maize Soil VWC'!$E$2:$E$6000=$AB230)*('2016 E Maize Soil VWC'!$F$2:$F$6000=AR$5),'2016 E Maize Soil VWC'!$G$2:$G$6000)</f>
        <v>#N/A</v>
      </c>
      <c r="AS230" s="1" t="e" cm="1">
        <f t="array" ref="AS230">_xlfn.XLOOKUP(1,('2016 E Maize Soil VWC'!$C$2:$C$6000=$AA230)*('2016 E Maize Soil VWC'!$E$2:$E$6000=$AB230)*('2016 E Maize Soil VWC'!$F$2:$F$6000=AS$5),'2016 E Maize Soil VWC'!$G$2:$G$6000)</f>
        <v>#N/A</v>
      </c>
      <c r="AT230" s="1" t="e" cm="1">
        <f t="array" ref="AT230">_xlfn.XLOOKUP(1,('2016 E Maize Soil VWC'!$C$2:$C$6000=$AA230)*('2016 E Maize Soil VWC'!$E$2:$E$6000=$AB230)*('2016 E Maize Soil VWC'!$F$2:$F$6000=AT$5),'2016 E Maize Soil VWC'!$G$2:$G$6000)</f>
        <v>#N/A</v>
      </c>
      <c r="AU230" s="1" t="e" cm="1">
        <f t="array" ref="AU230">_xlfn.XLOOKUP(1,('2016 E Maize Soil VWC'!$C$2:$C$6000=$AA230)*('2016 E Maize Soil VWC'!$E$2:$E$6000=$AB230)*('2016 E Maize Soil VWC'!$F$2:$F$6000=AU$5),'2016 E Maize Soil VWC'!$G$2:$G$6000)</f>
        <v>#N/A</v>
      </c>
      <c r="AV230" s="1" t="e" cm="1">
        <f t="array" ref="AV230">_xlfn.XLOOKUP(1,('2016 E Maize Soil VWC'!$C$2:$C$6000=$AA230)*('2016 E Maize Soil VWC'!$E$2:$E$6000=$AB230)*('2016 E Maize Soil VWC'!$F$2:$F$6000=AV$5),'2016 E Maize Soil VWC'!$G$2:$G$6000)</f>
        <v>#N/A</v>
      </c>
    </row>
    <row r="231" spans="25:64" x14ac:dyDescent="0.25">
      <c r="AA231" s="18">
        <f t="shared" si="37"/>
        <v>42369</v>
      </c>
      <c r="AB231" s="1">
        <f t="shared" si="38"/>
        <v>90</v>
      </c>
      <c r="AC231" s="1" t="e" cm="1">
        <f t="array" ref="AC231">_xlfn.XLOOKUP(1,('2016 E Maize Soil VWC'!$C$2:$C$6000=$AA231)*('2016 E Maize Soil VWC'!$E$2:$E$6000=$AB231)*('2016 E Maize Soil VWC'!$F$2:$F$6000=AC$5),'2016 E Maize Soil VWC'!$G$2:$G$6000)</f>
        <v>#N/A</v>
      </c>
      <c r="AD231" s="1" t="e" cm="1">
        <f t="array" ref="AD231">_xlfn.XLOOKUP(1,('2016 E Maize Soil VWC'!$C$2:$C$6000=$AA231)*('2016 E Maize Soil VWC'!$E$2:$E$6000=$AB231)*('2016 E Maize Soil VWC'!$F$2:$F$6000=AD$5),'2016 E Maize Soil VWC'!$G$2:$G$6000)</f>
        <v>#N/A</v>
      </c>
      <c r="AE231" s="1" t="e" cm="1">
        <f t="array" ref="AE231">_xlfn.XLOOKUP(1,('2016 E Maize Soil VWC'!$C$2:$C$6000=$AA231)*('2016 E Maize Soil VWC'!$E$2:$E$6000=$AB231)*('2016 E Maize Soil VWC'!$F$2:$F$6000=AE$5),'2016 E Maize Soil VWC'!$G$2:$G$6000)</f>
        <v>#N/A</v>
      </c>
      <c r="AF231" s="1" t="e" cm="1">
        <f t="array" ref="AF231">_xlfn.XLOOKUP(1,('2016 E Maize Soil VWC'!$C$2:$C$6000=$AA231)*('2016 E Maize Soil VWC'!$E$2:$E$6000=$AB231)*('2016 E Maize Soil VWC'!$F$2:$F$6000=AF$5),'2016 E Maize Soil VWC'!$G$2:$G$6000)</f>
        <v>#N/A</v>
      </c>
      <c r="AG231" s="1" t="e" cm="1">
        <f t="array" ref="AG231">_xlfn.XLOOKUP(1,('2016 E Maize Soil VWC'!$C$2:$C$6000=$AA231)*('2016 E Maize Soil VWC'!$E$2:$E$6000=$AB231)*('2016 E Maize Soil VWC'!$F$2:$F$6000=AG$5),'2016 E Maize Soil VWC'!$G$2:$G$6000)</f>
        <v>#N/A</v>
      </c>
      <c r="AH231" s="1" t="e" cm="1">
        <f t="array" ref="AH231">_xlfn.XLOOKUP(1,('2016 E Maize Soil VWC'!$C$2:$C$6000=$AA231)*('2016 E Maize Soil VWC'!$E$2:$E$6000=$AB231)*('2016 E Maize Soil VWC'!$F$2:$F$6000=AH$5),'2016 E Maize Soil VWC'!$G$2:$G$6000)</f>
        <v>#N/A</v>
      </c>
      <c r="AI231" s="1" t="e" cm="1">
        <f t="array" ref="AI231">_xlfn.XLOOKUP(1,('2016 E Maize Soil VWC'!$C$2:$C$6000=$AA231)*('2016 E Maize Soil VWC'!$E$2:$E$6000=$AB231)*('2016 E Maize Soil VWC'!$F$2:$F$6000=AI$5),'2016 E Maize Soil VWC'!$G$2:$G$6000)</f>
        <v>#N/A</v>
      </c>
      <c r="AJ231" s="1" t="e" cm="1">
        <f t="array" ref="AJ231">_xlfn.XLOOKUP(1,('2016 E Maize Soil VWC'!$C$2:$C$6000=$AA231)*('2016 E Maize Soil VWC'!$E$2:$E$6000=$AB231)*('2016 E Maize Soil VWC'!$F$2:$F$6000=AJ$5),'2016 E Maize Soil VWC'!$G$2:$G$6000)</f>
        <v>#N/A</v>
      </c>
      <c r="AK231" s="1" t="e" cm="1">
        <f t="array" ref="AK231">_xlfn.XLOOKUP(1,('2016 E Maize Soil VWC'!$C$2:$C$6000=$AA231)*('2016 E Maize Soil VWC'!$E$2:$E$6000=$AB231)*('2016 E Maize Soil VWC'!$F$2:$F$6000=AK$5),'2016 E Maize Soil VWC'!$G$2:$G$6000)</f>
        <v>#N/A</v>
      </c>
      <c r="AL231" s="1" t="e" cm="1">
        <f t="array" ref="AL231">_xlfn.XLOOKUP(1,('2016 E Maize Soil VWC'!$C$2:$C$6000=$AA231)*('2016 E Maize Soil VWC'!$E$2:$E$6000=$AB231)*('2016 E Maize Soil VWC'!$F$2:$F$6000=AL$5),'2016 E Maize Soil VWC'!$G$2:$G$6000)</f>
        <v>#N/A</v>
      </c>
      <c r="AM231" s="1" t="e" cm="1">
        <f t="array" ref="AM231">_xlfn.XLOOKUP(1,('2016 E Maize Soil VWC'!$C$2:$C$6000=$AA231)*('2016 E Maize Soil VWC'!$E$2:$E$6000=$AB231)*('2016 E Maize Soil VWC'!$F$2:$F$6000=AM$5),'2016 E Maize Soil VWC'!$G$2:$G$6000)</f>
        <v>#N/A</v>
      </c>
      <c r="AN231" s="1" t="e" cm="1">
        <f t="array" ref="AN231">_xlfn.XLOOKUP(1,('2016 E Maize Soil VWC'!$C$2:$C$6000=$AA231)*('2016 E Maize Soil VWC'!$E$2:$E$6000=$AB231)*('2016 E Maize Soil VWC'!$F$2:$F$6000=AN$5),'2016 E Maize Soil VWC'!$G$2:$G$6000)</f>
        <v>#N/A</v>
      </c>
      <c r="AO231" s="1" t="e" cm="1">
        <f t="array" ref="AO231">_xlfn.XLOOKUP(1,('2016 E Maize Soil VWC'!$C$2:$C$6000=$AA231)*('2016 E Maize Soil VWC'!$E$2:$E$6000=$AB231)*('2016 E Maize Soil VWC'!$F$2:$F$6000=AO$5),'2016 E Maize Soil VWC'!$G$2:$G$6000)</f>
        <v>#N/A</v>
      </c>
      <c r="AP231" s="1" t="e" cm="1">
        <f t="array" ref="AP231">_xlfn.XLOOKUP(1,('2016 E Maize Soil VWC'!$C$2:$C$6000=$AA231)*('2016 E Maize Soil VWC'!$E$2:$E$6000=$AB231)*('2016 E Maize Soil VWC'!$F$2:$F$6000=AP$5),'2016 E Maize Soil VWC'!$G$2:$G$6000)</f>
        <v>#N/A</v>
      </c>
      <c r="AQ231" s="1" t="e" cm="1">
        <f t="array" ref="AQ231">_xlfn.XLOOKUP(1,('2016 E Maize Soil VWC'!$C$2:$C$6000=$AA231)*('2016 E Maize Soil VWC'!$E$2:$E$6000=$AB231)*('2016 E Maize Soil VWC'!$F$2:$F$6000=AQ$5),'2016 E Maize Soil VWC'!$G$2:$G$6000)</f>
        <v>#N/A</v>
      </c>
      <c r="AR231" s="1" t="e" cm="1">
        <f t="array" ref="AR231">_xlfn.XLOOKUP(1,('2016 E Maize Soil VWC'!$C$2:$C$6000=$AA231)*('2016 E Maize Soil VWC'!$E$2:$E$6000=$AB231)*('2016 E Maize Soil VWC'!$F$2:$F$6000=AR$5),'2016 E Maize Soil VWC'!$G$2:$G$6000)</f>
        <v>#N/A</v>
      </c>
      <c r="AS231" s="1" t="e" cm="1">
        <f t="array" ref="AS231">_xlfn.XLOOKUP(1,('2016 E Maize Soil VWC'!$C$2:$C$6000=$AA231)*('2016 E Maize Soil VWC'!$E$2:$E$6000=$AB231)*('2016 E Maize Soil VWC'!$F$2:$F$6000=AS$5),'2016 E Maize Soil VWC'!$G$2:$G$6000)</f>
        <v>#N/A</v>
      </c>
      <c r="AT231" s="1" t="e" cm="1">
        <f t="array" ref="AT231">_xlfn.XLOOKUP(1,('2016 E Maize Soil VWC'!$C$2:$C$6000=$AA231)*('2016 E Maize Soil VWC'!$E$2:$E$6000=$AB231)*('2016 E Maize Soil VWC'!$F$2:$F$6000=AT$5),'2016 E Maize Soil VWC'!$G$2:$G$6000)</f>
        <v>#N/A</v>
      </c>
      <c r="AU231" s="1" t="e" cm="1">
        <f t="array" ref="AU231">_xlfn.XLOOKUP(1,('2016 E Maize Soil VWC'!$C$2:$C$6000=$AA231)*('2016 E Maize Soil VWC'!$E$2:$E$6000=$AB231)*('2016 E Maize Soil VWC'!$F$2:$F$6000=AU$5),'2016 E Maize Soil VWC'!$G$2:$G$6000)</f>
        <v>#N/A</v>
      </c>
      <c r="AV231" s="1" t="e" cm="1">
        <f t="array" ref="AV231">_xlfn.XLOOKUP(1,('2016 E Maize Soil VWC'!$C$2:$C$6000=$AA231)*('2016 E Maize Soil VWC'!$E$2:$E$6000=$AB231)*('2016 E Maize Soil VWC'!$F$2:$F$6000=AV$5),'2016 E Maize Soil VWC'!$G$2:$G$6000)</f>
        <v>#N/A</v>
      </c>
    </row>
    <row r="232" spans="25:64" x14ac:dyDescent="0.25">
      <c r="AA232" s="18">
        <f t="shared" si="37"/>
        <v>42369</v>
      </c>
      <c r="AB232" s="1">
        <f t="shared" si="38"/>
        <v>110</v>
      </c>
      <c r="AC232" s="1" t="e" cm="1">
        <f t="array" ref="AC232">_xlfn.XLOOKUP(1,('2016 E Maize Soil VWC'!$C$2:$C$6000=$AA232)*('2016 E Maize Soil VWC'!$E$2:$E$6000=$AB232)*('2016 E Maize Soil VWC'!$F$2:$F$6000=AC$5),'2016 E Maize Soil VWC'!$G$2:$G$6000)</f>
        <v>#N/A</v>
      </c>
      <c r="AD232" s="1" t="e" cm="1">
        <f t="array" ref="AD232">_xlfn.XLOOKUP(1,('2016 E Maize Soil VWC'!$C$2:$C$6000=$AA232)*('2016 E Maize Soil VWC'!$E$2:$E$6000=$AB232)*('2016 E Maize Soil VWC'!$F$2:$F$6000=AD$5),'2016 E Maize Soil VWC'!$G$2:$G$6000)</f>
        <v>#N/A</v>
      </c>
      <c r="AE232" s="1" t="e" cm="1">
        <f t="array" ref="AE232">_xlfn.XLOOKUP(1,('2016 E Maize Soil VWC'!$C$2:$C$6000=$AA232)*('2016 E Maize Soil VWC'!$E$2:$E$6000=$AB232)*('2016 E Maize Soil VWC'!$F$2:$F$6000=AE$5),'2016 E Maize Soil VWC'!$G$2:$G$6000)</f>
        <v>#N/A</v>
      </c>
      <c r="AF232" s="1" t="e" cm="1">
        <f t="array" ref="AF232">_xlfn.XLOOKUP(1,('2016 E Maize Soil VWC'!$C$2:$C$6000=$AA232)*('2016 E Maize Soil VWC'!$E$2:$E$6000=$AB232)*('2016 E Maize Soil VWC'!$F$2:$F$6000=AF$5),'2016 E Maize Soil VWC'!$G$2:$G$6000)</f>
        <v>#N/A</v>
      </c>
      <c r="AG232" s="1" t="e" cm="1">
        <f t="array" ref="AG232">_xlfn.XLOOKUP(1,('2016 E Maize Soil VWC'!$C$2:$C$6000=$AA232)*('2016 E Maize Soil VWC'!$E$2:$E$6000=$AB232)*('2016 E Maize Soil VWC'!$F$2:$F$6000=AG$5),'2016 E Maize Soil VWC'!$G$2:$G$6000)</f>
        <v>#N/A</v>
      </c>
      <c r="AH232" s="1" t="e" cm="1">
        <f t="array" ref="AH232">_xlfn.XLOOKUP(1,('2016 E Maize Soil VWC'!$C$2:$C$6000=$AA232)*('2016 E Maize Soil VWC'!$E$2:$E$6000=$AB232)*('2016 E Maize Soil VWC'!$F$2:$F$6000=AH$5),'2016 E Maize Soil VWC'!$G$2:$G$6000)</f>
        <v>#N/A</v>
      </c>
      <c r="AI232" s="1" t="e" cm="1">
        <f t="array" ref="AI232">_xlfn.XLOOKUP(1,('2016 E Maize Soil VWC'!$C$2:$C$6000=$AA232)*('2016 E Maize Soil VWC'!$E$2:$E$6000=$AB232)*('2016 E Maize Soil VWC'!$F$2:$F$6000=AI$5),'2016 E Maize Soil VWC'!$G$2:$G$6000)</f>
        <v>#N/A</v>
      </c>
      <c r="AJ232" s="1" t="e" cm="1">
        <f t="array" ref="AJ232">_xlfn.XLOOKUP(1,('2016 E Maize Soil VWC'!$C$2:$C$6000=$AA232)*('2016 E Maize Soil VWC'!$E$2:$E$6000=$AB232)*('2016 E Maize Soil VWC'!$F$2:$F$6000=AJ$5),'2016 E Maize Soil VWC'!$G$2:$G$6000)</f>
        <v>#N/A</v>
      </c>
      <c r="AK232" s="1" t="e" cm="1">
        <f t="array" ref="AK232">_xlfn.XLOOKUP(1,('2016 E Maize Soil VWC'!$C$2:$C$6000=$AA232)*('2016 E Maize Soil VWC'!$E$2:$E$6000=$AB232)*('2016 E Maize Soil VWC'!$F$2:$F$6000=AK$5),'2016 E Maize Soil VWC'!$G$2:$G$6000)</f>
        <v>#N/A</v>
      </c>
      <c r="AL232" s="1" t="e" cm="1">
        <f t="array" ref="AL232">_xlfn.XLOOKUP(1,('2016 E Maize Soil VWC'!$C$2:$C$6000=$AA232)*('2016 E Maize Soil VWC'!$E$2:$E$6000=$AB232)*('2016 E Maize Soil VWC'!$F$2:$F$6000=AL$5),'2016 E Maize Soil VWC'!$G$2:$G$6000)</f>
        <v>#N/A</v>
      </c>
      <c r="AM232" s="1" t="e" cm="1">
        <f t="array" ref="AM232">_xlfn.XLOOKUP(1,('2016 E Maize Soil VWC'!$C$2:$C$6000=$AA232)*('2016 E Maize Soil VWC'!$E$2:$E$6000=$AB232)*('2016 E Maize Soil VWC'!$F$2:$F$6000=AM$5),'2016 E Maize Soil VWC'!$G$2:$G$6000)</f>
        <v>#N/A</v>
      </c>
      <c r="AN232" s="1" t="e" cm="1">
        <f t="array" ref="AN232">_xlfn.XLOOKUP(1,('2016 E Maize Soil VWC'!$C$2:$C$6000=$AA232)*('2016 E Maize Soil VWC'!$E$2:$E$6000=$AB232)*('2016 E Maize Soil VWC'!$F$2:$F$6000=AN$5),'2016 E Maize Soil VWC'!$G$2:$G$6000)</f>
        <v>#N/A</v>
      </c>
      <c r="AO232" s="1" t="e" cm="1">
        <f t="array" ref="AO232">_xlfn.XLOOKUP(1,('2016 E Maize Soil VWC'!$C$2:$C$6000=$AA232)*('2016 E Maize Soil VWC'!$E$2:$E$6000=$AB232)*('2016 E Maize Soil VWC'!$F$2:$F$6000=AO$5),'2016 E Maize Soil VWC'!$G$2:$G$6000)</f>
        <v>#N/A</v>
      </c>
      <c r="AP232" s="1" t="e" cm="1">
        <f t="array" ref="AP232">_xlfn.XLOOKUP(1,('2016 E Maize Soil VWC'!$C$2:$C$6000=$AA232)*('2016 E Maize Soil VWC'!$E$2:$E$6000=$AB232)*('2016 E Maize Soil VWC'!$F$2:$F$6000=AP$5),'2016 E Maize Soil VWC'!$G$2:$G$6000)</f>
        <v>#N/A</v>
      </c>
      <c r="AQ232" s="1" t="e" cm="1">
        <f t="array" ref="AQ232">_xlfn.XLOOKUP(1,('2016 E Maize Soil VWC'!$C$2:$C$6000=$AA232)*('2016 E Maize Soil VWC'!$E$2:$E$6000=$AB232)*('2016 E Maize Soil VWC'!$F$2:$F$6000=AQ$5),'2016 E Maize Soil VWC'!$G$2:$G$6000)</f>
        <v>#N/A</v>
      </c>
      <c r="AR232" s="1" t="e" cm="1">
        <f t="array" ref="AR232">_xlfn.XLOOKUP(1,('2016 E Maize Soil VWC'!$C$2:$C$6000=$AA232)*('2016 E Maize Soil VWC'!$E$2:$E$6000=$AB232)*('2016 E Maize Soil VWC'!$F$2:$F$6000=AR$5),'2016 E Maize Soil VWC'!$G$2:$G$6000)</f>
        <v>#N/A</v>
      </c>
      <c r="AS232" s="1" t="e" cm="1">
        <f t="array" ref="AS232">_xlfn.XLOOKUP(1,('2016 E Maize Soil VWC'!$C$2:$C$6000=$AA232)*('2016 E Maize Soil VWC'!$E$2:$E$6000=$AB232)*('2016 E Maize Soil VWC'!$F$2:$F$6000=AS$5),'2016 E Maize Soil VWC'!$G$2:$G$6000)</f>
        <v>#N/A</v>
      </c>
      <c r="AT232" s="1" t="e" cm="1">
        <f t="array" ref="AT232">_xlfn.XLOOKUP(1,('2016 E Maize Soil VWC'!$C$2:$C$6000=$AA232)*('2016 E Maize Soil VWC'!$E$2:$E$6000=$AB232)*('2016 E Maize Soil VWC'!$F$2:$F$6000=AT$5),'2016 E Maize Soil VWC'!$G$2:$G$6000)</f>
        <v>#N/A</v>
      </c>
      <c r="AU232" s="1" t="e" cm="1">
        <f t="array" ref="AU232">_xlfn.XLOOKUP(1,('2016 E Maize Soil VWC'!$C$2:$C$6000=$AA232)*('2016 E Maize Soil VWC'!$E$2:$E$6000=$AB232)*('2016 E Maize Soil VWC'!$F$2:$F$6000=AU$5),'2016 E Maize Soil VWC'!$G$2:$G$6000)</f>
        <v>#N/A</v>
      </c>
      <c r="AV232" s="1" t="e" cm="1">
        <f t="array" ref="AV232">_xlfn.XLOOKUP(1,('2016 E Maize Soil VWC'!$C$2:$C$6000=$AA232)*('2016 E Maize Soil VWC'!$E$2:$E$6000=$AB232)*('2016 E Maize Soil VWC'!$F$2:$F$6000=AV$5),'2016 E Maize Soil VWC'!$G$2:$G$6000)</f>
        <v>#N/A</v>
      </c>
    </row>
    <row r="233" spans="25:64" x14ac:dyDescent="0.25">
      <c r="AA233" s="18">
        <f t="shared" si="37"/>
        <v>42369</v>
      </c>
      <c r="AB233" s="1">
        <f t="shared" si="38"/>
        <v>130</v>
      </c>
      <c r="AC233" s="1" t="e" cm="1">
        <f t="array" ref="AC233">_xlfn.XLOOKUP(1,('2016 E Maize Soil VWC'!$C$2:$C$6000=$AA233)*('2016 E Maize Soil VWC'!$E$2:$E$6000=$AB233)*('2016 E Maize Soil VWC'!$F$2:$F$6000=AC$5),'2016 E Maize Soil VWC'!$G$2:$G$6000)</f>
        <v>#N/A</v>
      </c>
      <c r="AD233" s="1" t="e" cm="1">
        <f t="array" ref="AD233">_xlfn.XLOOKUP(1,('2016 E Maize Soil VWC'!$C$2:$C$6000=$AA233)*('2016 E Maize Soil VWC'!$E$2:$E$6000=$AB233)*('2016 E Maize Soil VWC'!$F$2:$F$6000=AD$5),'2016 E Maize Soil VWC'!$G$2:$G$6000)</f>
        <v>#N/A</v>
      </c>
      <c r="AE233" s="1" t="e" cm="1">
        <f t="array" ref="AE233">_xlfn.XLOOKUP(1,('2016 E Maize Soil VWC'!$C$2:$C$6000=$AA233)*('2016 E Maize Soil VWC'!$E$2:$E$6000=$AB233)*('2016 E Maize Soil VWC'!$F$2:$F$6000=AE$5),'2016 E Maize Soil VWC'!$G$2:$G$6000)</f>
        <v>#N/A</v>
      </c>
      <c r="AF233" s="1" t="e" cm="1">
        <f t="array" ref="AF233">_xlfn.XLOOKUP(1,('2016 E Maize Soil VWC'!$C$2:$C$6000=$AA233)*('2016 E Maize Soil VWC'!$E$2:$E$6000=$AB233)*('2016 E Maize Soil VWC'!$F$2:$F$6000=AF$5),'2016 E Maize Soil VWC'!$G$2:$G$6000)</f>
        <v>#N/A</v>
      </c>
      <c r="AG233" s="1" t="e" cm="1">
        <f t="array" ref="AG233">_xlfn.XLOOKUP(1,('2016 E Maize Soil VWC'!$C$2:$C$6000=$AA233)*('2016 E Maize Soil VWC'!$E$2:$E$6000=$AB233)*('2016 E Maize Soil VWC'!$F$2:$F$6000=AG$5),'2016 E Maize Soil VWC'!$G$2:$G$6000)</f>
        <v>#N/A</v>
      </c>
      <c r="AH233" s="1" t="e" cm="1">
        <f t="array" ref="AH233">_xlfn.XLOOKUP(1,('2016 E Maize Soil VWC'!$C$2:$C$6000=$AA233)*('2016 E Maize Soil VWC'!$E$2:$E$6000=$AB233)*('2016 E Maize Soil VWC'!$F$2:$F$6000=AH$5),'2016 E Maize Soil VWC'!$G$2:$G$6000)</f>
        <v>#N/A</v>
      </c>
      <c r="AI233" s="1" t="e" cm="1">
        <f t="array" ref="AI233">_xlfn.XLOOKUP(1,('2016 E Maize Soil VWC'!$C$2:$C$6000=$AA233)*('2016 E Maize Soil VWC'!$E$2:$E$6000=$AB233)*('2016 E Maize Soil VWC'!$F$2:$F$6000=AI$5),'2016 E Maize Soil VWC'!$G$2:$G$6000)</f>
        <v>#N/A</v>
      </c>
      <c r="AJ233" s="1" t="e" cm="1">
        <f t="array" ref="AJ233">_xlfn.XLOOKUP(1,('2016 E Maize Soil VWC'!$C$2:$C$6000=$AA233)*('2016 E Maize Soil VWC'!$E$2:$E$6000=$AB233)*('2016 E Maize Soil VWC'!$F$2:$F$6000=AJ$5),'2016 E Maize Soil VWC'!$G$2:$G$6000)</f>
        <v>#N/A</v>
      </c>
      <c r="AK233" s="1" t="e" cm="1">
        <f t="array" ref="AK233">_xlfn.XLOOKUP(1,('2016 E Maize Soil VWC'!$C$2:$C$6000=$AA233)*('2016 E Maize Soil VWC'!$E$2:$E$6000=$AB233)*('2016 E Maize Soil VWC'!$F$2:$F$6000=AK$5),'2016 E Maize Soil VWC'!$G$2:$G$6000)</f>
        <v>#N/A</v>
      </c>
      <c r="AL233" s="1" t="e" cm="1">
        <f t="array" ref="AL233">_xlfn.XLOOKUP(1,('2016 E Maize Soil VWC'!$C$2:$C$6000=$AA233)*('2016 E Maize Soil VWC'!$E$2:$E$6000=$AB233)*('2016 E Maize Soil VWC'!$F$2:$F$6000=AL$5),'2016 E Maize Soil VWC'!$G$2:$G$6000)</f>
        <v>#N/A</v>
      </c>
      <c r="AM233" s="1" t="e" cm="1">
        <f t="array" ref="AM233">_xlfn.XLOOKUP(1,('2016 E Maize Soil VWC'!$C$2:$C$6000=$AA233)*('2016 E Maize Soil VWC'!$E$2:$E$6000=$AB233)*('2016 E Maize Soil VWC'!$F$2:$F$6000=AM$5),'2016 E Maize Soil VWC'!$G$2:$G$6000)</f>
        <v>#N/A</v>
      </c>
      <c r="AN233" s="1" t="e" cm="1">
        <f t="array" ref="AN233">_xlfn.XLOOKUP(1,('2016 E Maize Soil VWC'!$C$2:$C$6000=$AA233)*('2016 E Maize Soil VWC'!$E$2:$E$6000=$AB233)*('2016 E Maize Soil VWC'!$F$2:$F$6000=AN$5),'2016 E Maize Soil VWC'!$G$2:$G$6000)</f>
        <v>#N/A</v>
      </c>
      <c r="AO233" s="1" t="e" cm="1">
        <f t="array" ref="AO233">_xlfn.XLOOKUP(1,('2016 E Maize Soil VWC'!$C$2:$C$6000=$AA233)*('2016 E Maize Soil VWC'!$E$2:$E$6000=$AB233)*('2016 E Maize Soil VWC'!$F$2:$F$6000=AO$5),'2016 E Maize Soil VWC'!$G$2:$G$6000)</f>
        <v>#N/A</v>
      </c>
      <c r="AP233" s="1" t="e" cm="1">
        <f t="array" ref="AP233">_xlfn.XLOOKUP(1,('2016 E Maize Soil VWC'!$C$2:$C$6000=$AA233)*('2016 E Maize Soil VWC'!$E$2:$E$6000=$AB233)*('2016 E Maize Soil VWC'!$F$2:$F$6000=AP$5),'2016 E Maize Soil VWC'!$G$2:$G$6000)</f>
        <v>#N/A</v>
      </c>
      <c r="AQ233" s="1" t="e" cm="1">
        <f t="array" ref="AQ233">_xlfn.XLOOKUP(1,('2016 E Maize Soil VWC'!$C$2:$C$6000=$AA233)*('2016 E Maize Soil VWC'!$E$2:$E$6000=$AB233)*('2016 E Maize Soil VWC'!$F$2:$F$6000=AQ$5),'2016 E Maize Soil VWC'!$G$2:$G$6000)</f>
        <v>#N/A</v>
      </c>
      <c r="AR233" s="1" t="e" cm="1">
        <f t="array" ref="AR233">_xlfn.XLOOKUP(1,('2016 E Maize Soil VWC'!$C$2:$C$6000=$AA233)*('2016 E Maize Soil VWC'!$E$2:$E$6000=$AB233)*('2016 E Maize Soil VWC'!$F$2:$F$6000=AR$5),'2016 E Maize Soil VWC'!$G$2:$G$6000)</f>
        <v>#N/A</v>
      </c>
      <c r="AS233" s="1" t="e" cm="1">
        <f t="array" ref="AS233">_xlfn.XLOOKUP(1,('2016 E Maize Soil VWC'!$C$2:$C$6000=$AA233)*('2016 E Maize Soil VWC'!$E$2:$E$6000=$AB233)*('2016 E Maize Soil VWC'!$F$2:$F$6000=AS$5),'2016 E Maize Soil VWC'!$G$2:$G$6000)</f>
        <v>#N/A</v>
      </c>
      <c r="AT233" s="1" t="e" cm="1">
        <f t="array" ref="AT233">_xlfn.XLOOKUP(1,('2016 E Maize Soil VWC'!$C$2:$C$6000=$AA233)*('2016 E Maize Soil VWC'!$E$2:$E$6000=$AB233)*('2016 E Maize Soil VWC'!$F$2:$F$6000=AT$5),'2016 E Maize Soil VWC'!$G$2:$G$6000)</f>
        <v>#N/A</v>
      </c>
      <c r="AU233" s="1" t="e" cm="1">
        <f t="array" ref="AU233">_xlfn.XLOOKUP(1,('2016 E Maize Soil VWC'!$C$2:$C$6000=$AA233)*('2016 E Maize Soil VWC'!$E$2:$E$6000=$AB233)*('2016 E Maize Soil VWC'!$F$2:$F$6000=AU$5),'2016 E Maize Soil VWC'!$G$2:$G$6000)</f>
        <v>#N/A</v>
      </c>
      <c r="AV233" s="1" t="e" cm="1">
        <f t="array" ref="AV233">_xlfn.XLOOKUP(1,('2016 E Maize Soil VWC'!$C$2:$C$6000=$AA233)*('2016 E Maize Soil VWC'!$E$2:$E$6000=$AB233)*('2016 E Maize Soil VWC'!$F$2:$F$6000=AV$5),'2016 E Maize Soil VWC'!$G$2:$G$6000)</f>
        <v>#N/A</v>
      </c>
    </row>
    <row r="234" spans="25:64" x14ac:dyDescent="0.25">
      <c r="AA234" s="18">
        <f t="shared" si="37"/>
        <v>42369</v>
      </c>
      <c r="AB234" s="1">
        <f t="shared" si="38"/>
        <v>150</v>
      </c>
      <c r="AC234" s="1" t="e" cm="1">
        <f t="array" ref="AC234">_xlfn.XLOOKUP(1,('2016 E Maize Soil VWC'!$C$2:$C$6000=$AA234)*('2016 E Maize Soil VWC'!$E$2:$E$6000=$AB234)*('2016 E Maize Soil VWC'!$F$2:$F$6000=AC$5),'2016 E Maize Soil VWC'!$G$2:$G$6000)</f>
        <v>#N/A</v>
      </c>
      <c r="AD234" s="1" t="e" cm="1">
        <f t="array" ref="AD234">_xlfn.XLOOKUP(1,('2016 E Maize Soil VWC'!$C$2:$C$6000=$AA234)*('2016 E Maize Soil VWC'!$E$2:$E$6000=$AB234)*('2016 E Maize Soil VWC'!$F$2:$F$6000=AD$5),'2016 E Maize Soil VWC'!$G$2:$G$6000)</f>
        <v>#N/A</v>
      </c>
      <c r="AE234" s="1" t="e" cm="1">
        <f t="array" ref="AE234">_xlfn.XLOOKUP(1,('2016 E Maize Soil VWC'!$C$2:$C$6000=$AA234)*('2016 E Maize Soil VWC'!$E$2:$E$6000=$AB234)*('2016 E Maize Soil VWC'!$F$2:$F$6000=AE$5),'2016 E Maize Soil VWC'!$G$2:$G$6000)</f>
        <v>#N/A</v>
      </c>
      <c r="AF234" s="1" t="e" cm="1">
        <f t="array" ref="AF234">_xlfn.XLOOKUP(1,('2016 E Maize Soil VWC'!$C$2:$C$6000=$AA234)*('2016 E Maize Soil VWC'!$E$2:$E$6000=$AB234)*('2016 E Maize Soil VWC'!$F$2:$F$6000=AF$5),'2016 E Maize Soil VWC'!$G$2:$G$6000)</f>
        <v>#N/A</v>
      </c>
      <c r="AG234" s="1" t="e" cm="1">
        <f t="array" ref="AG234">_xlfn.XLOOKUP(1,('2016 E Maize Soil VWC'!$C$2:$C$6000=$AA234)*('2016 E Maize Soil VWC'!$E$2:$E$6000=$AB234)*('2016 E Maize Soil VWC'!$F$2:$F$6000=AG$5),'2016 E Maize Soil VWC'!$G$2:$G$6000)</f>
        <v>#N/A</v>
      </c>
      <c r="AH234" s="1" t="e" cm="1">
        <f t="array" ref="AH234">_xlfn.XLOOKUP(1,('2016 E Maize Soil VWC'!$C$2:$C$6000=$AA234)*('2016 E Maize Soil VWC'!$E$2:$E$6000=$AB234)*('2016 E Maize Soil VWC'!$F$2:$F$6000=AH$5),'2016 E Maize Soil VWC'!$G$2:$G$6000)</f>
        <v>#N/A</v>
      </c>
      <c r="AI234" s="1" t="e" cm="1">
        <f t="array" ref="AI234">_xlfn.XLOOKUP(1,('2016 E Maize Soil VWC'!$C$2:$C$6000=$AA234)*('2016 E Maize Soil VWC'!$E$2:$E$6000=$AB234)*('2016 E Maize Soil VWC'!$F$2:$F$6000=AI$5),'2016 E Maize Soil VWC'!$G$2:$G$6000)</f>
        <v>#N/A</v>
      </c>
      <c r="AJ234" s="1" t="e" cm="1">
        <f t="array" ref="AJ234">_xlfn.XLOOKUP(1,('2016 E Maize Soil VWC'!$C$2:$C$6000=$AA234)*('2016 E Maize Soil VWC'!$E$2:$E$6000=$AB234)*('2016 E Maize Soil VWC'!$F$2:$F$6000=AJ$5),'2016 E Maize Soil VWC'!$G$2:$G$6000)</f>
        <v>#N/A</v>
      </c>
      <c r="AK234" s="1" t="e" cm="1">
        <f t="array" ref="AK234">_xlfn.XLOOKUP(1,('2016 E Maize Soil VWC'!$C$2:$C$6000=$AA234)*('2016 E Maize Soil VWC'!$E$2:$E$6000=$AB234)*('2016 E Maize Soil VWC'!$F$2:$F$6000=AK$5),'2016 E Maize Soil VWC'!$G$2:$G$6000)</f>
        <v>#N/A</v>
      </c>
      <c r="AL234" s="1" t="e" cm="1">
        <f t="array" ref="AL234">_xlfn.XLOOKUP(1,('2016 E Maize Soil VWC'!$C$2:$C$6000=$AA234)*('2016 E Maize Soil VWC'!$E$2:$E$6000=$AB234)*('2016 E Maize Soil VWC'!$F$2:$F$6000=AL$5),'2016 E Maize Soil VWC'!$G$2:$G$6000)</f>
        <v>#N/A</v>
      </c>
      <c r="AM234" s="1" t="e" cm="1">
        <f t="array" ref="AM234">_xlfn.XLOOKUP(1,('2016 E Maize Soil VWC'!$C$2:$C$6000=$AA234)*('2016 E Maize Soil VWC'!$E$2:$E$6000=$AB234)*('2016 E Maize Soil VWC'!$F$2:$F$6000=AM$5),'2016 E Maize Soil VWC'!$G$2:$G$6000)</f>
        <v>#N/A</v>
      </c>
      <c r="AN234" s="1" t="e" cm="1">
        <f t="array" ref="AN234">_xlfn.XLOOKUP(1,('2016 E Maize Soil VWC'!$C$2:$C$6000=$AA234)*('2016 E Maize Soil VWC'!$E$2:$E$6000=$AB234)*('2016 E Maize Soil VWC'!$F$2:$F$6000=AN$5),'2016 E Maize Soil VWC'!$G$2:$G$6000)</f>
        <v>#N/A</v>
      </c>
      <c r="AO234" s="1" t="e" cm="1">
        <f t="array" ref="AO234">_xlfn.XLOOKUP(1,('2016 E Maize Soil VWC'!$C$2:$C$6000=$AA234)*('2016 E Maize Soil VWC'!$E$2:$E$6000=$AB234)*('2016 E Maize Soil VWC'!$F$2:$F$6000=AO$5),'2016 E Maize Soil VWC'!$G$2:$G$6000)</f>
        <v>#N/A</v>
      </c>
      <c r="AP234" s="1" t="e" cm="1">
        <f t="array" ref="AP234">_xlfn.XLOOKUP(1,('2016 E Maize Soil VWC'!$C$2:$C$6000=$AA234)*('2016 E Maize Soil VWC'!$E$2:$E$6000=$AB234)*('2016 E Maize Soil VWC'!$F$2:$F$6000=AP$5),'2016 E Maize Soil VWC'!$G$2:$G$6000)</f>
        <v>#N/A</v>
      </c>
      <c r="AQ234" s="1" t="e" cm="1">
        <f t="array" ref="AQ234">_xlfn.XLOOKUP(1,('2016 E Maize Soil VWC'!$C$2:$C$6000=$AA234)*('2016 E Maize Soil VWC'!$E$2:$E$6000=$AB234)*('2016 E Maize Soil VWC'!$F$2:$F$6000=AQ$5),'2016 E Maize Soil VWC'!$G$2:$G$6000)</f>
        <v>#N/A</v>
      </c>
      <c r="AR234" s="1" t="e" cm="1">
        <f t="array" ref="AR234">_xlfn.XLOOKUP(1,('2016 E Maize Soil VWC'!$C$2:$C$6000=$AA234)*('2016 E Maize Soil VWC'!$E$2:$E$6000=$AB234)*('2016 E Maize Soil VWC'!$F$2:$F$6000=AR$5),'2016 E Maize Soil VWC'!$G$2:$G$6000)</f>
        <v>#N/A</v>
      </c>
      <c r="AS234" s="1" t="e" cm="1">
        <f t="array" ref="AS234">_xlfn.XLOOKUP(1,('2016 E Maize Soil VWC'!$C$2:$C$6000=$AA234)*('2016 E Maize Soil VWC'!$E$2:$E$6000=$AB234)*('2016 E Maize Soil VWC'!$F$2:$F$6000=AS$5),'2016 E Maize Soil VWC'!$G$2:$G$6000)</f>
        <v>#N/A</v>
      </c>
      <c r="AT234" s="1" t="e" cm="1">
        <f t="array" ref="AT234">_xlfn.XLOOKUP(1,('2016 E Maize Soil VWC'!$C$2:$C$6000=$AA234)*('2016 E Maize Soil VWC'!$E$2:$E$6000=$AB234)*('2016 E Maize Soil VWC'!$F$2:$F$6000=AT$5),'2016 E Maize Soil VWC'!$G$2:$G$6000)</f>
        <v>#N/A</v>
      </c>
      <c r="AU234" s="1" t="e" cm="1">
        <f t="array" ref="AU234">_xlfn.XLOOKUP(1,('2016 E Maize Soil VWC'!$C$2:$C$6000=$AA234)*('2016 E Maize Soil VWC'!$E$2:$E$6000=$AB234)*('2016 E Maize Soil VWC'!$F$2:$F$6000=AU$5),'2016 E Maize Soil VWC'!$G$2:$G$6000)</f>
        <v>#N/A</v>
      </c>
      <c r="AV234" s="1" t="e" cm="1">
        <f t="array" ref="AV234">_xlfn.XLOOKUP(1,('2016 E Maize Soil VWC'!$C$2:$C$6000=$AA234)*('2016 E Maize Soil VWC'!$E$2:$E$6000=$AB234)*('2016 E Maize Soil VWC'!$F$2:$F$6000=AV$5),'2016 E Maize Soil VWC'!$G$2:$G$6000)</f>
        <v>#N/A</v>
      </c>
    </row>
    <row r="235" spans="25:64" x14ac:dyDescent="0.25">
      <c r="AA235" s="18">
        <f t="shared" si="37"/>
        <v>42369</v>
      </c>
      <c r="AB235" s="1">
        <f t="shared" si="38"/>
        <v>170</v>
      </c>
      <c r="AC235" s="1" t="e" cm="1">
        <f t="array" ref="AC235">_xlfn.XLOOKUP(1,('2016 E Maize Soil VWC'!$C$2:$C$6000=$AA235)*('2016 E Maize Soil VWC'!$E$2:$E$6000=$AB235)*('2016 E Maize Soil VWC'!$F$2:$F$6000=AC$5),'2016 E Maize Soil VWC'!$G$2:$G$6000)</f>
        <v>#N/A</v>
      </c>
      <c r="AD235" s="1" t="e" cm="1">
        <f t="array" ref="AD235">_xlfn.XLOOKUP(1,('2016 E Maize Soil VWC'!$C$2:$C$6000=$AA235)*('2016 E Maize Soil VWC'!$E$2:$E$6000=$AB235)*('2016 E Maize Soil VWC'!$F$2:$F$6000=AD$5),'2016 E Maize Soil VWC'!$G$2:$G$6000)</f>
        <v>#N/A</v>
      </c>
      <c r="AE235" s="1" t="e" cm="1">
        <f t="array" ref="AE235">_xlfn.XLOOKUP(1,('2016 E Maize Soil VWC'!$C$2:$C$6000=$AA235)*('2016 E Maize Soil VWC'!$E$2:$E$6000=$AB235)*('2016 E Maize Soil VWC'!$F$2:$F$6000=AE$5),'2016 E Maize Soil VWC'!$G$2:$G$6000)</f>
        <v>#N/A</v>
      </c>
      <c r="AF235" s="1" t="e" cm="1">
        <f t="array" ref="AF235">_xlfn.XLOOKUP(1,('2016 E Maize Soil VWC'!$C$2:$C$6000=$AA235)*('2016 E Maize Soil VWC'!$E$2:$E$6000=$AB235)*('2016 E Maize Soil VWC'!$F$2:$F$6000=AF$5),'2016 E Maize Soil VWC'!$G$2:$G$6000)</f>
        <v>#N/A</v>
      </c>
      <c r="AG235" s="1" t="e" cm="1">
        <f t="array" ref="AG235">_xlfn.XLOOKUP(1,('2016 E Maize Soil VWC'!$C$2:$C$6000=$AA235)*('2016 E Maize Soil VWC'!$E$2:$E$6000=$AB235)*('2016 E Maize Soil VWC'!$F$2:$F$6000=AG$5),'2016 E Maize Soil VWC'!$G$2:$G$6000)</f>
        <v>#N/A</v>
      </c>
      <c r="AH235" s="1" t="e" cm="1">
        <f t="array" ref="AH235">_xlfn.XLOOKUP(1,('2016 E Maize Soil VWC'!$C$2:$C$6000=$AA235)*('2016 E Maize Soil VWC'!$E$2:$E$6000=$AB235)*('2016 E Maize Soil VWC'!$F$2:$F$6000=AH$5),'2016 E Maize Soil VWC'!$G$2:$G$6000)</f>
        <v>#N/A</v>
      </c>
      <c r="AI235" s="1" t="e" cm="1">
        <f t="array" ref="AI235">_xlfn.XLOOKUP(1,('2016 E Maize Soil VWC'!$C$2:$C$6000=$AA235)*('2016 E Maize Soil VWC'!$E$2:$E$6000=$AB235)*('2016 E Maize Soil VWC'!$F$2:$F$6000=AI$5),'2016 E Maize Soil VWC'!$G$2:$G$6000)</f>
        <v>#N/A</v>
      </c>
      <c r="AJ235" s="1" t="e" cm="1">
        <f t="array" ref="AJ235">_xlfn.XLOOKUP(1,('2016 E Maize Soil VWC'!$C$2:$C$6000=$AA235)*('2016 E Maize Soil VWC'!$E$2:$E$6000=$AB235)*('2016 E Maize Soil VWC'!$F$2:$F$6000=AJ$5),'2016 E Maize Soil VWC'!$G$2:$G$6000)</f>
        <v>#N/A</v>
      </c>
      <c r="AK235" s="1" t="e" cm="1">
        <f t="array" ref="AK235">_xlfn.XLOOKUP(1,('2016 E Maize Soil VWC'!$C$2:$C$6000=$AA235)*('2016 E Maize Soil VWC'!$E$2:$E$6000=$AB235)*('2016 E Maize Soil VWC'!$F$2:$F$6000=AK$5),'2016 E Maize Soil VWC'!$G$2:$G$6000)</f>
        <v>#N/A</v>
      </c>
      <c r="AL235" s="1" t="e" cm="1">
        <f t="array" ref="AL235">_xlfn.XLOOKUP(1,('2016 E Maize Soil VWC'!$C$2:$C$6000=$AA235)*('2016 E Maize Soil VWC'!$E$2:$E$6000=$AB235)*('2016 E Maize Soil VWC'!$F$2:$F$6000=AL$5),'2016 E Maize Soil VWC'!$G$2:$G$6000)</f>
        <v>#N/A</v>
      </c>
      <c r="AM235" s="1" t="e" cm="1">
        <f t="array" ref="AM235">_xlfn.XLOOKUP(1,('2016 E Maize Soil VWC'!$C$2:$C$6000=$AA235)*('2016 E Maize Soil VWC'!$E$2:$E$6000=$AB235)*('2016 E Maize Soil VWC'!$F$2:$F$6000=AM$5),'2016 E Maize Soil VWC'!$G$2:$G$6000)</f>
        <v>#N/A</v>
      </c>
      <c r="AN235" s="1" t="e" cm="1">
        <f t="array" ref="AN235">_xlfn.XLOOKUP(1,('2016 E Maize Soil VWC'!$C$2:$C$6000=$AA235)*('2016 E Maize Soil VWC'!$E$2:$E$6000=$AB235)*('2016 E Maize Soil VWC'!$F$2:$F$6000=AN$5),'2016 E Maize Soil VWC'!$G$2:$G$6000)</f>
        <v>#N/A</v>
      </c>
      <c r="AO235" s="1" t="e" cm="1">
        <f t="array" ref="AO235">_xlfn.XLOOKUP(1,('2016 E Maize Soil VWC'!$C$2:$C$6000=$AA235)*('2016 E Maize Soil VWC'!$E$2:$E$6000=$AB235)*('2016 E Maize Soil VWC'!$F$2:$F$6000=AO$5),'2016 E Maize Soil VWC'!$G$2:$G$6000)</f>
        <v>#N/A</v>
      </c>
      <c r="AP235" s="1" t="e" cm="1">
        <f t="array" ref="AP235">_xlfn.XLOOKUP(1,('2016 E Maize Soil VWC'!$C$2:$C$6000=$AA235)*('2016 E Maize Soil VWC'!$E$2:$E$6000=$AB235)*('2016 E Maize Soil VWC'!$F$2:$F$6000=AP$5),'2016 E Maize Soil VWC'!$G$2:$G$6000)</f>
        <v>#N/A</v>
      </c>
      <c r="AQ235" s="1" t="e" cm="1">
        <f t="array" ref="AQ235">_xlfn.XLOOKUP(1,('2016 E Maize Soil VWC'!$C$2:$C$6000=$AA235)*('2016 E Maize Soil VWC'!$E$2:$E$6000=$AB235)*('2016 E Maize Soil VWC'!$F$2:$F$6000=AQ$5),'2016 E Maize Soil VWC'!$G$2:$G$6000)</f>
        <v>#N/A</v>
      </c>
      <c r="AR235" s="1" t="e" cm="1">
        <f t="array" ref="AR235">_xlfn.XLOOKUP(1,('2016 E Maize Soil VWC'!$C$2:$C$6000=$AA235)*('2016 E Maize Soil VWC'!$E$2:$E$6000=$AB235)*('2016 E Maize Soil VWC'!$F$2:$F$6000=AR$5),'2016 E Maize Soil VWC'!$G$2:$G$6000)</f>
        <v>#N/A</v>
      </c>
      <c r="AS235" s="1" t="e" cm="1">
        <f t="array" ref="AS235">_xlfn.XLOOKUP(1,('2016 E Maize Soil VWC'!$C$2:$C$6000=$AA235)*('2016 E Maize Soil VWC'!$E$2:$E$6000=$AB235)*('2016 E Maize Soil VWC'!$F$2:$F$6000=AS$5),'2016 E Maize Soil VWC'!$G$2:$G$6000)</f>
        <v>#N/A</v>
      </c>
      <c r="AT235" s="1" t="e" cm="1">
        <f t="array" ref="AT235">_xlfn.XLOOKUP(1,('2016 E Maize Soil VWC'!$C$2:$C$6000=$AA235)*('2016 E Maize Soil VWC'!$E$2:$E$6000=$AB235)*('2016 E Maize Soil VWC'!$F$2:$F$6000=AT$5),'2016 E Maize Soil VWC'!$G$2:$G$6000)</f>
        <v>#N/A</v>
      </c>
      <c r="AU235" s="1" t="e" cm="1">
        <f t="array" ref="AU235">_xlfn.XLOOKUP(1,('2016 E Maize Soil VWC'!$C$2:$C$6000=$AA235)*('2016 E Maize Soil VWC'!$E$2:$E$6000=$AB235)*('2016 E Maize Soil VWC'!$F$2:$F$6000=AU$5),'2016 E Maize Soil VWC'!$G$2:$G$6000)</f>
        <v>#N/A</v>
      </c>
      <c r="AV235" s="1" t="e" cm="1">
        <f t="array" ref="AV235">_xlfn.XLOOKUP(1,('2016 E Maize Soil VWC'!$C$2:$C$6000=$AA235)*('2016 E Maize Soil VWC'!$E$2:$E$6000=$AB235)*('2016 E Maize Soil VWC'!$F$2:$F$6000=AV$5),'2016 E Maize Soil VWC'!$G$2:$G$6000)</f>
        <v>#N/A</v>
      </c>
    </row>
    <row r="236" spans="25:64" x14ac:dyDescent="0.25">
      <c r="AA236" s="18">
        <f t="shared" si="37"/>
        <v>42369</v>
      </c>
      <c r="AB236" s="1">
        <f t="shared" si="38"/>
        <v>190</v>
      </c>
      <c r="AC236" s="1" t="e" cm="1">
        <f t="array" ref="AC236">_xlfn.XLOOKUP(1,('2016 E Maize Soil VWC'!$C$2:$C$6000=$AA236)*('2016 E Maize Soil VWC'!$E$2:$E$6000=$AB236)*('2016 E Maize Soil VWC'!$F$2:$F$6000=AC$5),'2016 E Maize Soil VWC'!$G$2:$G$6000)</f>
        <v>#N/A</v>
      </c>
      <c r="AD236" s="1" t="e" cm="1">
        <f t="array" ref="AD236">_xlfn.XLOOKUP(1,('2016 E Maize Soil VWC'!$C$2:$C$6000=$AA236)*('2016 E Maize Soil VWC'!$E$2:$E$6000=$AB236)*('2016 E Maize Soil VWC'!$F$2:$F$6000=AD$5),'2016 E Maize Soil VWC'!$G$2:$G$6000)</f>
        <v>#N/A</v>
      </c>
      <c r="AE236" s="1" t="e" cm="1">
        <f t="array" ref="AE236">_xlfn.XLOOKUP(1,('2016 E Maize Soil VWC'!$C$2:$C$6000=$AA236)*('2016 E Maize Soil VWC'!$E$2:$E$6000=$AB236)*('2016 E Maize Soil VWC'!$F$2:$F$6000=AE$5),'2016 E Maize Soil VWC'!$G$2:$G$6000)</f>
        <v>#N/A</v>
      </c>
      <c r="AF236" s="1" t="e" cm="1">
        <f t="array" ref="AF236">_xlfn.XLOOKUP(1,('2016 E Maize Soil VWC'!$C$2:$C$6000=$AA236)*('2016 E Maize Soil VWC'!$E$2:$E$6000=$AB236)*('2016 E Maize Soil VWC'!$F$2:$F$6000=AF$5),'2016 E Maize Soil VWC'!$G$2:$G$6000)</f>
        <v>#N/A</v>
      </c>
      <c r="AG236" s="1" t="e" cm="1">
        <f t="array" ref="AG236">_xlfn.XLOOKUP(1,('2016 E Maize Soil VWC'!$C$2:$C$6000=$AA236)*('2016 E Maize Soil VWC'!$E$2:$E$6000=$AB236)*('2016 E Maize Soil VWC'!$F$2:$F$6000=AG$5),'2016 E Maize Soil VWC'!$G$2:$G$6000)</f>
        <v>#N/A</v>
      </c>
      <c r="AH236" s="1" t="e" cm="1">
        <f t="array" ref="AH236">_xlfn.XLOOKUP(1,('2016 E Maize Soil VWC'!$C$2:$C$6000=$AA236)*('2016 E Maize Soil VWC'!$E$2:$E$6000=$AB236)*('2016 E Maize Soil VWC'!$F$2:$F$6000=AH$5),'2016 E Maize Soil VWC'!$G$2:$G$6000)</f>
        <v>#N/A</v>
      </c>
      <c r="AI236" s="1" t="e" cm="1">
        <f t="array" ref="AI236">_xlfn.XLOOKUP(1,('2016 E Maize Soil VWC'!$C$2:$C$6000=$AA236)*('2016 E Maize Soil VWC'!$E$2:$E$6000=$AB236)*('2016 E Maize Soil VWC'!$F$2:$F$6000=AI$5),'2016 E Maize Soil VWC'!$G$2:$G$6000)</f>
        <v>#N/A</v>
      </c>
      <c r="AJ236" s="1" t="e" cm="1">
        <f t="array" ref="AJ236">_xlfn.XLOOKUP(1,('2016 E Maize Soil VWC'!$C$2:$C$6000=$AA236)*('2016 E Maize Soil VWC'!$E$2:$E$6000=$AB236)*('2016 E Maize Soil VWC'!$F$2:$F$6000=AJ$5),'2016 E Maize Soil VWC'!$G$2:$G$6000)</f>
        <v>#N/A</v>
      </c>
      <c r="AK236" s="1" t="e" cm="1">
        <f t="array" ref="AK236">_xlfn.XLOOKUP(1,('2016 E Maize Soil VWC'!$C$2:$C$6000=$AA236)*('2016 E Maize Soil VWC'!$E$2:$E$6000=$AB236)*('2016 E Maize Soil VWC'!$F$2:$F$6000=AK$5),'2016 E Maize Soil VWC'!$G$2:$G$6000)</f>
        <v>#N/A</v>
      </c>
      <c r="AL236" s="1" t="e" cm="1">
        <f t="array" ref="AL236">_xlfn.XLOOKUP(1,('2016 E Maize Soil VWC'!$C$2:$C$6000=$AA236)*('2016 E Maize Soil VWC'!$E$2:$E$6000=$AB236)*('2016 E Maize Soil VWC'!$F$2:$F$6000=AL$5),'2016 E Maize Soil VWC'!$G$2:$G$6000)</f>
        <v>#N/A</v>
      </c>
      <c r="AM236" s="1" t="e" cm="1">
        <f t="array" ref="AM236">_xlfn.XLOOKUP(1,('2016 E Maize Soil VWC'!$C$2:$C$6000=$AA236)*('2016 E Maize Soil VWC'!$E$2:$E$6000=$AB236)*('2016 E Maize Soil VWC'!$F$2:$F$6000=AM$5),'2016 E Maize Soil VWC'!$G$2:$G$6000)</f>
        <v>#N/A</v>
      </c>
      <c r="AN236" s="1" t="e" cm="1">
        <f t="array" ref="AN236">_xlfn.XLOOKUP(1,('2016 E Maize Soil VWC'!$C$2:$C$6000=$AA236)*('2016 E Maize Soil VWC'!$E$2:$E$6000=$AB236)*('2016 E Maize Soil VWC'!$F$2:$F$6000=AN$5),'2016 E Maize Soil VWC'!$G$2:$G$6000)</f>
        <v>#N/A</v>
      </c>
      <c r="AO236" s="1" t="e" cm="1">
        <f t="array" ref="AO236">_xlfn.XLOOKUP(1,('2016 E Maize Soil VWC'!$C$2:$C$6000=$AA236)*('2016 E Maize Soil VWC'!$E$2:$E$6000=$AB236)*('2016 E Maize Soil VWC'!$F$2:$F$6000=AO$5),'2016 E Maize Soil VWC'!$G$2:$G$6000)</f>
        <v>#N/A</v>
      </c>
      <c r="AP236" s="1" t="e" cm="1">
        <f t="array" ref="AP236">_xlfn.XLOOKUP(1,('2016 E Maize Soil VWC'!$C$2:$C$6000=$AA236)*('2016 E Maize Soil VWC'!$E$2:$E$6000=$AB236)*('2016 E Maize Soil VWC'!$F$2:$F$6000=AP$5),'2016 E Maize Soil VWC'!$G$2:$G$6000)</f>
        <v>#N/A</v>
      </c>
      <c r="AQ236" s="1" t="e" cm="1">
        <f t="array" ref="AQ236">_xlfn.XLOOKUP(1,('2016 E Maize Soil VWC'!$C$2:$C$6000=$AA236)*('2016 E Maize Soil VWC'!$E$2:$E$6000=$AB236)*('2016 E Maize Soil VWC'!$F$2:$F$6000=AQ$5),'2016 E Maize Soil VWC'!$G$2:$G$6000)</f>
        <v>#N/A</v>
      </c>
      <c r="AR236" s="1" t="e" cm="1">
        <f t="array" ref="AR236">_xlfn.XLOOKUP(1,('2016 E Maize Soil VWC'!$C$2:$C$6000=$AA236)*('2016 E Maize Soil VWC'!$E$2:$E$6000=$AB236)*('2016 E Maize Soil VWC'!$F$2:$F$6000=AR$5),'2016 E Maize Soil VWC'!$G$2:$G$6000)</f>
        <v>#N/A</v>
      </c>
      <c r="AS236" s="1" t="e" cm="1">
        <f t="array" ref="AS236">_xlfn.XLOOKUP(1,('2016 E Maize Soil VWC'!$C$2:$C$6000=$AA236)*('2016 E Maize Soil VWC'!$E$2:$E$6000=$AB236)*('2016 E Maize Soil VWC'!$F$2:$F$6000=AS$5),'2016 E Maize Soil VWC'!$G$2:$G$6000)</f>
        <v>#N/A</v>
      </c>
      <c r="AT236" s="1" t="e" cm="1">
        <f t="array" ref="AT236">_xlfn.XLOOKUP(1,('2016 E Maize Soil VWC'!$C$2:$C$6000=$AA236)*('2016 E Maize Soil VWC'!$E$2:$E$6000=$AB236)*('2016 E Maize Soil VWC'!$F$2:$F$6000=AT$5),'2016 E Maize Soil VWC'!$G$2:$G$6000)</f>
        <v>#N/A</v>
      </c>
      <c r="AU236" s="1" t="e" cm="1">
        <f t="array" ref="AU236">_xlfn.XLOOKUP(1,('2016 E Maize Soil VWC'!$C$2:$C$6000=$AA236)*('2016 E Maize Soil VWC'!$E$2:$E$6000=$AB236)*('2016 E Maize Soil VWC'!$F$2:$F$6000=AU$5),'2016 E Maize Soil VWC'!$G$2:$G$6000)</f>
        <v>#N/A</v>
      </c>
      <c r="AV236" s="1" t="e" cm="1">
        <f t="array" ref="AV236">_xlfn.XLOOKUP(1,('2016 E Maize Soil VWC'!$C$2:$C$6000=$AA236)*('2016 E Maize Soil VWC'!$E$2:$E$6000=$AB236)*('2016 E Maize Soil VWC'!$F$2:$F$6000=AV$5),'2016 E Maize Soil VWC'!$G$2:$G$6000)</f>
        <v>#N/A</v>
      </c>
    </row>
    <row r="237" spans="25:64" x14ac:dyDescent="0.25">
      <c r="AA237" s="18">
        <f t="shared" si="37"/>
        <v>42369</v>
      </c>
      <c r="AB237" s="1">
        <f t="shared" si="38"/>
        <v>210</v>
      </c>
      <c r="AC237" s="1" t="e" cm="1">
        <f t="array" ref="AC237">_xlfn.XLOOKUP(1,('2016 E Maize Soil VWC'!$C$2:$C$6000=$AA237)*('2016 E Maize Soil VWC'!$E$2:$E$6000=$AB237)*('2016 E Maize Soil VWC'!$F$2:$F$6000=AC$5),'2016 E Maize Soil VWC'!$G$2:$G$6000)</f>
        <v>#N/A</v>
      </c>
      <c r="AD237" s="1" t="e" cm="1">
        <f t="array" ref="AD237">_xlfn.XLOOKUP(1,('2016 E Maize Soil VWC'!$C$2:$C$6000=$AA237)*('2016 E Maize Soil VWC'!$E$2:$E$6000=$AB237)*('2016 E Maize Soil VWC'!$F$2:$F$6000=AD$5),'2016 E Maize Soil VWC'!$G$2:$G$6000)</f>
        <v>#N/A</v>
      </c>
      <c r="AE237" s="1" t="e" cm="1">
        <f t="array" ref="AE237">_xlfn.XLOOKUP(1,('2016 E Maize Soil VWC'!$C$2:$C$6000=$AA237)*('2016 E Maize Soil VWC'!$E$2:$E$6000=$AB237)*('2016 E Maize Soil VWC'!$F$2:$F$6000=AE$5),'2016 E Maize Soil VWC'!$G$2:$G$6000)</f>
        <v>#N/A</v>
      </c>
      <c r="AF237" s="1" t="e" cm="1">
        <f t="array" ref="AF237">_xlfn.XLOOKUP(1,('2016 E Maize Soil VWC'!$C$2:$C$6000=$AA237)*('2016 E Maize Soil VWC'!$E$2:$E$6000=$AB237)*('2016 E Maize Soil VWC'!$F$2:$F$6000=AF$5),'2016 E Maize Soil VWC'!$G$2:$G$6000)</f>
        <v>#N/A</v>
      </c>
      <c r="AG237" s="1" t="e" cm="1">
        <f t="array" ref="AG237">_xlfn.XLOOKUP(1,('2016 E Maize Soil VWC'!$C$2:$C$6000=$AA237)*('2016 E Maize Soil VWC'!$E$2:$E$6000=$AB237)*('2016 E Maize Soil VWC'!$F$2:$F$6000=AG$5),'2016 E Maize Soil VWC'!$G$2:$G$6000)</f>
        <v>#N/A</v>
      </c>
      <c r="AH237" s="1" t="e" cm="1">
        <f t="array" ref="AH237">_xlfn.XLOOKUP(1,('2016 E Maize Soil VWC'!$C$2:$C$6000=$AA237)*('2016 E Maize Soil VWC'!$E$2:$E$6000=$AB237)*('2016 E Maize Soil VWC'!$F$2:$F$6000=AH$5),'2016 E Maize Soil VWC'!$G$2:$G$6000)</f>
        <v>#N/A</v>
      </c>
      <c r="AI237" s="1" t="e" cm="1">
        <f t="array" ref="AI237">_xlfn.XLOOKUP(1,('2016 E Maize Soil VWC'!$C$2:$C$6000=$AA237)*('2016 E Maize Soil VWC'!$E$2:$E$6000=$AB237)*('2016 E Maize Soil VWC'!$F$2:$F$6000=AI$5),'2016 E Maize Soil VWC'!$G$2:$G$6000)</f>
        <v>#N/A</v>
      </c>
      <c r="AJ237" s="1" t="e" cm="1">
        <f t="array" ref="AJ237">_xlfn.XLOOKUP(1,('2016 E Maize Soil VWC'!$C$2:$C$6000=$AA237)*('2016 E Maize Soil VWC'!$E$2:$E$6000=$AB237)*('2016 E Maize Soil VWC'!$F$2:$F$6000=AJ$5),'2016 E Maize Soil VWC'!$G$2:$G$6000)</f>
        <v>#N/A</v>
      </c>
      <c r="AK237" s="1" t="e" cm="1">
        <f t="array" ref="AK237">_xlfn.XLOOKUP(1,('2016 E Maize Soil VWC'!$C$2:$C$6000=$AA237)*('2016 E Maize Soil VWC'!$E$2:$E$6000=$AB237)*('2016 E Maize Soil VWC'!$F$2:$F$6000=AK$5),'2016 E Maize Soil VWC'!$G$2:$G$6000)</f>
        <v>#N/A</v>
      </c>
      <c r="AL237" s="1" t="e" cm="1">
        <f t="array" ref="AL237">_xlfn.XLOOKUP(1,('2016 E Maize Soil VWC'!$C$2:$C$6000=$AA237)*('2016 E Maize Soil VWC'!$E$2:$E$6000=$AB237)*('2016 E Maize Soil VWC'!$F$2:$F$6000=AL$5),'2016 E Maize Soil VWC'!$G$2:$G$6000)</f>
        <v>#N/A</v>
      </c>
      <c r="AM237" s="1" t="e" cm="1">
        <f t="array" ref="AM237">_xlfn.XLOOKUP(1,('2016 E Maize Soil VWC'!$C$2:$C$6000=$AA237)*('2016 E Maize Soil VWC'!$E$2:$E$6000=$AB237)*('2016 E Maize Soil VWC'!$F$2:$F$6000=AM$5),'2016 E Maize Soil VWC'!$G$2:$G$6000)</f>
        <v>#N/A</v>
      </c>
      <c r="AN237" s="1" t="e" cm="1">
        <f t="array" ref="AN237">_xlfn.XLOOKUP(1,('2016 E Maize Soil VWC'!$C$2:$C$6000=$AA237)*('2016 E Maize Soil VWC'!$E$2:$E$6000=$AB237)*('2016 E Maize Soil VWC'!$F$2:$F$6000=AN$5),'2016 E Maize Soil VWC'!$G$2:$G$6000)</f>
        <v>#N/A</v>
      </c>
      <c r="AO237" s="1" t="e" cm="1">
        <f t="array" ref="AO237">_xlfn.XLOOKUP(1,('2016 E Maize Soil VWC'!$C$2:$C$6000=$AA237)*('2016 E Maize Soil VWC'!$E$2:$E$6000=$AB237)*('2016 E Maize Soil VWC'!$F$2:$F$6000=AO$5),'2016 E Maize Soil VWC'!$G$2:$G$6000)</f>
        <v>#N/A</v>
      </c>
      <c r="AP237" s="1" t="e" cm="1">
        <f t="array" ref="AP237">_xlfn.XLOOKUP(1,('2016 E Maize Soil VWC'!$C$2:$C$6000=$AA237)*('2016 E Maize Soil VWC'!$E$2:$E$6000=$AB237)*('2016 E Maize Soil VWC'!$F$2:$F$6000=AP$5),'2016 E Maize Soil VWC'!$G$2:$G$6000)</f>
        <v>#N/A</v>
      </c>
      <c r="AQ237" s="1" t="e" cm="1">
        <f t="array" ref="AQ237">_xlfn.XLOOKUP(1,('2016 E Maize Soil VWC'!$C$2:$C$6000=$AA237)*('2016 E Maize Soil VWC'!$E$2:$E$6000=$AB237)*('2016 E Maize Soil VWC'!$F$2:$F$6000=AQ$5),'2016 E Maize Soil VWC'!$G$2:$G$6000)</f>
        <v>#N/A</v>
      </c>
      <c r="AR237" s="1" t="e" cm="1">
        <f t="array" ref="AR237">_xlfn.XLOOKUP(1,('2016 E Maize Soil VWC'!$C$2:$C$6000=$AA237)*('2016 E Maize Soil VWC'!$E$2:$E$6000=$AB237)*('2016 E Maize Soil VWC'!$F$2:$F$6000=AR$5),'2016 E Maize Soil VWC'!$G$2:$G$6000)</f>
        <v>#N/A</v>
      </c>
      <c r="AS237" s="1" t="e" cm="1">
        <f t="array" ref="AS237">_xlfn.XLOOKUP(1,('2016 E Maize Soil VWC'!$C$2:$C$6000=$AA237)*('2016 E Maize Soil VWC'!$E$2:$E$6000=$AB237)*('2016 E Maize Soil VWC'!$F$2:$F$6000=AS$5),'2016 E Maize Soil VWC'!$G$2:$G$6000)</f>
        <v>#N/A</v>
      </c>
      <c r="AT237" s="1" t="e" cm="1">
        <f t="array" ref="AT237">_xlfn.XLOOKUP(1,('2016 E Maize Soil VWC'!$C$2:$C$6000=$AA237)*('2016 E Maize Soil VWC'!$E$2:$E$6000=$AB237)*('2016 E Maize Soil VWC'!$F$2:$F$6000=AT$5),'2016 E Maize Soil VWC'!$G$2:$G$6000)</f>
        <v>#N/A</v>
      </c>
      <c r="AU237" s="1" t="e" cm="1">
        <f t="array" ref="AU237">_xlfn.XLOOKUP(1,('2016 E Maize Soil VWC'!$C$2:$C$6000=$AA237)*('2016 E Maize Soil VWC'!$E$2:$E$6000=$AB237)*('2016 E Maize Soil VWC'!$F$2:$F$6000=AU$5),'2016 E Maize Soil VWC'!$G$2:$G$6000)</f>
        <v>#N/A</v>
      </c>
      <c r="AV237" s="1" t="e" cm="1">
        <f t="array" ref="AV237">_xlfn.XLOOKUP(1,('2016 E Maize Soil VWC'!$C$2:$C$6000=$AA237)*('2016 E Maize Soil VWC'!$E$2:$E$6000=$AB237)*('2016 E Maize Soil VWC'!$F$2:$F$6000=AV$5),'2016 E Maize Soil VWC'!$G$2:$G$6000)</f>
        <v>#N/A</v>
      </c>
    </row>
    <row r="238" spans="25:64" x14ac:dyDescent="0.25">
      <c r="AA238" s="18">
        <f t="shared" si="37"/>
        <v>42369</v>
      </c>
      <c r="AB238" s="1">
        <f t="shared" si="38"/>
        <v>230</v>
      </c>
      <c r="AC238" s="1" t="e" cm="1">
        <f t="array" ref="AC238">_xlfn.XLOOKUP(1,('2016 E Maize Soil VWC'!$C$2:$C$6000=$AA238)*('2016 E Maize Soil VWC'!$E$2:$E$6000=$AB238)*('2016 E Maize Soil VWC'!$F$2:$F$6000=AC$5),'2016 E Maize Soil VWC'!$G$2:$G$6000)</f>
        <v>#N/A</v>
      </c>
      <c r="AD238" s="1" t="e" cm="1">
        <f t="array" ref="AD238">_xlfn.XLOOKUP(1,('2016 E Maize Soil VWC'!$C$2:$C$6000=$AA238)*('2016 E Maize Soil VWC'!$E$2:$E$6000=$AB238)*('2016 E Maize Soil VWC'!$F$2:$F$6000=AD$5),'2016 E Maize Soil VWC'!$G$2:$G$6000)</f>
        <v>#N/A</v>
      </c>
      <c r="AE238" s="1" t="e" cm="1">
        <f t="array" ref="AE238">_xlfn.XLOOKUP(1,('2016 E Maize Soil VWC'!$C$2:$C$6000=$AA238)*('2016 E Maize Soil VWC'!$E$2:$E$6000=$AB238)*('2016 E Maize Soil VWC'!$F$2:$F$6000=AE$5),'2016 E Maize Soil VWC'!$G$2:$G$6000)</f>
        <v>#N/A</v>
      </c>
      <c r="AF238" s="1" t="e" cm="1">
        <f t="array" ref="AF238">_xlfn.XLOOKUP(1,('2016 E Maize Soil VWC'!$C$2:$C$6000=$AA238)*('2016 E Maize Soil VWC'!$E$2:$E$6000=$AB238)*('2016 E Maize Soil VWC'!$F$2:$F$6000=AF$5),'2016 E Maize Soil VWC'!$G$2:$G$6000)</f>
        <v>#N/A</v>
      </c>
      <c r="AG238" s="1" t="e" cm="1">
        <f t="array" ref="AG238">_xlfn.XLOOKUP(1,('2016 E Maize Soil VWC'!$C$2:$C$6000=$AA238)*('2016 E Maize Soil VWC'!$E$2:$E$6000=$AB238)*('2016 E Maize Soil VWC'!$F$2:$F$6000=AG$5),'2016 E Maize Soil VWC'!$G$2:$G$6000)</f>
        <v>#N/A</v>
      </c>
      <c r="AH238" s="1" t="e" cm="1">
        <f t="array" ref="AH238">_xlfn.XLOOKUP(1,('2016 E Maize Soil VWC'!$C$2:$C$6000=$AA238)*('2016 E Maize Soil VWC'!$E$2:$E$6000=$AB238)*('2016 E Maize Soil VWC'!$F$2:$F$6000=AH$5),'2016 E Maize Soil VWC'!$G$2:$G$6000)</f>
        <v>#N/A</v>
      </c>
      <c r="AI238" s="1" t="e" cm="1">
        <f t="array" ref="AI238">_xlfn.XLOOKUP(1,('2016 E Maize Soil VWC'!$C$2:$C$6000=$AA238)*('2016 E Maize Soil VWC'!$E$2:$E$6000=$AB238)*('2016 E Maize Soil VWC'!$F$2:$F$6000=AI$5),'2016 E Maize Soil VWC'!$G$2:$G$6000)</f>
        <v>#N/A</v>
      </c>
      <c r="AJ238" s="1" t="e" cm="1">
        <f t="array" ref="AJ238">_xlfn.XLOOKUP(1,('2016 E Maize Soil VWC'!$C$2:$C$6000=$AA238)*('2016 E Maize Soil VWC'!$E$2:$E$6000=$AB238)*('2016 E Maize Soil VWC'!$F$2:$F$6000=AJ$5),'2016 E Maize Soil VWC'!$G$2:$G$6000)</f>
        <v>#N/A</v>
      </c>
      <c r="AK238" s="1" t="e" cm="1">
        <f t="array" ref="AK238">_xlfn.XLOOKUP(1,('2016 E Maize Soil VWC'!$C$2:$C$6000=$AA238)*('2016 E Maize Soil VWC'!$E$2:$E$6000=$AB238)*('2016 E Maize Soil VWC'!$F$2:$F$6000=AK$5),'2016 E Maize Soil VWC'!$G$2:$G$6000)</f>
        <v>#N/A</v>
      </c>
      <c r="AL238" s="1" t="e" cm="1">
        <f t="array" ref="AL238">_xlfn.XLOOKUP(1,('2016 E Maize Soil VWC'!$C$2:$C$6000=$AA238)*('2016 E Maize Soil VWC'!$E$2:$E$6000=$AB238)*('2016 E Maize Soil VWC'!$F$2:$F$6000=AL$5),'2016 E Maize Soil VWC'!$G$2:$G$6000)</f>
        <v>#N/A</v>
      </c>
      <c r="AM238" s="1" t="e" cm="1">
        <f t="array" ref="AM238">_xlfn.XLOOKUP(1,('2016 E Maize Soil VWC'!$C$2:$C$6000=$AA238)*('2016 E Maize Soil VWC'!$E$2:$E$6000=$AB238)*('2016 E Maize Soil VWC'!$F$2:$F$6000=AM$5),'2016 E Maize Soil VWC'!$G$2:$G$6000)</f>
        <v>#N/A</v>
      </c>
      <c r="AN238" s="1" t="e" cm="1">
        <f t="array" ref="AN238">_xlfn.XLOOKUP(1,('2016 E Maize Soil VWC'!$C$2:$C$6000=$AA238)*('2016 E Maize Soil VWC'!$E$2:$E$6000=$AB238)*('2016 E Maize Soil VWC'!$F$2:$F$6000=AN$5),'2016 E Maize Soil VWC'!$G$2:$G$6000)</f>
        <v>#N/A</v>
      </c>
      <c r="AO238" s="1" t="e" cm="1">
        <f t="array" ref="AO238">_xlfn.XLOOKUP(1,('2016 E Maize Soil VWC'!$C$2:$C$6000=$AA238)*('2016 E Maize Soil VWC'!$E$2:$E$6000=$AB238)*('2016 E Maize Soil VWC'!$F$2:$F$6000=AO$5),'2016 E Maize Soil VWC'!$G$2:$G$6000)</f>
        <v>#N/A</v>
      </c>
      <c r="AP238" s="1" t="e" cm="1">
        <f t="array" ref="AP238">_xlfn.XLOOKUP(1,('2016 E Maize Soil VWC'!$C$2:$C$6000=$AA238)*('2016 E Maize Soil VWC'!$E$2:$E$6000=$AB238)*('2016 E Maize Soil VWC'!$F$2:$F$6000=AP$5),'2016 E Maize Soil VWC'!$G$2:$G$6000)</f>
        <v>#N/A</v>
      </c>
      <c r="AQ238" s="1" t="e" cm="1">
        <f t="array" ref="AQ238">_xlfn.XLOOKUP(1,('2016 E Maize Soil VWC'!$C$2:$C$6000=$AA238)*('2016 E Maize Soil VWC'!$E$2:$E$6000=$AB238)*('2016 E Maize Soil VWC'!$F$2:$F$6000=AQ$5),'2016 E Maize Soil VWC'!$G$2:$G$6000)</f>
        <v>#N/A</v>
      </c>
      <c r="AR238" s="1" t="e" cm="1">
        <f t="array" ref="AR238">_xlfn.XLOOKUP(1,('2016 E Maize Soil VWC'!$C$2:$C$6000=$AA238)*('2016 E Maize Soil VWC'!$E$2:$E$6000=$AB238)*('2016 E Maize Soil VWC'!$F$2:$F$6000=AR$5),'2016 E Maize Soil VWC'!$G$2:$G$6000)</f>
        <v>#N/A</v>
      </c>
      <c r="AS238" s="1" t="e" cm="1">
        <f t="array" ref="AS238">_xlfn.XLOOKUP(1,('2016 E Maize Soil VWC'!$C$2:$C$6000=$AA238)*('2016 E Maize Soil VWC'!$E$2:$E$6000=$AB238)*('2016 E Maize Soil VWC'!$F$2:$F$6000=AS$5),'2016 E Maize Soil VWC'!$G$2:$G$6000)</f>
        <v>#N/A</v>
      </c>
      <c r="AT238" s="1" t="e" cm="1">
        <f t="array" ref="AT238">_xlfn.XLOOKUP(1,('2016 E Maize Soil VWC'!$C$2:$C$6000=$AA238)*('2016 E Maize Soil VWC'!$E$2:$E$6000=$AB238)*('2016 E Maize Soil VWC'!$F$2:$F$6000=AT$5),'2016 E Maize Soil VWC'!$G$2:$G$6000)</f>
        <v>#N/A</v>
      </c>
      <c r="AU238" s="1" t="e" cm="1">
        <f t="array" ref="AU238">_xlfn.XLOOKUP(1,('2016 E Maize Soil VWC'!$C$2:$C$6000=$AA238)*('2016 E Maize Soil VWC'!$E$2:$E$6000=$AB238)*('2016 E Maize Soil VWC'!$F$2:$F$6000=AU$5),'2016 E Maize Soil VWC'!$G$2:$G$6000)</f>
        <v>#N/A</v>
      </c>
      <c r="AV238" s="1" t="e" cm="1">
        <f t="array" ref="AV238">_xlfn.XLOOKUP(1,('2016 E Maize Soil VWC'!$C$2:$C$6000=$AA238)*('2016 E Maize Soil VWC'!$E$2:$E$6000=$AB238)*('2016 E Maize Soil VWC'!$F$2:$F$6000=AV$5),'2016 E Maize Soil VWC'!$G$2:$G$6000)</f>
        <v>#N/A</v>
      </c>
    </row>
    <row r="240" spans="25:64" x14ac:dyDescent="0.25">
      <c r="Y240" s="1">
        <v>2016</v>
      </c>
      <c r="Z240" s="1">
        <v>0</v>
      </c>
      <c r="AA240" s="18">
        <f>DATE(Y240,1,Z240)</f>
        <v>42369</v>
      </c>
      <c r="AB240" s="1">
        <v>10</v>
      </c>
      <c r="AC240" s="1" t="e" cm="1">
        <f t="array" ref="AC240">_xlfn.XLOOKUP(1,('2016 E Maize Soil VWC'!$C$2:$C$6000=$AA240)*('2016 E Maize Soil VWC'!$E$2:$E$6000=$AB240)*('2016 E Maize Soil VWC'!$F$2:$F$6000=AC$5),'2016 E Maize Soil VWC'!$G$2:$G$6000)</f>
        <v>#N/A</v>
      </c>
      <c r="AD240" s="1" t="e" cm="1">
        <f t="array" ref="AD240">_xlfn.XLOOKUP(1,('2016 E Maize Soil VWC'!$C$2:$C$6000=$AA240)*('2016 E Maize Soil VWC'!$E$2:$E$6000=$AB240)*('2016 E Maize Soil VWC'!$F$2:$F$6000=AD$5),'2016 E Maize Soil VWC'!$G$2:$G$6000)</f>
        <v>#N/A</v>
      </c>
      <c r="AE240" s="1" t="e" cm="1">
        <f t="array" ref="AE240">_xlfn.XLOOKUP(1,('2016 E Maize Soil VWC'!$C$2:$C$6000=$AA240)*('2016 E Maize Soil VWC'!$E$2:$E$6000=$AB240)*('2016 E Maize Soil VWC'!$F$2:$F$6000=AE$5),'2016 E Maize Soil VWC'!$G$2:$G$6000)</f>
        <v>#N/A</v>
      </c>
      <c r="AF240" s="1" t="e" cm="1">
        <f t="array" ref="AF240">_xlfn.XLOOKUP(1,('2016 E Maize Soil VWC'!$C$2:$C$6000=$AA240)*('2016 E Maize Soil VWC'!$E$2:$E$6000=$AB240)*('2016 E Maize Soil VWC'!$F$2:$F$6000=AF$5),'2016 E Maize Soil VWC'!$G$2:$G$6000)</f>
        <v>#N/A</v>
      </c>
      <c r="AG240" s="1" t="e" cm="1">
        <f t="array" ref="AG240">_xlfn.XLOOKUP(1,('2016 E Maize Soil VWC'!$C$2:$C$6000=$AA240)*('2016 E Maize Soil VWC'!$E$2:$E$6000=$AB240)*('2016 E Maize Soil VWC'!$F$2:$F$6000=AG$5),'2016 E Maize Soil VWC'!$G$2:$G$6000)</f>
        <v>#N/A</v>
      </c>
      <c r="AH240" s="1" t="e" cm="1">
        <f t="array" ref="AH240">_xlfn.XLOOKUP(1,('2016 E Maize Soil VWC'!$C$2:$C$6000=$AA240)*('2016 E Maize Soil VWC'!$E$2:$E$6000=$AB240)*('2016 E Maize Soil VWC'!$F$2:$F$6000=AH$5),'2016 E Maize Soil VWC'!$G$2:$G$6000)</f>
        <v>#N/A</v>
      </c>
      <c r="AI240" s="1" t="e" cm="1">
        <f t="array" ref="AI240">_xlfn.XLOOKUP(1,('2016 E Maize Soil VWC'!$C$2:$C$6000=$AA240)*('2016 E Maize Soil VWC'!$E$2:$E$6000=$AB240)*('2016 E Maize Soil VWC'!$F$2:$F$6000=AI$5),'2016 E Maize Soil VWC'!$G$2:$G$6000)</f>
        <v>#N/A</v>
      </c>
      <c r="AJ240" s="1" t="e" cm="1">
        <f t="array" ref="AJ240">_xlfn.XLOOKUP(1,('2016 E Maize Soil VWC'!$C$2:$C$6000=$AA240)*('2016 E Maize Soil VWC'!$E$2:$E$6000=$AB240)*('2016 E Maize Soil VWC'!$F$2:$F$6000=AJ$5),'2016 E Maize Soil VWC'!$G$2:$G$6000)</f>
        <v>#N/A</v>
      </c>
      <c r="AK240" s="1" t="e" cm="1">
        <f t="array" ref="AK240">_xlfn.XLOOKUP(1,('2016 E Maize Soil VWC'!$C$2:$C$6000=$AA240)*('2016 E Maize Soil VWC'!$E$2:$E$6000=$AB240)*('2016 E Maize Soil VWC'!$F$2:$F$6000=AK$5),'2016 E Maize Soil VWC'!$G$2:$G$6000)</f>
        <v>#N/A</v>
      </c>
      <c r="AL240" s="1" t="e" cm="1">
        <f t="array" ref="AL240">_xlfn.XLOOKUP(1,('2016 E Maize Soil VWC'!$C$2:$C$6000=$AA240)*('2016 E Maize Soil VWC'!$E$2:$E$6000=$AB240)*('2016 E Maize Soil VWC'!$F$2:$F$6000=AL$5),'2016 E Maize Soil VWC'!$G$2:$G$6000)</f>
        <v>#N/A</v>
      </c>
      <c r="AM240" s="1" t="e" cm="1">
        <f t="array" ref="AM240">_xlfn.XLOOKUP(1,('2016 E Maize Soil VWC'!$C$2:$C$6000=$AA240)*('2016 E Maize Soil VWC'!$E$2:$E$6000=$AB240)*('2016 E Maize Soil VWC'!$F$2:$F$6000=AM$5),'2016 E Maize Soil VWC'!$G$2:$G$6000)</f>
        <v>#N/A</v>
      </c>
      <c r="AN240" s="1" t="e" cm="1">
        <f t="array" ref="AN240">_xlfn.XLOOKUP(1,('2016 E Maize Soil VWC'!$C$2:$C$6000=$AA240)*('2016 E Maize Soil VWC'!$E$2:$E$6000=$AB240)*('2016 E Maize Soil VWC'!$F$2:$F$6000=AN$5),'2016 E Maize Soil VWC'!$G$2:$G$6000)</f>
        <v>#N/A</v>
      </c>
      <c r="AO240" s="1" t="e" cm="1">
        <f t="array" ref="AO240">_xlfn.XLOOKUP(1,('2016 E Maize Soil VWC'!$C$2:$C$6000=$AA240)*('2016 E Maize Soil VWC'!$E$2:$E$6000=$AB240)*('2016 E Maize Soil VWC'!$F$2:$F$6000=AO$5),'2016 E Maize Soil VWC'!$G$2:$G$6000)</f>
        <v>#N/A</v>
      </c>
      <c r="AP240" s="1" t="e" cm="1">
        <f t="array" ref="AP240">_xlfn.XLOOKUP(1,('2016 E Maize Soil VWC'!$C$2:$C$6000=$AA240)*('2016 E Maize Soil VWC'!$E$2:$E$6000=$AB240)*('2016 E Maize Soil VWC'!$F$2:$F$6000=AP$5),'2016 E Maize Soil VWC'!$G$2:$G$6000)</f>
        <v>#N/A</v>
      </c>
      <c r="AQ240" s="1" t="e" cm="1">
        <f t="array" ref="AQ240">_xlfn.XLOOKUP(1,('2016 E Maize Soil VWC'!$C$2:$C$6000=$AA240)*('2016 E Maize Soil VWC'!$E$2:$E$6000=$AB240)*('2016 E Maize Soil VWC'!$F$2:$F$6000=AQ$5),'2016 E Maize Soil VWC'!$G$2:$G$6000)</f>
        <v>#N/A</v>
      </c>
      <c r="AR240" s="1" t="e" cm="1">
        <f t="array" ref="AR240">_xlfn.XLOOKUP(1,('2016 E Maize Soil VWC'!$C$2:$C$6000=$AA240)*('2016 E Maize Soil VWC'!$E$2:$E$6000=$AB240)*('2016 E Maize Soil VWC'!$F$2:$F$6000=AR$5),'2016 E Maize Soil VWC'!$G$2:$G$6000)</f>
        <v>#N/A</v>
      </c>
      <c r="AS240" s="1" t="e" cm="1">
        <f t="array" ref="AS240">_xlfn.XLOOKUP(1,('2016 E Maize Soil VWC'!$C$2:$C$6000=$AA240)*('2016 E Maize Soil VWC'!$E$2:$E$6000=$AB240)*('2016 E Maize Soil VWC'!$F$2:$F$6000=AS$5),'2016 E Maize Soil VWC'!$G$2:$G$6000)</f>
        <v>#N/A</v>
      </c>
      <c r="AT240" s="1" t="e" cm="1">
        <f t="array" ref="AT240">_xlfn.XLOOKUP(1,('2016 E Maize Soil VWC'!$C$2:$C$6000=$AA240)*('2016 E Maize Soil VWC'!$E$2:$E$6000=$AB240)*('2016 E Maize Soil VWC'!$F$2:$F$6000=AT$5),'2016 E Maize Soil VWC'!$G$2:$G$6000)</f>
        <v>#N/A</v>
      </c>
      <c r="AU240" s="1" t="e" cm="1">
        <f t="array" ref="AU240">_xlfn.XLOOKUP(1,('2016 E Maize Soil VWC'!$C$2:$C$6000=$AA240)*('2016 E Maize Soil VWC'!$E$2:$E$6000=$AB240)*('2016 E Maize Soil VWC'!$F$2:$F$6000=AU$5),'2016 E Maize Soil VWC'!$G$2:$G$6000)</f>
        <v>#N/A</v>
      </c>
      <c r="AV240" s="1" t="e" cm="1">
        <f t="array" ref="AV240">_xlfn.XLOOKUP(1,('2016 E Maize Soil VWC'!$C$2:$C$6000=$AA240)*('2016 E Maize Soil VWC'!$E$2:$E$6000=$AB240)*('2016 E Maize Soil VWC'!$F$2:$F$6000=AV$5),'2016 E Maize Soil VWC'!$G$2:$G$6000)</f>
        <v>#N/A</v>
      </c>
      <c r="AW240" s="1">
        <f>Z240</f>
        <v>0</v>
      </c>
      <c r="AX240" s="15">
        <f>AA240</f>
        <v>42369</v>
      </c>
      <c r="AY240" s="1" t="e">
        <f>1400*AVERAGE(AG240:AH246)+100*AVERAGE(AG247:AH247)</f>
        <v>#N/A</v>
      </c>
      <c r="AZ240" s="1" t="e">
        <f>1400*AVERAGE(AC240:AF246,AI240:AL246)+100*AVERAGE(AC247:AF247,AI247:AL247)</f>
        <v>#N/A</v>
      </c>
      <c r="BA240" s="1" t="e">
        <f>1400*AVERAGE(AQ240:AR246)+100*AVERAGE(AQ247:AR247)</f>
        <v>#N/A</v>
      </c>
      <c r="BB240" s="1" t="e">
        <f>1400*AVERAGE(AM240:AP246,AS240:AV246)+100*AVERAGE(AM247:AP247,AS247:AV247)</f>
        <v>#N/A</v>
      </c>
      <c r="BC240" s="1" t="e">
        <f>AVERAGE(AC240:AD251)*2400</f>
        <v>#N/A</v>
      </c>
      <c r="BD240" s="1" t="e">
        <f>AVERAGE(AE240:AF251)*2400</f>
        <v>#N/A</v>
      </c>
      <c r="BE240" s="1" t="e">
        <f>AVERAGE(AG240:AH249)*2000</f>
        <v>#N/A</v>
      </c>
      <c r="BF240" s="1" t="e">
        <f>AVERAGE(AI240:AJ251)*2400</f>
        <v>#N/A</v>
      </c>
      <c r="BG240" s="1" t="e">
        <f>AVERAGE(AK240:AL251)*2400</f>
        <v>#N/A</v>
      </c>
      <c r="BH240" s="1" t="e">
        <f>AVERAGE(AM240:AN251)*2400</f>
        <v>#N/A</v>
      </c>
      <c r="BI240" s="1" t="e">
        <f>AVERAGE(AO240:AP251)*2400</f>
        <v>#N/A</v>
      </c>
      <c r="BJ240" s="1" t="e">
        <f>AVERAGE(AQ240:AR249)*2000</f>
        <v>#N/A</v>
      </c>
      <c r="BK240" s="1" t="e">
        <f>AVERAGE(AS240:AT251)*2400</f>
        <v>#N/A</v>
      </c>
      <c r="BL240" s="1" t="e">
        <f>AVERAGE(AU240:AV251)*2400</f>
        <v>#N/A</v>
      </c>
    </row>
    <row r="241" spans="25:64" x14ac:dyDescent="0.25">
      <c r="AA241" s="18">
        <f t="shared" ref="AA241:AA251" si="39">AA240</f>
        <v>42369</v>
      </c>
      <c r="AB241" s="1">
        <f t="shared" ref="AB241:AB251" si="40">AB240+20</f>
        <v>30</v>
      </c>
      <c r="AC241" s="1" t="e" cm="1">
        <f t="array" ref="AC241">_xlfn.XLOOKUP(1,('2016 E Maize Soil VWC'!$C$2:$C$6000=$AA241)*('2016 E Maize Soil VWC'!$E$2:$E$6000=$AB241)*('2016 E Maize Soil VWC'!$F$2:$F$6000=AC$5),'2016 E Maize Soil VWC'!$G$2:$G$6000)</f>
        <v>#N/A</v>
      </c>
      <c r="AD241" s="1" t="e" cm="1">
        <f t="array" ref="AD241">_xlfn.XLOOKUP(1,('2016 E Maize Soil VWC'!$C$2:$C$6000=$AA241)*('2016 E Maize Soil VWC'!$E$2:$E$6000=$AB241)*('2016 E Maize Soil VWC'!$F$2:$F$6000=AD$5),'2016 E Maize Soil VWC'!$G$2:$G$6000)</f>
        <v>#N/A</v>
      </c>
      <c r="AE241" s="1" t="e" cm="1">
        <f t="array" ref="AE241">_xlfn.XLOOKUP(1,('2016 E Maize Soil VWC'!$C$2:$C$6000=$AA241)*('2016 E Maize Soil VWC'!$E$2:$E$6000=$AB241)*('2016 E Maize Soil VWC'!$F$2:$F$6000=AE$5),'2016 E Maize Soil VWC'!$G$2:$G$6000)</f>
        <v>#N/A</v>
      </c>
      <c r="AF241" s="1" t="e" cm="1">
        <f t="array" ref="AF241">_xlfn.XLOOKUP(1,('2016 E Maize Soil VWC'!$C$2:$C$6000=$AA241)*('2016 E Maize Soil VWC'!$E$2:$E$6000=$AB241)*('2016 E Maize Soil VWC'!$F$2:$F$6000=AF$5),'2016 E Maize Soil VWC'!$G$2:$G$6000)</f>
        <v>#N/A</v>
      </c>
      <c r="AG241" s="1" t="e" cm="1">
        <f t="array" ref="AG241">_xlfn.XLOOKUP(1,('2016 E Maize Soil VWC'!$C$2:$C$6000=$AA241)*('2016 E Maize Soil VWC'!$E$2:$E$6000=$AB241)*('2016 E Maize Soil VWC'!$F$2:$F$6000=AG$5),'2016 E Maize Soil VWC'!$G$2:$G$6000)</f>
        <v>#N/A</v>
      </c>
      <c r="AH241" s="1" t="e" cm="1">
        <f t="array" ref="AH241">_xlfn.XLOOKUP(1,('2016 E Maize Soil VWC'!$C$2:$C$6000=$AA241)*('2016 E Maize Soil VWC'!$E$2:$E$6000=$AB241)*('2016 E Maize Soil VWC'!$F$2:$F$6000=AH$5),'2016 E Maize Soil VWC'!$G$2:$G$6000)</f>
        <v>#N/A</v>
      </c>
      <c r="AI241" s="1" t="e" cm="1">
        <f t="array" ref="AI241">_xlfn.XLOOKUP(1,('2016 E Maize Soil VWC'!$C$2:$C$6000=$AA241)*('2016 E Maize Soil VWC'!$E$2:$E$6000=$AB241)*('2016 E Maize Soil VWC'!$F$2:$F$6000=AI$5),'2016 E Maize Soil VWC'!$G$2:$G$6000)</f>
        <v>#N/A</v>
      </c>
      <c r="AJ241" s="1" t="e" cm="1">
        <f t="array" ref="AJ241">_xlfn.XLOOKUP(1,('2016 E Maize Soil VWC'!$C$2:$C$6000=$AA241)*('2016 E Maize Soil VWC'!$E$2:$E$6000=$AB241)*('2016 E Maize Soil VWC'!$F$2:$F$6000=AJ$5),'2016 E Maize Soil VWC'!$G$2:$G$6000)</f>
        <v>#N/A</v>
      </c>
      <c r="AK241" s="1" t="e" cm="1">
        <f t="array" ref="AK241">_xlfn.XLOOKUP(1,('2016 E Maize Soil VWC'!$C$2:$C$6000=$AA241)*('2016 E Maize Soil VWC'!$E$2:$E$6000=$AB241)*('2016 E Maize Soil VWC'!$F$2:$F$6000=AK$5),'2016 E Maize Soil VWC'!$G$2:$G$6000)</f>
        <v>#N/A</v>
      </c>
      <c r="AL241" s="1" t="e" cm="1">
        <f t="array" ref="AL241">_xlfn.XLOOKUP(1,('2016 E Maize Soil VWC'!$C$2:$C$6000=$AA241)*('2016 E Maize Soil VWC'!$E$2:$E$6000=$AB241)*('2016 E Maize Soil VWC'!$F$2:$F$6000=AL$5),'2016 E Maize Soil VWC'!$G$2:$G$6000)</f>
        <v>#N/A</v>
      </c>
      <c r="AM241" s="1" t="e" cm="1">
        <f t="array" ref="AM241">_xlfn.XLOOKUP(1,('2016 E Maize Soil VWC'!$C$2:$C$6000=$AA241)*('2016 E Maize Soil VWC'!$E$2:$E$6000=$AB241)*('2016 E Maize Soil VWC'!$F$2:$F$6000=AM$5),'2016 E Maize Soil VWC'!$G$2:$G$6000)</f>
        <v>#N/A</v>
      </c>
      <c r="AN241" s="1" t="e" cm="1">
        <f t="array" ref="AN241">_xlfn.XLOOKUP(1,('2016 E Maize Soil VWC'!$C$2:$C$6000=$AA241)*('2016 E Maize Soil VWC'!$E$2:$E$6000=$AB241)*('2016 E Maize Soil VWC'!$F$2:$F$6000=AN$5),'2016 E Maize Soil VWC'!$G$2:$G$6000)</f>
        <v>#N/A</v>
      </c>
      <c r="AO241" s="1" t="e" cm="1">
        <f t="array" ref="AO241">_xlfn.XLOOKUP(1,('2016 E Maize Soil VWC'!$C$2:$C$6000=$AA241)*('2016 E Maize Soil VWC'!$E$2:$E$6000=$AB241)*('2016 E Maize Soil VWC'!$F$2:$F$6000=AO$5),'2016 E Maize Soil VWC'!$G$2:$G$6000)</f>
        <v>#N/A</v>
      </c>
      <c r="AP241" s="1" t="e" cm="1">
        <f t="array" ref="AP241">_xlfn.XLOOKUP(1,('2016 E Maize Soil VWC'!$C$2:$C$6000=$AA241)*('2016 E Maize Soil VWC'!$E$2:$E$6000=$AB241)*('2016 E Maize Soil VWC'!$F$2:$F$6000=AP$5),'2016 E Maize Soil VWC'!$G$2:$G$6000)</f>
        <v>#N/A</v>
      </c>
      <c r="AQ241" s="1" t="e" cm="1">
        <f t="array" ref="AQ241">_xlfn.XLOOKUP(1,('2016 E Maize Soil VWC'!$C$2:$C$6000=$AA241)*('2016 E Maize Soil VWC'!$E$2:$E$6000=$AB241)*('2016 E Maize Soil VWC'!$F$2:$F$6000=AQ$5),'2016 E Maize Soil VWC'!$G$2:$G$6000)</f>
        <v>#N/A</v>
      </c>
      <c r="AR241" s="1" t="e" cm="1">
        <f t="array" ref="AR241">_xlfn.XLOOKUP(1,('2016 E Maize Soil VWC'!$C$2:$C$6000=$AA241)*('2016 E Maize Soil VWC'!$E$2:$E$6000=$AB241)*('2016 E Maize Soil VWC'!$F$2:$F$6000=AR$5),'2016 E Maize Soil VWC'!$G$2:$G$6000)</f>
        <v>#N/A</v>
      </c>
      <c r="AS241" s="1" t="e" cm="1">
        <f t="array" ref="AS241">_xlfn.XLOOKUP(1,('2016 E Maize Soil VWC'!$C$2:$C$6000=$AA241)*('2016 E Maize Soil VWC'!$E$2:$E$6000=$AB241)*('2016 E Maize Soil VWC'!$F$2:$F$6000=AS$5),'2016 E Maize Soil VWC'!$G$2:$G$6000)</f>
        <v>#N/A</v>
      </c>
      <c r="AT241" s="1" t="e" cm="1">
        <f t="array" ref="AT241">_xlfn.XLOOKUP(1,('2016 E Maize Soil VWC'!$C$2:$C$6000=$AA241)*('2016 E Maize Soil VWC'!$E$2:$E$6000=$AB241)*('2016 E Maize Soil VWC'!$F$2:$F$6000=AT$5),'2016 E Maize Soil VWC'!$G$2:$G$6000)</f>
        <v>#N/A</v>
      </c>
      <c r="AU241" s="1" t="e" cm="1">
        <f t="array" ref="AU241">_xlfn.XLOOKUP(1,('2016 E Maize Soil VWC'!$C$2:$C$6000=$AA241)*('2016 E Maize Soil VWC'!$E$2:$E$6000=$AB241)*('2016 E Maize Soil VWC'!$F$2:$F$6000=AU$5),'2016 E Maize Soil VWC'!$G$2:$G$6000)</f>
        <v>#N/A</v>
      </c>
      <c r="AV241" s="1" t="e" cm="1">
        <f t="array" ref="AV241">_xlfn.XLOOKUP(1,('2016 E Maize Soil VWC'!$C$2:$C$6000=$AA241)*('2016 E Maize Soil VWC'!$E$2:$E$6000=$AB241)*('2016 E Maize Soil VWC'!$F$2:$F$6000=AV$5),'2016 E Maize Soil VWC'!$G$2:$G$6000)</f>
        <v>#N/A</v>
      </c>
    </row>
    <row r="242" spans="25:64" x14ac:dyDescent="0.25">
      <c r="AA242" s="18">
        <f t="shared" si="39"/>
        <v>42369</v>
      </c>
      <c r="AB242" s="1">
        <f t="shared" si="40"/>
        <v>50</v>
      </c>
      <c r="AC242" s="1" t="e" cm="1">
        <f t="array" ref="AC242">_xlfn.XLOOKUP(1,('2016 E Maize Soil VWC'!$C$2:$C$6000=$AA242)*('2016 E Maize Soil VWC'!$E$2:$E$6000=$AB242)*('2016 E Maize Soil VWC'!$F$2:$F$6000=AC$5),'2016 E Maize Soil VWC'!$G$2:$G$6000)</f>
        <v>#N/A</v>
      </c>
      <c r="AD242" s="1" t="e" cm="1">
        <f t="array" ref="AD242">_xlfn.XLOOKUP(1,('2016 E Maize Soil VWC'!$C$2:$C$6000=$AA242)*('2016 E Maize Soil VWC'!$E$2:$E$6000=$AB242)*('2016 E Maize Soil VWC'!$F$2:$F$6000=AD$5),'2016 E Maize Soil VWC'!$G$2:$G$6000)</f>
        <v>#N/A</v>
      </c>
      <c r="AE242" s="1" t="e" cm="1">
        <f t="array" ref="AE242">_xlfn.XLOOKUP(1,('2016 E Maize Soil VWC'!$C$2:$C$6000=$AA242)*('2016 E Maize Soil VWC'!$E$2:$E$6000=$AB242)*('2016 E Maize Soil VWC'!$F$2:$F$6000=AE$5),'2016 E Maize Soil VWC'!$G$2:$G$6000)</f>
        <v>#N/A</v>
      </c>
      <c r="AF242" s="1" t="e" cm="1">
        <f t="array" ref="AF242">_xlfn.XLOOKUP(1,('2016 E Maize Soil VWC'!$C$2:$C$6000=$AA242)*('2016 E Maize Soil VWC'!$E$2:$E$6000=$AB242)*('2016 E Maize Soil VWC'!$F$2:$F$6000=AF$5),'2016 E Maize Soil VWC'!$G$2:$G$6000)</f>
        <v>#N/A</v>
      </c>
      <c r="AG242" s="1" t="e" cm="1">
        <f t="array" ref="AG242">_xlfn.XLOOKUP(1,('2016 E Maize Soil VWC'!$C$2:$C$6000=$AA242)*('2016 E Maize Soil VWC'!$E$2:$E$6000=$AB242)*('2016 E Maize Soil VWC'!$F$2:$F$6000=AG$5),'2016 E Maize Soil VWC'!$G$2:$G$6000)</f>
        <v>#N/A</v>
      </c>
      <c r="AH242" s="1" t="e" cm="1">
        <f t="array" ref="AH242">_xlfn.XLOOKUP(1,('2016 E Maize Soil VWC'!$C$2:$C$6000=$AA242)*('2016 E Maize Soil VWC'!$E$2:$E$6000=$AB242)*('2016 E Maize Soil VWC'!$F$2:$F$6000=AH$5),'2016 E Maize Soil VWC'!$G$2:$G$6000)</f>
        <v>#N/A</v>
      </c>
      <c r="AI242" s="1" t="e" cm="1">
        <f t="array" ref="AI242">_xlfn.XLOOKUP(1,('2016 E Maize Soil VWC'!$C$2:$C$6000=$AA242)*('2016 E Maize Soil VWC'!$E$2:$E$6000=$AB242)*('2016 E Maize Soil VWC'!$F$2:$F$6000=AI$5),'2016 E Maize Soil VWC'!$G$2:$G$6000)</f>
        <v>#N/A</v>
      </c>
      <c r="AJ242" s="1" t="e" cm="1">
        <f t="array" ref="AJ242">_xlfn.XLOOKUP(1,('2016 E Maize Soil VWC'!$C$2:$C$6000=$AA242)*('2016 E Maize Soil VWC'!$E$2:$E$6000=$AB242)*('2016 E Maize Soil VWC'!$F$2:$F$6000=AJ$5),'2016 E Maize Soil VWC'!$G$2:$G$6000)</f>
        <v>#N/A</v>
      </c>
      <c r="AK242" s="1" t="e" cm="1">
        <f t="array" ref="AK242">_xlfn.XLOOKUP(1,('2016 E Maize Soil VWC'!$C$2:$C$6000=$AA242)*('2016 E Maize Soil VWC'!$E$2:$E$6000=$AB242)*('2016 E Maize Soil VWC'!$F$2:$F$6000=AK$5),'2016 E Maize Soil VWC'!$G$2:$G$6000)</f>
        <v>#N/A</v>
      </c>
      <c r="AL242" s="1" t="e" cm="1">
        <f t="array" ref="AL242">_xlfn.XLOOKUP(1,('2016 E Maize Soil VWC'!$C$2:$C$6000=$AA242)*('2016 E Maize Soil VWC'!$E$2:$E$6000=$AB242)*('2016 E Maize Soil VWC'!$F$2:$F$6000=AL$5),'2016 E Maize Soil VWC'!$G$2:$G$6000)</f>
        <v>#N/A</v>
      </c>
      <c r="AM242" s="1" t="e" cm="1">
        <f t="array" ref="AM242">_xlfn.XLOOKUP(1,('2016 E Maize Soil VWC'!$C$2:$C$6000=$AA242)*('2016 E Maize Soil VWC'!$E$2:$E$6000=$AB242)*('2016 E Maize Soil VWC'!$F$2:$F$6000=AM$5),'2016 E Maize Soil VWC'!$G$2:$G$6000)</f>
        <v>#N/A</v>
      </c>
      <c r="AN242" s="1" t="e" cm="1">
        <f t="array" ref="AN242">_xlfn.XLOOKUP(1,('2016 E Maize Soil VWC'!$C$2:$C$6000=$AA242)*('2016 E Maize Soil VWC'!$E$2:$E$6000=$AB242)*('2016 E Maize Soil VWC'!$F$2:$F$6000=AN$5),'2016 E Maize Soil VWC'!$G$2:$G$6000)</f>
        <v>#N/A</v>
      </c>
      <c r="AO242" s="1" t="e" cm="1">
        <f t="array" ref="AO242">_xlfn.XLOOKUP(1,('2016 E Maize Soil VWC'!$C$2:$C$6000=$AA242)*('2016 E Maize Soil VWC'!$E$2:$E$6000=$AB242)*('2016 E Maize Soil VWC'!$F$2:$F$6000=AO$5),'2016 E Maize Soil VWC'!$G$2:$G$6000)</f>
        <v>#N/A</v>
      </c>
      <c r="AP242" s="1" t="e" cm="1">
        <f t="array" ref="AP242">_xlfn.XLOOKUP(1,('2016 E Maize Soil VWC'!$C$2:$C$6000=$AA242)*('2016 E Maize Soil VWC'!$E$2:$E$6000=$AB242)*('2016 E Maize Soil VWC'!$F$2:$F$6000=AP$5),'2016 E Maize Soil VWC'!$G$2:$G$6000)</f>
        <v>#N/A</v>
      </c>
      <c r="AQ242" s="1" t="e" cm="1">
        <f t="array" ref="AQ242">_xlfn.XLOOKUP(1,('2016 E Maize Soil VWC'!$C$2:$C$6000=$AA242)*('2016 E Maize Soil VWC'!$E$2:$E$6000=$AB242)*('2016 E Maize Soil VWC'!$F$2:$F$6000=AQ$5),'2016 E Maize Soil VWC'!$G$2:$G$6000)</f>
        <v>#N/A</v>
      </c>
      <c r="AR242" s="1" t="e" cm="1">
        <f t="array" ref="AR242">_xlfn.XLOOKUP(1,('2016 E Maize Soil VWC'!$C$2:$C$6000=$AA242)*('2016 E Maize Soil VWC'!$E$2:$E$6000=$AB242)*('2016 E Maize Soil VWC'!$F$2:$F$6000=AR$5),'2016 E Maize Soil VWC'!$G$2:$G$6000)</f>
        <v>#N/A</v>
      </c>
      <c r="AS242" s="1" t="e" cm="1">
        <f t="array" ref="AS242">_xlfn.XLOOKUP(1,('2016 E Maize Soil VWC'!$C$2:$C$6000=$AA242)*('2016 E Maize Soil VWC'!$E$2:$E$6000=$AB242)*('2016 E Maize Soil VWC'!$F$2:$F$6000=AS$5),'2016 E Maize Soil VWC'!$G$2:$G$6000)</f>
        <v>#N/A</v>
      </c>
      <c r="AT242" s="1" t="e" cm="1">
        <f t="array" ref="AT242">_xlfn.XLOOKUP(1,('2016 E Maize Soil VWC'!$C$2:$C$6000=$AA242)*('2016 E Maize Soil VWC'!$E$2:$E$6000=$AB242)*('2016 E Maize Soil VWC'!$F$2:$F$6000=AT$5),'2016 E Maize Soil VWC'!$G$2:$G$6000)</f>
        <v>#N/A</v>
      </c>
      <c r="AU242" s="1" t="e" cm="1">
        <f t="array" ref="AU242">_xlfn.XLOOKUP(1,('2016 E Maize Soil VWC'!$C$2:$C$6000=$AA242)*('2016 E Maize Soil VWC'!$E$2:$E$6000=$AB242)*('2016 E Maize Soil VWC'!$F$2:$F$6000=AU$5),'2016 E Maize Soil VWC'!$G$2:$G$6000)</f>
        <v>#N/A</v>
      </c>
      <c r="AV242" s="1" t="e" cm="1">
        <f t="array" ref="AV242">_xlfn.XLOOKUP(1,('2016 E Maize Soil VWC'!$C$2:$C$6000=$AA242)*('2016 E Maize Soil VWC'!$E$2:$E$6000=$AB242)*('2016 E Maize Soil VWC'!$F$2:$F$6000=AV$5),'2016 E Maize Soil VWC'!$G$2:$G$6000)</f>
        <v>#N/A</v>
      </c>
    </row>
    <row r="243" spans="25:64" x14ac:dyDescent="0.25">
      <c r="AA243" s="18">
        <f t="shared" si="39"/>
        <v>42369</v>
      </c>
      <c r="AB243" s="1">
        <f t="shared" si="40"/>
        <v>70</v>
      </c>
      <c r="AC243" s="1" t="e" cm="1">
        <f t="array" ref="AC243">_xlfn.XLOOKUP(1,('2016 E Maize Soil VWC'!$C$2:$C$6000=$AA243)*('2016 E Maize Soil VWC'!$E$2:$E$6000=$AB243)*('2016 E Maize Soil VWC'!$F$2:$F$6000=AC$5),'2016 E Maize Soil VWC'!$G$2:$G$6000)</f>
        <v>#N/A</v>
      </c>
      <c r="AD243" s="1" t="e" cm="1">
        <f t="array" ref="AD243">_xlfn.XLOOKUP(1,('2016 E Maize Soil VWC'!$C$2:$C$6000=$AA243)*('2016 E Maize Soil VWC'!$E$2:$E$6000=$AB243)*('2016 E Maize Soil VWC'!$F$2:$F$6000=AD$5),'2016 E Maize Soil VWC'!$G$2:$G$6000)</f>
        <v>#N/A</v>
      </c>
      <c r="AE243" s="1" t="e" cm="1">
        <f t="array" ref="AE243">_xlfn.XLOOKUP(1,('2016 E Maize Soil VWC'!$C$2:$C$6000=$AA243)*('2016 E Maize Soil VWC'!$E$2:$E$6000=$AB243)*('2016 E Maize Soil VWC'!$F$2:$F$6000=AE$5),'2016 E Maize Soil VWC'!$G$2:$G$6000)</f>
        <v>#N/A</v>
      </c>
      <c r="AF243" s="1" t="e" cm="1">
        <f t="array" ref="AF243">_xlfn.XLOOKUP(1,('2016 E Maize Soil VWC'!$C$2:$C$6000=$AA243)*('2016 E Maize Soil VWC'!$E$2:$E$6000=$AB243)*('2016 E Maize Soil VWC'!$F$2:$F$6000=AF$5),'2016 E Maize Soil VWC'!$G$2:$G$6000)</f>
        <v>#N/A</v>
      </c>
      <c r="AG243" s="1" t="e" cm="1">
        <f t="array" ref="AG243">_xlfn.XLOOKUP(1,('2016 E Maize Soil VWC'!$C$2:$C$6000=$AA243)*('2016 E Maize Soil VWC'!$E$2:$E$6000=$AB243)*('2016 E Maize Soil VWC'!$F$2:$F$6000=AG$5),'2016 E Maize Soil VWC'!$G$2:$G$6000)</f>
        <v>#N/A</v>
      </c>
      <c r="AH243" s="1" t="e" cm="1">
        <f t="array" ref="AH243">_xlfn.XLOOKUP(1,('2016 E Maize Soil VWC'!$C$2:$C$6000=$AA243)*('2016 E Maize Soil VWC'!$E$2:$E$6000=$AB243)*('2016 E Maize Soil VWC'!$F$2:$F$6000=AH$5),'2016 E Maize Soil VWC'!$G$2:$G$6000)</f>
        <v>#N/A</v>
      </c>
      <c r="AI243" s="1" t="e" cm="1">
        <f t="array" ref="AI243">_xlfn.XLOOKUP(1,('2016 E Maize Soil VWC'!$C$2:$C$6000=$AA243)*('2016 E Maize Soil VWC'!$E$2:$E$6000=$AB243)*('2016 E Maize Soil VWC'!$F$2:$F$6000=AI$5),'2016 E Maize Soil VWC'!$G$2:$G$6000)</f>
        <v>#N/A</v>
      </c>
      <c r="AJ243" s="1" t="e" cm="1">
        <f t="array" ref="AJ243">_xlfn.XLOOKUP(1,('2016 E Maize Soil VWC'!$C$2:$C$6000=$AA243)*('2016 E Maize Soil VWC'!$E$2:$E$6000=$AB243)*('2016 E Maize Soil VWC'!$F$2:$F$6000=AJ$5),'2016 E Maize Soil VWC'!$G$2:$G$6000)</f>
        <v>#N/A</v>
      </c>
      <c r="AK243" s="1" t="e" cm="1">
        <f t="array" ref="AK243">_xlfn.XLOOKUP(1,('2016 E Maize Soil VWC'!$C$2:$C$6000=$AA243)*('2016 E Maize Soil VWC'!$E$2:$E$6000=$AB243)*('2016 E Maize Soil VWC'!$F$2:$F$6000=AK$5),'2016 E Maize Soil VWC'!$G$2:$G$6000)</f>
        <v>#N/A</v>
      </c>
      <c r="AL243" s="1" t="e" cm="1">
        <f t="array" ref="AL243">_xlfn.XLOOKUP(1,('2016 E Maize Soil VWC'!$C$2:$C$6000=$AA243)*('2016 E Maize Soil VWC'!$E$2:$E$6000=$AB243)*('2016 E Maize Soil VWC'!$F$2:$F$6000=AL$5),'2016 E Maize Soil VWC'!$G$2:$G$6000)</f>
        <v>#N/A</v>
      </c>
      <c r="AM243" s="1" t="e" cm="1">
        <f t="array" ref="AM243">_xlfn.XLOOKUP(1,('2016 E Maize Soil VWC'!$C$2:$C$6000=$AA243)*('2016 E Maize Soil VWC'!$E$2:$E$6000=$AB243)*('2016 E Maize Soil VWC'!$F$2:$F$6000=AM$5),'2016 E Maize Soil VWC'!$G$2:$G$6000)</f>
        <v>#N/A</v>
      </c>
      <c r="AN243" s="1" t="e" cm="1">
        <f t="array" ref="AN243">_xlfn.XLOOKUP(1,('2016 E Maize Soil VWC'!$C$2:$C$6000=$AA243)*('2016 E Maize Soil VWC'!$E$2:$E$6000=$AB243)*('2016 E Maize Soil VWC'!$F$2:$F$6000=AN$5),'2016 E Maize Soil VWC'!$G$2:$G$6000)</f>
        <v>#N/A</v>
      </c>
      <c r="AO243" s="1" t="e" cm="1">
        <f t="array" ref="AO243">_xlfn.XLOOKUP(1,('2016 E Maize Soil VWC'!$C$2:$C$6000=$AA243)*('2016 E Maize Soil VWC'!$E$2:$E$6000=$AB243)*('2016 E Maize Soil VWC'!$F$2:$F$6000=AO$5),'2016 E Maize Soil VWC'!$G$2:$G$6000)</f>
        <v>#N/A</v>
      </c>
      <c r="AP243" s="1" t="e" cm="1">
        <f t="array" ref="AP243">_xlfn.XLOOKUP(1,('2016 E Maize Soil VWC'!$C$2:$C$6000=$AA243)*('2016 E Maize Soil VWC'!$E$2:$E$6000=$AB243)*('2016 E Maize Soil VWC'!$F$2:$F$6000=AP$5),'2016 E Maize Soil VWC'!$G$2:$G$6000)</f>
        <v>#N/A</v>
      </c>
      <c r="AQ243" s="1" t="e" cm="1">
        <f t="array" ref="AQ243">_xlfn.XLOOKUP(1,('2016 E Maize Soil VWC'!$C$2:$C$6000=$AA243)*('2016 E Maize Soil VWC'!$E$2:$E$6000=$AB243)*('2016 E Maize Soil VWC'!$F$2:$F$6000=AQ$5),'2016 E Maize Soil VWC'!$G$2:$G$6000)</f>
        <v>#N/A</v>
      </c>
      <c r="AR243" s="1" t="e" cm="1">
        <f t="array" ref="AR243">_xlfn.XLOOKUP(1,('2016 E Maize Soil VWC'!$C$2:$C$6000=$AA243)*('2016 E Maize Soil VWC'!$E$2:$E$6000=$AB243)*('2016 E Maize Soil VWC'!$F$2:$F$6000=AR$5),'2016 E Maize Soil VWC'!$G$2:$G$6000)</f>
        <v>#N/A</v>
      </c>
      <c r="AS243" s="1" t="e" cm="1">
        <f t="array" ref="AS243">_xlfn.XLOOKUP(1,('2016 E Maize Soil VWC'!$C$2:$C$6000=$AA243)*('2016 E Maize Soil VWC'!$E$2:$E$6000=$AB243)*('2016 E Maize Soil VWC'!$F$2:$F$6000=AS$5),'2016 E Maize Soil VWC'!$G$2:$G$6000)</f>
        <v>#N/A</v>
      </c>
      <c r="AT243" s="1" t="e" cm="1">
        <f t="array" ref="AT243">_xlfn.XLOOKUP(1,('2016 E Maize Soil VWC'!$C$2:$C$6000=$AA243)*('2016 E Maize Soil VWC'!$E$2:$E$6000=$AB243)*('2016 E Maize Soil VWC'!$F$2:$F$6000=AT$5),'2016 E Maize Soil VWC'!$G$2:$G$6000)</f>
        <v>#N/A</v>
      </c>
      <c r="AU243" s="1" t="e" cm="1">
        <f t="array" ref="AU243">_xlfn.XLOOKUP(1,('2016 E Maize Soil VWC'!$C$2:$C$6000=$AA243)*('2016 E Maize Soil VWC'!$E$2:$E$6000=$AB243)*('2016 E Maize Soil VWC'!$F$2:$F$6000=AU$5),'2016 E Maize Soil VWC'!$G$2:$G$6000)</f>
        <v>#N/A</v>
      </c>
      <c r="AV243" s="1" t="e" cm="1">
        <f t="array" ref="AV243">_xlfn.XLOOKUP(1,('2016 E Maize Soil VWC'!$C$2:$C$6000=$AA243)*('2016 E Maize Soil VWC'!$E$2:$E$6000=$AB243)*('2016 E Maize Soil VWC'!$F$2:$F$6000=AV$5),'2016 E Maize Soil VWC'!$G$2:$G$6000)</f>
        <v>#N/A</v>
      </c>
    </row>
    <row r="244" spans="25:64" x14ac:dyDescent="0.25">
      <c r="AA244" s="18">
        <f t="shared" si="39"/>
        <v>42369</v>
      </c>
      <c r="AB244" s="1">
        <f t="shared" si="40"/>
        <v>90</v>
      </c>
      <c r="AC244" s="1" t="e" cm="1">
        <f t="array" ref="AC244">_xlfn.XLOOKUP(1,('2016 E Maize Soil VWC'!$C$2:$C$6000=$AA244)*('2016 E Maize Soil VWC'!$E$2:$E$6000=$AB244)*('2016 E Maize Soil VWC'!$F$2:$F$6000=AC$5),'2016 E Maize Soil VWC'!$G$2:$G$6000)</f>
        <v>#N/A</v>
      </c>
      <c r="AD244" s="1" t="e" cm="1">
        <f t="array" ref="AD244">_xlfn.XLOOKUP(1,('2016 E Maize Soil VWC'!$C$2:$C$6000=$AA244)*('2016 E Maize Soil VWC'!$E$2:$E$6000=$AB244)*('2016 E Maize Soil VWC'!$F$2:$F$6000=AD$5),'2016 E Maize Soil VWC'!$G$2:$G$6000)</f>
        <v>#N/A</v>
      </c>
      <c r="AE244" s="1" t="e" cm="1">
        <f t="array" ref="AE244">_xlfn.XLOOKUP(1,('2016 E Maize Soil VWC'!$C$2:$C$6000=$AA244)*('2016 E Maize Soil VWC'!$E$2:$E$6000=$AB244)*('2016 E Maize Soil VWC'!$F$2:$F$6000=AE$5),'2016 E Maize Soil VWC'!$G$2:$G$6000)</f>
        <v>#N/A</v>
      </c>
      <c r="AF244" s="1" t="e" cm="1">
        <f t="array" ref="AF244">_xlfn.XLOOKUP(1,('2016 E Maize Soil VWC'!$C$2:$C$6000=$AA244)*('2016 E Maize Soil VWC'!$E$2:$E$6000=$AB244)*('2016 E Maize Soil VWC'!$F$2:$F$6000=AF$5),'2016 E Maize Soil VWC'!$G$2:$G$6000)</f>
        <v>#N/A</v>
      </c>
      <c r="AG244" s="1" t="e" cm="1">
        <f t="array" ref="AG244">_xlfn.XLOOKUP(1,('2016 E Maize Soil VWC'!$C$2:$C$6000=$AA244)*('2016 E Maize Soil VWC'!$E$2:$E$6000=$AB244)*('2016 E Maize Soil VWC'!$F$2:$F$6000=AG$5),'2016 E Maize Soil VWC'!$G$2:$G$6000)</f>
        <v>#N/A</v>
      </c>
      <c r="AH244" s="1" t="e" cm="1">
        <f t="array" ref="AH244">_xlfn.XLOOKUP(1,('2016 E Maize Soil VWC'!$C$2:$C$6000=$AA244)*('2016 E Maize Soil VWC'!$E$2:$E$6000=$AB244)*('2016 E Maize Soil VWC'!$F$2:$F$6000=AH$5),'2016 E Maize Soil VWC'!$G$2:$G$6000)</f>
        <v>#N/A</v>
      </c>
      <c r="AI244" s="1" t="e" cm="1">
        <f t="array" ref="AI244">_xlfn.XLOOKUP(1,('2016 E Maize Soil VWC'!$C$2:$C$6000=$AA244)*('2016 E Maize Soil VWC'!$E$2:$E$6000=$AB244)*('2016 E Maize Soil VWC'!$F$2:$F$6000=AI$5),'2016 E Maize Soil VWC'!$G$2:$G$6000)</f>
        <v>#N/A</v>
      </c>
      <c r="AJ244" s="1" t="e" cm="1">
        <f t="array" ref="AJ244">_xlfn.XLOOKUP(1,('2016 E Maize Soil VWC'!$C$2:$C$6000=$AA244)*('2016 E Maize Soil VWC'!$E$2:$E$6000=$AB244)*('2016 E Maize Soil VWC'!$F$2:$F$6000=AJ$5),'2016 E Maize Soil VWC'!$G$2:$G$6000)</f>
        <v>#N/A</v>
      </c>
      <c r="AK244" s="1" t="e" cm="1">
        <f t="array" ref="AK244">_xlfn.XLOOKUP(1,('2016 E Maize Soil VWC'!$C$2:$C$6000=$AA244)*('2016 E Maize Soil VWC'!$E$2:$E$6000=$AB244)*('2016 E Maize Soil VWC'!$F$2:$F$6000=AK$5),'2016 E Maize Soil VWC'!$G$2:$G$6000)</f>
        <v>#N/A</v>
      </c>
      <c r="AL244" s="1" t="e" cm="1">
        <f t="array" ref="AL244">_xlfn.XLOOKUP(1,('2016 E Maize Soil VWC'!$C$2:$C$6000=$AA244)*('2016 E Maize Soil VWC'!$E$2:$E$6000=$AB244)*('2016 E Maize Soil VWC'!$F$2:$F$6000=AL$5),'2016 E Maize Soil VWC'!$G$2:$G$6000)</f>
        <v>#N/A</v>
      </c>
      <c r="AM244" s="1" t="e" cm="1">
        <f t="array" ref="AM244">_xlfn.XLOOKUP(1,('2016 E Maize Soil VWC'!$C$2:$C$6000=$AA244)*('2016 E Maize Soil VWC'!$E$2:$E$6000=$AB244)*('2016 E Maize Soil VWC'!$F$2:$F$6000=AM$5),'2016 E Maize Soil VWC'!$G$2:$G$6000)</f>
        <v>#N/A</v>
      </c>
      <c r="AN244" s="1" t="e" cm="1">
        <f t="array" ref="AN244">_xlfn.XLOOKUP(1,('2016 E Maize Soil VWC'!$C$2:$C$6000=$AA244)*('2016 E Maize Soil VWC'!$E$2:$E$6000=$AB244)*('2016 E Maize Soil VWC'!$F$2:$F$6000=AN$5),'2016 E Maize Soil VWC'!$G$2:$G$6000)</f>
        <v>#N/A</v>
      </c>
      <c r="AO244" s="1" t="e" cm="1">
        <f t="array" ref="AO244">_xlfn.XLOOKUP(1,('2016 E Maize Soil VWC'!$C$2:$C$6000=$AA244)*('2016 E Maize Soil VWC'!$E$2:$E$6000=$AB244)*('2016 E Maize Soil VWC'!$F$2:$F$6000=AO$5),'2016 E Maize Soil VWC'!$G$2:$G$6000)</f>
        <v>#N/A</v>
      </c>
      <c r="AP244" s="1" t="e" cm="1">
        <f t="array" ref="AP244">_xlfn.XLOOKUP(1,('2016 E Maize Soil VWC'!$C$2:$C$6000=$AA244)*('2016 E Maize Soil VWC'!$E$2:$E$6000=$AB244)*('2016 E Maize Soil VWC'!$F$2:$F$6000=AP$5),'2016 E Maize Soil VWC'!$G$2:$G$6000)</f>
        <v>#N/A</v>
      </c>
      <c r="AQ244" s="1" t="e" cm="1">
        <f t="array" ref="AQ244">_xlfn.XLOOKUP(1,('2016 E Maize Soil VWC'!$C$2:$C$6000=$AA244)*('2016 E Maize Soil VWC'!$E$2:$E$6000=$AB244)*('2016 E Maize Soil VWC'!$F$2:$F$6000=AQ$5),'2016 E Maize Soil VWC'!$G$2:$G$6000)</f>
        <v>#N/A</v>
      </c>
      <c r="AR244" s="1" t="e" cm="1">
        <f t="array" ref="AR244">_xlfn.XLOOKUP(1,('2016 E Maize Soil VWC'!$C$2:$C$6000=$AA244)*('2016 E Maize Soil VWC'!$E$2:$E$6000=$AB244)*('2016 E Maize Soil VWC'!$F$2:$F$6000=AR$5),'2016 E Maize Soil VWC'!$G$2:$G$6000)</f>
        <v>#N/A</v>
      </c>
      <c r="AS244" s="1" t="e" cm="1">
        <f t="array" ref="AS244">_xlfn.XLOOKUP(1,('2016 E Maize Soil VWC'!$C$2:$C$6000=$AA244)*('2016 E Maize Soil VWC'!$E$2:$E$6000=$AB244)*('2016 E Maize Soil VWC'!$F$2:$F$6000=AS$5),'2016 E Maize Soil VWC'!$G$2:$G$6000)</f>
        <v>#N/A</v>
      </c>
      <c r="AT244" s="1" t="e" cm="1">
        <f t="array" ref="AT244">_xlfn.XLOOKUP(1,('2016 E Maize Soil VWC'!$C$2:$C$6000=$AA244)*('2016 E Maize Soil VWC'!$E$2:$E$6000=$AB244)*('2016 E Maize Soil VWC'!$F$2:$F$6000=AT$5),'2016 E Maize Soil VWC'!$G$2:$G$6000)</f>
        <v>#N/A</v>
      </c>
      <c r="AU244" s="1" t="e" cm="1">
        <f t="array" ref="AU244">_xlfn.XLOOKUP(1,('2016 E Maize Soil VWC'!$C$2:$C$6000=$AA244)*('2016 E Maize Soil VWC'!$E$2:$E$6000=$AB244)*('2016 E Maize Soil VWC'!$F$2:$F$6000=AU$5),'2016 E Maize Soil VWC'!$G$2:$G$6000)</f>
        <v>#N/A</v>
      </c>
      <c r="AV244" s="1" t="e" cm="1">
        <f t="array" ref="AV244">_xlfn.XLOOKUP(1,('2016 E Maize Soil VWC'!$C$2:$C$6000=$AA244)*('2016 E Maize Soil VWC'!$E$2:$E$6000=$AB244)*('2016 E Maize Soil VWC'!$F$2:$F$6000=AV$5),'2016 E Maize Soil VWC'!$G$2:$G$6000)</f>
        <v>#N/A</v>
      </c>
    </row>
    <row r="245" spans="25:64" x14ac:dyDescent="0.25">
      <c r="AA245" s="18">
        <f t="shared" si="39"/>
        <v>42369</v>
      </c>
      <c r="AB245" s="1">
        <f t="shared" si="40"/>
        <v>110</v>
      </c>
      <c r="AC245" s="1" t="e" cm="1">
        <f t="array" ref="AC245">_xlfn.XLOOKUP(1,('2016 E Maize Soil VWC'!$C$2:$C$6000=$AA245)*('2016 E Maize Soil VWC'!$E$2:$E$6000=$AB245)*('2016 E Maize Soil VWC'!$F$2:$F$6000=AC$5),'2016 E Maize Soil VWC'!$G$2:$G$6000)</f>
        <v>#N/A</v>
      </c>
      <c r="AD245" s="1" t="e" cm="1">
        <f t="array" ref="AD245">_xlfn.XLOOKUP(1,('2016 E Maize Soil VWC'!$C$2:$C$6000=$AA245)*('2016 E Maize Soil VWC'!$E$2:$E$6000=$AB245)*('2016 E Maize Soil VWC'!$F$2:$F$6000=AD$5),'2016 E Maize Soil VWC'!$G$2:$G$6000)</f>
        <v>#N/A</v>
      </c>
      <c r="AE245" s="1" t="e" cm="1">
        <f t="array" ref="AE245">_xlfn.XLOOKUP(1,('2016 E Maize Soil VWC'!$C$2:$C$6000=$AA245)*('2016 E Maize Soil VWC'!$E$2:$E$6000=$AB245)*('2016 E Maize Soil VWC'!$F$2:$F$6000=AE$5),'2016 E Maize Soil VWC'!$G$2:$G$6000)</f>
        <v>#N/A</v>
      </c>
      <c r="AF245" s="1" t="e" cm="1">
        <f t="array" ref="AF245">_xlfn.XLOOKUP(1,('2016 E Maize Soil VWC'!$C$2:$C$6000=$AA245)*('2016 E Maize Soil VWC'!$E$2:$E$6000=$AB245)*('2016 E Maize Soil VWC'!$F$2:$F$6000=AF$5),'2016 E Maize Soil VWC'!$G$2:$G$6000)</f>
        <v>#N/A</v>
      </c>
      <c r="AG245" s="1" t="e" cm="1">
        <f t="array" ref="AG245">_xlfn.XLOOKUP(1,('2016 E Maize Soil VWC'!$C$2:$C$6000=$AA245)*('2016 E Maize Soil VWC'!$E$2:$E$6000=$AB245)*('2016 E Maize Soil VWC'!$F$2:$F$6000=AG$5),'2016 E Maize Soil VWC'!$G$2:$G$6000)</f>
        <v>#N/A</v>
      </c>
      <c r="AH245" s="1" t="e" cm="1">
        <f t="array" ref="AH245">_xlfn.XLOOKUP(1,('2016 E Maize Soil VWC'!$C$2:$C$6000=$AA245)*('2016 E Maize Soil VWC'!$E$2:$E$6000=$AB245)*('2016 E Maize Soil VWC'!$F$2:$F$6000=AH$5),'2016 E Maize Soil VWC'!$G$2:$G$6000)</f>
        <v>#N/A</v>
      </c>
      <c r="AI245" s="1" t="e" cm="1">
        <f t="array" ref="AI245">_xlfn.XLOOKUP(1,('2016 E Maize Soil VWC'!$C$2:$C$6000=$AA245)*('2016 E Maize Soil VWC'!$E$2:$E$6000=$AB245)*('2016 E Maize Soil VWC'!$F$2:$F$6000=AI$5),'2016 E Maize Soil VWC'!$G$2:$G$6000)</f>
        <v>#N/A</v>
      </c>
      <c r="AJ245" s="1" t="e" cm="1">
        <f t="array" ref="AJ245">_xlfn.XLOOKUP(1,('2016 E Maize Soil VWC'!$C$2:$C$6000=$AA245)*('2016 E Maize Soil VWC'!$E$2:$E$6000=$AB245)*('2016 E Maize Soil VWC'!$F$2:$F$6000=AJ$5),'2016 E Maize Soil VWC'!$G$2:$G$6000)</f>
        <v>#N/A</v>
      </c>
      <c r="AK245" s="1" t="e" cm="1">
        <f t="array" ref="AK245">_xlfn.XLOOKUP(1,('2016 E Maize Soil VWC'!$C$2:$C$6000=$AA245)*('2016 E Maize Soil VWC'!$E$2:$E$6000=$AB245)*('2016 E Maize Soil VWC'!$F$2:$F$6000=AK$5),'2016 E Maize Soil VWC'!$G$2:$G$6000)</f>
        <v>#N/A</v>
      </c>
      <c r="AL245" s="1" t="e" cm="1">
        <f t="array" ref="AL245">_xlfn.XLOOKUP(1,('2016 E Maize Soil VWC'!$C$2:$C$6000=$AA245)*('2016 E Maize Soil VWC'!$E$2:$E$6000=$AB245)*('2016 E Maize Soil VWC'!$F$2:$F$6000=AL$5),'2016 E Maize Soil VWC'!$G$2:$G$6000)</f>
        <v>#N/A</v>
      </c>
      <c r="AM245" s="1" t="e" cm="1">
        <f t="array" ref="AM245">_xlfn.XLOOKUP(1,('2016 E Maize Soil VWC'!$C$2:$C$6000=$AA245)*('2016 E Maize Soil VWC'!$E$2:$E$6000=$AB245)*('2016 E Maize Soil VWC'!$F$2:$F$6000=AM$5),'2016 E Maize Soil VWC'!$G$2:$G$6000)</f>
        <v>#N/A</v>
      </c>
      <c r="AN245" s="1" t="e" cm="1">
        <f t="array" ref="AN245">_xlfn.XLOOKUP(1,('2016 E Maize Soil VWC'!$C$2:$C$6000=$AA245)*('2016 E Maize Soil VWC'!$E$2:$E$6000=$AB245)*('2016 E Maize Soil VWC'!$F$2:$F$6000=AN$5),'2016 E Maize Soil VWC'!$G$2:$G$6000)</f>
        <v>#N/A</v>
      </c>
      <c r="AO245" s="1" t="e" cm="1">
        <f t="array" ref="AO245">_xlfn.XLOOKUP(1,('2016 E Maize Soil VWC'!$C$2:$C$6000=$AA245)*('2016 E Maize Soil VWC'!$E$2:$E$6000=$AB245)*('2016 E Maize Soil VWC'!$F$2:$F$6000=AO$5),'2016 E Maize Soil VWC'!$G$2:$G$6000)</f>
        <v>#N/A</v>
      </c>
      <c r="AP245" s="1" t="e" cm="1">
        <f t="array" ref="AP245">_xlfn.XLOOKUP(1,('2016 E Maize Soil VWC'!$C$2:$C$6000=$AA245)*('2016 E Maize Soil VWC'!$E$2:$E$6000=$AB245)*('2016 E Maize Soil VWC'!$F$2:$F$6000=AP$5),'2016 E Maize Soil VWC'!$G$2:$G$6000)</f>
        <v>#N/A</v>
      </c>
      <c r="AQ245" s="1" t="e" cm="1">
        <f t="array" ref="AQ245">_xlfn.XLOOKUP(1,('2016 E Maize Soil VWC'!$C$2:$C$6000=$AA245)*('2016 E Maize Soil VWC'!$E$2:$E$6000=$AB245)*('2016 E Maize Soil VWC'!$F$2:$F$6000=AQ$5),'2016 E Maize Soil VWC'!$G$2:$G$6000)</f>
        <v>#N/A</v>
      </c>
      <c r="AR245" s="1" t="e" cm="1">
        <f t="array" ref="AR245">_xlfn.XLOOKUP(1,('2016 E Maize Soil VWC'!$C$2:$C$6000=$AA245)*('2016 E Maize Soil VWC'!$E$2:$E$6000=$AB245)*('2016 E Maize Soil VWC'!$F$2:$F$6000=AR$5),'2016 E Maize Soil VWC'!$G$2:$G$6000)</f>
        <v>#N/A</v>
      </c>
      <c r="AS245" s="1" t="e" cm="1">
        <f t="array" ref="AS245">_xlfn.XLOOKUP(1,('2016 E Maize Soil VWC'!$C$2:$C$6000=$AA245)*('2016 E Maize Soil VWC'!$E$2:$E$6000=$AB245)*('2016 E Maize Soil VWC'!$F$2:$F$6000=AS$5),'2016 E Maize Soil VWC'!$G$2:$G$6000)</f>
        <v>#N/A</v>
      </c>
      <c r="AT245" s="1" t="e" cm="1">
        <f t="array" ref="AT245">_xlfn.XLOOKUP(1,('2016 E Maize Soil VWC'!$C$2:$C$6000=$AA245)*('2016 E Maize Soil VWC'!$E$2:$E$6000=$AB245)*('2016 E Maize Soil VWC'!$F$2:$F$6000=AT$5),'2016 E Maize Soil VWC'!$G$2:$G$6000)</f>
        <v>#N/A</v>
      </c>
      <c r="AU245" s="1" t="e" cm="1">
        <f t="array" ref="AU245">_xlfn.XLOOKUP(1,('2016 E Maize Soil VWC'!$C$2:$C$6000=$AA245)*('2016 E Maize Soil VWC'!$E$2:$E$6000=$AB245)*('2016 E Maize Soil VWC'!$F$2:$F$6000=AU$5),'2016 E Maize Soil VWC'!$G$2:$G$6000)</f>
        <v>#N/A</v>
      </c>
      <c r="AV245" s="1" t="e" cm="1">
        <f t="array" ref="AV245">_xlfn.XLOOKUP(1,('2016 E Maize Soil VWC'!$C$2:$C$6000=$AA245)*('2016 E Maize Soil VWC'!$E$2:$E$6000=$AB245)*('2016 E Maize Soil VWC'!$F$2:$F$6000=AV$5),'2016 E Maize Soil VWC'!$G$2:$G$6000)</f>
        <v>#N/A</v>
      </c>
    </row>
    <row r="246" spans="25:64" x14ac:dyDescent="0.25">
      <c r="AA246" s="18">
        <f t="shared" si="39"/>
        <v>42369</v>
      </c>
      <c r="AB246" s="1">
        <f t="shared" si="40"/>
        <v>130</v>
      </c>
      <c r="AC246" s="1" t="e" cm="1">
        <f t="array" ref="AC246">_xlfn.XLOOKUP(1,('2016 E Maize Soil VWC'!$C$2:$C$6000=$AA246)*('2016 E Maize Soil VWC'!$E$2:$E$6000=$AB246)*('2016 E Maize Soil VWC'!$F$2:$F$6000=AC$5),'2016 E Maize Soil VWC'!$G$2:$G$6000)</f>
        <v>#N/A</v>
      </c>
      <c r="AD246" s="1" t="e" cm="1">
        <f t="array" ref="AD246">_xlfn.XLOOKUP(1,('2016 E Maize Soil VWC'!$C$2:$C$6000=$AA246)*('2016 E Maize Soil VWC'!$E$2:$E$6000=$AB246)*('2016 E Maize Soil VWC'!$F$2:$F$6000=AD$5),'2016 E Maize Soil VWC'!$G$2:$G$6000)</f>
        <v>#N/A</v>
      </c>
      <c r="AE246" s="1" t="e" cm="1">
        <f t="array" ref="AE246">_xlfn.XLOOKUP(1,('2016 E Maize Soil VWC'!$C$2:$C$6000=$AA246)*('2016 E Maize Soil VWC'!$E$2:$E$6000=$AB246)*('2016 E Maize Soil VWC'!$F$2:$F$6000=AE$5),'2016 E Maize Soil VWC'!$G$2:$G$6000)</f>
        <v>#N/A</v>
      </c>
      <c r="AF246" s="1" t="e" cm="1">
        <f t="array" ref="AF246">_xlfn.XLOOKUP(1,('2016 E Maize Soil VWC'!$C$2:$C$6000=$AA246)*('2016 E Maize Soil VWC'!$E$2:$E$6000=$AB246)*('2016 E Maize Soil VWC'!$F$2:$F$6000=AF$5),'2016 E Maize Soil VWC'!$G$2:$G$6000)</f>
        <v>#N/A</v>
      </c>
      <c r="AG246" s="1" t="e" cm="1">
        <f t="array" ref="AG246">_xlfn.XLOOKUP(1,('2016 E Maize Soil VWC'!$C$2:$C$6000=$AA246)*('2016 E Maize Soil VWC'!$E$2:$E$6000=$AB246)*('2016 E Maize Soil VWC'!$F$2:$F$6000=AG$5),'2016 E Maize Soil VWC'!$G$2:$G$6000)</f>
        <v>#N/A</v>
      </c>
      <c r="AH246" s="1" t="e" cm="1">
        <f t="array" ref="AH246">_xlfn.XLOOKUP(1,('2016 E Maize Soil VWC'!$C$2:$C$6000=$AA246)*('2016 E Maize Soil VWC'!$E$2:$E$6000=$AB246)*('2016 E Maize Soil VWC'!$F$2:$F$6000=AH$5),'2016 E Maize Soil VWC'!$G$2:$G$6000)</f>
        <v>#N/A</v>
      </c>
      <c r="AI246" s="1" t="e" cm="1">
        <f t="array" ref="AI246">_xlfn.XLOOKUP(1,('2016 E Maize Soil VWC'!$C$2:$C$6000=$AA246)*('2016 E Maize Soil VWC'!$E$2:$E$6000=$AB246)*('2016 E Maize Soil VWC'!$F$2:$F$6000=AI$5),'2016 E Maize Soil VWC'!$G$2:$G$6000)</f>
        <v>#N/A</v>
      </c>
      <c r="AJ246" s="1" t="e" cm="1">
        <f t="array" ref="AJ246">_xlfn.XLOOKUP(1,('2016 E Maize Soil VWC'!$C$2:$C$6000=$AA246)*('2016 E Maize Soil VWC'!$E$2:$E$6000=$AB246)*('2016 E Maize Soil VWC'!$F$2:$F$6000=AJ$5),'2016 E Maize Soil VWC'!$G$2:$G$6000)</f>
        <v>#N/A</v>
      </c>
      <c r="AK246" s="1" t="e" cm="1">
        <f t="array" ref="AK246">_xlfn.XLOOKUP(1,('2016 E Maize Soil VWC'!$C$2:$C$6000=$AA246)*('2016 E Maize Soil VWC'!$E$2:$E$6000=$AB246)*('2016 E Maize Soil VWC'!$F$2:$F$6000=AK$5),'2016 E Maize Soil VWC'!$G$2:$G$6000)</f>
        <v>#N/A</v>
      </c>
      <c r="AL246" s="1" t="e" cm="1">
        <f t="array" ref="AL246">_xlfn.XLOOKUP(1,('2016 E Maize Soil VWC'!$C$2:$C$6000=$AA246)*('2016 E Maize Soil VWC'!$E$2:$E$6000=$AB246)*('2016 E Maize Soil VWC'!$F$2:$F$6000=AL$5),'2016 E Maize Soil VWC'!$G$2:$G$6000)</f>
        <v>#N/A</v>
      </c>
      <c r="AM246" s="1" t="e" cm="1">
        <f t="array" ref="AM246">_xlfn.XLOOKUP(1,('2016 E Maize Soil VWC'!$C$2:$C$6000=$AA246)*('2016 E Maize Soil VWC'!$E$2:$E$6000=$AB246)*('2016 E Maize Soil VWC'!$F$2:$F$6000=AM$5),'2016 E Maize Soil VWC'!$G$2:$G$6000)</f>
        <v>#N/A</v>
      </c>
      <c r="AN246" s="1" t="e" cm="1">
        <f t="array" ref="AN246">_xlfn.XLOOKUP(1,('2016 E Maize Soil VWC'!$C$2:$C$6000=$AA246)*('2016 E Maize Soil VWC'!$E$2:$E$6000=$AB246)*('2016 E Maize Soil VWC'!$F$2:$F$6000=AN$5),'2016 E Maize Soil VWC'!$G$2:$G$6000)</f>
        <v>#N/A</v>
      </c>
      <c r="AO246" s="1" t="e" cm="1">
        <f t="array" ref="AO246">_xlfn.XLOOKUP(1,('2016 E Maize Soil VWC'!$C$2:$C$6000=$AA246)*('2016 E Maize Soil VWC'!$E$2:$E$6000=$AB246)*('2016 E Maize Soil VWC'!$F$2:$F$6000=AO$5),'2016 E Maize Soil VWC'!$G$2:$G$6000)</f>
        <v>#N/A</v>
      </c>
      <c r="AP246" s="1" t="e" cm="1">
        <f t="array" ref="AP246">_xlfn.XLOOKUP(1,('2016 E Maize Soil VWC'!$C$2:$C$6000=$AA246)*('2016 E Maize Soil VWC'!$E$2:$E$6000=$AB246)*('2016 E Maize Soil VWC'!$F$2:$F$6000=AP$5),'2016 E Maize Soil VWC'!$G$2:$G$6000)</f>
        <v>#N/A</v>
      </c>
      <c r="AQ246" s="1" t="e" cm="1">
        <f t="array" ref="AQ246">_xlfn.XLOOKUP(1,('2016 E Maize Soil VWC'!$C$2:$C$6000=$AA246)*('2016 E Maize Soil VWC'!$E$2:$E$6000=$AB246)*('2016 E Maize Soil VWC'!$F$2:$F$6000=AQ$5),'2016 E Maize Soil VWC'!$G$2:$G$6000)</f>
        <v>#N/A</v>
      </c>
      <c r="AR246" s="1" t="e" cm="1">
        <f t="array" ref="AR246">_xlfn.XLOOKUP(1,('2016 E Maize Soil VWC'!$C$2:$C$6000=$AA246)*('2016 E Maize Soil VWC'!$E$2:$E$6000=$AB246)*('2016 E Maize Soil VWC'!$F$2:$F$6000=AR$5),'2016 E Maize Soil VWC'!$G$2:$G$6000)</f>
        <v>#N/A</v>
      </c>
      <c r="AS246" s="1" t="e" cm="1">
        <f t="array" ref="AS246">_xlfn.XLOOKUP(1,('2016 E Maize Soil VWC'!$C$2:$C$6000=$AA246)*('2016 E Maize Soil VWC'!$E$2:$E$6000=$AB246)*('2016 E Maize Soil VWC'!$F$2:$F$6000=AS$5),'2016 E Maize Soil VWC'!$G$2:$G$6000)</f>
        <v>#N/A</v>
      </c>
      <c r="AT246" s="1" t="e" cm="1">
        <f t="array" ref="AT246">_xlfn.XLOOKUP(1,('2016 E Maize Soil VWC'!$C$2:$C$6000=$AA246)*('2016 E Maize Soil VWC'!$E$2:$E$6000=$AB246)*('2016 E Maize Soil VWC'!$F$2:$F$6000=AT$5),'2016 E Maize Soil VWC'!$G$2:$G$6000)</f>
        <v>#N/A</v>
      </c>
      <c r="AU246" s="1" t="e" cm="1">
        <f t="array" ref="AU246">_xlfn.XLOOKUP(1,('2016 E Maize Soil VWC'!$C$2:$C$6000=$AA246)*('2016 E Maize Soil VWC'!$E$2:$E$6000=$AB246)*('2016 E Maize Soil VWC'!$F$2:$F$6000=AU$5),'2016 E Maize Soil VWC'!$G$2:$G$6000)</f>
        <v>#N/A</v>
      </c>
      <c r="AV246" s="1" t="e" cm="1">
        <f t="array" ref="AV246">_xlfn.XLOOKUP(1,('2016 E Maize Soil VWC'!$C$2:$C$6000=$AA246)*('2016 E Maize Soil VWC'!$E$2:$E$6000=$AB246)*('2016 E Maize Soil VWC'!$F$2:$F$6000=AV$5),'2016 E Maize Soil VWC'!$G$2:$G$6000)</f>
        <v>#N/A</v>
      </c>
    </row>
    <row r="247" spans="25:64" x14ac:dyDescent="0.25">
      <c r="AA247" s="18">
        <f t="shared" si="39"/>
        <v>42369</v>
      </c>
      <c r="AB247" s="1">
        <f t="shared" si="40"/>
        <v>150</v>
      </c>
      <c r="AC247" s="1" t="e" cm="1">
        <f t="array" ref="AC247">_xlfn.XLOOKUP(1,('2016 E Maize Soil VWC'!$C$2:$C$6000=$AA247)*('2016 E Maize Soil VWC'!$E$2:$E$6000=$AB247)*('2016 E Maize Soil VWC'!$F$2:$F$6000=AC$5),'2016 E Maize Soil VWC'!$G$2:$G$6000)</f>
        <v>#N/A</v>
      </c>
      <c r="AD247" s="1" t="e" cm="1">
        <f t="array" ref="AD247">_xlfn.XLOOKUP(1,('2016 E Maize Soil VWC'!$C$2:$C$6000=$AA247)*('2016 E Maize Soil VWC'!$E$2:$E$6000=$AB247)*('2016 E Maize Soil VWC'!$F$2:$F$6000=AD$5),'2016 E Maize Soil VWC'!$G$2:$G$6000)</f>
        <v>#N/A</v>
      </c>
      <c r="AE247" s="1" t="e" cm="1">
        <f t="array" ref="AE247">_xlfn.XLOOKUP(1,('2016 E Maize Soil VWC'!$C$2:$C$6000=$AA247)*('2016 E Maize Soil VWC'!$E$2:$E$6000=$AB247)*('2016 E Maize Soil VWC'!$F$2:$F$6000=AE$5),'2016 E Maize Soil VWC'!$G$2:$G$6000)</f>
        <v>#N/A</v>
      </c>
      <c r="AF247" s="1" t="e" cm="1">
        <f t="array" ref="AF247">_xlfn.XLOOKUP(1,('2016 E Maize Soil VWC'!$C$2:$C$6000=$AA247)*('2016 E Maize Soil VWC'!$E$2:$E$6000=$AB247)*('2016 E Maize Soil VWC'!$F$2:$F$6000=AF$5),'2016 E Maize Soil VWC'!$G$2:$G$6000)</f>
        <v>#N/A</v>
      </c>
      <c r="AG247" s="1" t="e" cm="1">
        <f t="array" ref="AG247">_xlfn.XLOOKUP(1,('2016 E Maize Soil VWC'!$C$2:$C$6000=$AA247)*('2016 E Maize Soil VWC'!$E$2:$E$6000=$AB247)*('2016 E Maize Soil VWC'!$F$2:$F$6000=AG$5),'2016 E Maize Soil VWC'!$G$2:$G$6000)</f>
        <v>#N/A</v>
      </c>
      <c r="AH247" s="1" t="e" cm="1">
        <f t="array" ref="AH247">_xlfn.XLOOKUP(1,('2016 E Maize Soil VWC'!$C$2:$C$6000=$AA247)*('2016 E Maize Soil VWC'!$E$2:$E$6000=$AB247)*('2016 E Maize Soil VWC'!$F$2:$F$6000=AH$5),'2016 E Maize Soil VWC'!$G$2:$G$6000)</f>
        <v>#N/A</v>
      </c>
      <c r="AI247" s="1" t="e" cm="1">
        <f t="array" ref="AI247">_xlfn.XLOOKUP(1,('2016 E Maize Soil VWC'!$C$2:$C$6000=$AA247)*('2016 E Maize Soil VWC'!$E$2:$E$6000=$AB247)*('2016 E Maize Soil VWC'!$F$2:$F$6000=AI$5),'2016 E Maize Soil VWC'!$G$2:$G$6000)</f>
        <v>#N/A</v>
      </c>
      <c r="AJ247" s="1" t="e" cm="1">
        <f t="array" ref="AJ247">_xlfn.XLOOKUP(1,('2016 E Maize Soil VWC'!$C$2:$C$6000=$AA247)*('2016 E Maize Soil VWC'!$E$2:$E$6000=$AB247)*('2016 E Maize Soil VWC'!$F$2:$F$6000=AJ$5),'2016 E Maize Soil VWC'!$G$2:$G$6000)</f>
        <v>#N/A</v>
      </c>
      <c r="AK247" s="1" t="e" cm="1">
        <f t="array" ref="AK247">_xlfn.XLOOKUP(1,('2016 E Maize Soil VWC'!$C$2:$C$6000=$AA247)*('2016 E Maize Soil VWC'!$E$2:$E$6000=$AB247)*('2016 E Maize Soil VWC'!$F$2:$F$6000=AK$5),'2016 E Maize Soil VWC'!$G$2:$G$6000)</f>
        <v>#N/A</v>
      </c>
      <c r="AL247" s="1" t="e" cm="1">
        <f t="array" ref="AL247">_xlfn.XLOOKUP(1,('2016 E Maize Soil VWC'!$C$2:$C$6000=$AA247)*('2016 E Maize Soil VWC'!$E$2:$E$6000=$AB247)*('2016 E Maize Soil VWC'!$F$2:$F$6000=AL$5),'2016 E Maize Soil VWC'!$G$2:$G$6000)</f>
        <v>#N/A</v>
      </c>
      <c r="AM247" s="1" t="e" cm="1">
        <f t="array" ref="AM247">_xlfn.XLOOKUP(1,('2016 E Maize Soil VWC'!$C$2:$C$6000=$AA247)*('2016 E Maize Soil VWC'!$E$2:$E$6000=$AB247)*('2016 E Maize Soil VWC'!$F$2:$F$6000=AM$5),'2016 E Maize Soil VWC'!$G$2:$G$6000)</f>
        <v>#N/A</v>
      </c>
      <c r="AN247" s="1" t="e" cm="1">
        <f t="array" ref="AN247">_xlfn.XLOOKUP(1,('2016 E Maize Soil VWC'!$C$2:$C$6000=$AA247)*('2016 E Maize Soil VWC'!$E$2:$E$6000=$AB247)*('2016 E Maize Soil VWC'!$F$2:$F$6000=AN$5),'2016 E Maize Soil VWC'!$G$2:$G$6000)</f>
        <v>#N/A</v>
      </c>
      <c r="AO247" s="1" t="e" cm="1">
        <f t="array" ref="AO247">_xlfn.XLOOKUP(1,('2016 E Maize Soil VWC'!$C$2:$C$6000=$AA247)*('2016 E Maize Soil VWC'!$E$2:$E$6000=$AB247)*('2016 E Maize Soil VWC'!$F$2:$F$6000=AO$5),'2016 E Maize Soil VWC'!$G$2:$G$6000)</f>
        <v>#N/A</v>
      </c>
      <c r="AP247" s="1" t="e" cm="1">
        <f t="array" ref="AP247">_xlfn.XLOOKUP(1,('2016 E Maize Soil VWC'!$C$2:$C$6000=$AA247)*('2016 E Maize Soil VWC'!$E$2:$E$6000=$AB247)*('2016 E Maize Soil VWC'!$F$2:$F$6000=AP$5),'2016 E Maize Soil VWC'!$G$2:$G$6000)</f>
        <v>#N/A</v>
      </c>
      <c r="AQ247" s="1" t="e" cm="1">
        <f t="array" ref="AQ247">_xlfn.XLOOKUP(1,('2016 E Maize Soil VWC'!$C$2:$C$6000=$AA247)*('2016 E Maize Soil VWC'!$E$2:$E$6000=$AB247)*('2016 E Maize Soil VWC'!$F$2:$F$6000=AQ$5),'2016 E Maize Soil VWC'!$G$2:$G$6000)</f>
        <v>#N/A</v>
      </c>
      <c r="AR247" s="1" t="e" cm="1">
        <f t="array" ref="AR247">_xlfn.XLOOKUP(1,('2016 E Maize Soil VWC'!$C$2:$C$6000=$AA247)*('2016 E Maize Soil VWC'!$E$2:$E$6000=$AB247)*('2016 E Maize Soil VWC'!$F$2:$F$6000=AR$5),'2016 E Maize Soil VWC'!$G$2:$G$6000)</f>
        <v>#N/A</v>
      </c>
      <c r="AS247" s="1" t="e" cm="1">
        <f t="array" ref="AS247">_xlfn.XLOOKUP(1,('2016 E Maize Soil VWC'!$C$2:$C$6000=$AA247)*('2016 E Maize Soil VWC'!$E$2:$E$6000=$AB247)*('2016 E Maize Soil VWC'!$F$2:$F$6000=AS$5),'2016 E Maize Soil VWC'!$G$2:$G$6000)</f>
        <v>#N/A</v>
      </c>
      <c r="AT247" s="1" t="e" cm="1">
        <f t="array" ref="AT247">_xlfn.XLOOKUP(1,('2016 E Maize Soil VWC'!$C$2:$C$6000=$AA247)*('2016 E Maize Soil VWC'!$E$2:$E$6000=$AB247)*('2016 E Maize Soil VWC'!$F$2:$F$6000=AT$5),'2016 E Maize Soil VWC'!$G$2:$G$6000)</f>
        <v>#N/A</v>
      </c>
      <c r="AU247" s="1" t="e" cm="1">
        <f t="array" ref="AU247">_xlfn.XLOOKUP(1,('2016 E Maize Soil VWC'!$C$2:$C$6000=$AA247)*('2016 E Maize Soil VWC'!$E$2:$E$6000=$AB247)*('2016 E Maize Soil VWC'!$F$2:$F$6000=AU$5),'2016 E Maize Soil VWC'!$G$2:$G$6000)</f>
        <v>#N/A</v>
      </c>
      <c r="AV247" s="1" t="e" cm="1">
        <f t="array" ref="AV247">_xlfn.XLOOKUP(1,('2016 E Maize Soil VWC'!$C$2:$C$6000=$AA247)*('2016 E Maize Soil VWC'!$E$2:$E$6000=$AB247)*('2016 E Maize Soil VWC'!$F$2:$F$6000=AV$5),'2016 E Maize Soil VWC'!$G$2:$G$6000)</f>
        <v>#N/A</v>
      </c>
    </row>
    <row r="248" spans="25:64" x14ac:dyDescent="0.25">
      <c r="AA248" s="18">
        <f t="shared" si="39"/>
        <v>42369</v>
      </c>
      <c r="AB248" s="1">
        <f t="shared" si="40"/>
        <v>170</v>
      </c>
      <c r="AC248" s="1" t="e" cm="1">
        <f t="array" ref="AC248">_xlfn.XLOOKUP(1,('2016 E Maize Soil VWC'!$C$2:$C$6000=$AA248)*('2016 E Maize Soil VWC'!$E$2:$E$6000=$AB248)*('2016 E Maize Soil VWC'!$F$2:$F$6000=AC$5),'2016 E Maize Soil VWC'!$G$2:$G$6000)</f>
        <v>#N/A</v>
      </c>
      <c r="AD248" s="1" t="e" cm="1">
        <f t="array" ref="AD248">_xlfn.XLOOKUP(1,('2016 E Maize Soil VWC'!$C$2:$C$6000=$AA248)*('2016 E Maize Soil VWC'!$E$2:$E$6000=$AB248)*('2016 E Maize Soil VWC'!$F$2:$F$6000=AD$5),'2016 E Maize Soil VWC'!$G$2:$G$6000)</f>
        <v>#N/A</v>
      </c>
      <c r="AE248" s="1" t="e" cm="1">
        <f t="array" ref="AE248">_xlfn.XLOOKUP(1,('2016 E Maize Soil VWC'!$C$2:$C$6000=$AA248)*('2016 E Maize Soil VWC'!$E$2:$E$6000=$AB248)*('2016 E Maize Soil VWC'!$F$2:$F$6000=AE$5),'2016 E Maize Soil VWC'!$G$2:$G$6000)</f>
        <v>#N/A</v>
      </c>
      <c r="AF248" s="1" t="e" cm="1">
        <f t="array" ref="AF248">_xlfn.XLOOKUP(1,('2016 E Maize Soil VWC'!$C$2:$C$6000=$AA248)*('2016 E Maize Soil VWC'!$E$2:$E$6000=$AB248)*('2016 E Maize Soil VWC'!$F$2:$F$6000=AF$5),'2016 E Maize Soil VWC'!$G$2:$G$6000)</f>
        <v>#N/A</v>
      </c>
      <c r="AG248" s="1" t="e" cm="1">
        <f t="array" ref="AG248">_xlfn.XLOOKUP(1,('2016 E Maize Soil VWC'!$C$2:$C$6000=$AA248)*('2016 E Maize Soil VWC'!$E$2:$E$6000=$AB248)*('2016 E Maize Soil VWC'!$F$2:$F$6000=AG$5),'2016 E Maize Soil VWC'!$G$2:$G$6000)</f>
        <v>#N/A</v>
      </c>
      <c r="AH248" s="1" t="e" cm="1">
        <f t="array" ref="AH248">_xlfn.XLOOKUP(1,('2016 E Maize Soil VWC'!$C$2:$C$6000=$AA248)*('2016 E Maize Soil VWC'!$E$2:$E$6000=$AB248)*('2016 E Maize Soil VWC'!$F$2:$F$6000=AH$5),'2016 E Maize Soil VWC'!$G$2:$G$6000)</f>
        <v>#N/A</v>
      </c>
      <c r="AI248" s="1" t="e" cm="1">
        <f t="array" ref="AI248">_xlfn.XLOOKUP(1,('2016 E Maize Soil VWC'!$C$2:$C$6000=$AA248)*('2016 E Maize Soil VWC'!$E$2:$E$6000=$AB248)*('2016 E Maize Soil VWC'!$F$2:$F$6000=AI$5),'2016 E Maize Soil VWC'!$G$2:$G$6000)</f>
        <v>#N/A</v>
      </c>
      <c r="AJ248" s="1" t="e" cm="1">
        <f t="array" ref="AJ248">_xlfn.XLOOKUP(1,('2016 E Maize Soil VWC'!$C$2:$C$6000=$AA248)*('2016 E Maize Soil VWC'!$E$2:$E$6000=$AB248)*('2016 E Maize Soil VWC'!$F$2:$F$6000=AJ$5),'2016 E Maize Soil VWC'!$G$2:$G$6000)</f>
        <v>#N/A</v>
      </c>
      <c r="AK248" s="1" t="e" cm="1">
        <f t="array" ref="AK248">_xlfn.XLOOKUP(1,('2016 E Maize Soil VWC'!$C$2:$C$6000=$AA248)*('2016 E Maize Soil VWC'!$E$2:$E$6000=$AB248)*('2016 E Maize Soil VWC'!$F$2:$F$6000=AK$5),'2016 E Maize Soil VWC'!$G$2:$G$6000)</f>
        <v>#N/A</v>
      </c>
      <c r="AL248" s="1" t="e" cm="1">
        <f t="array" ref="AL248">_xlfn.XLOOKUP(1,('2016 E Maize Soil VWC'!$C$2:$C$6000=$AA248)*('2016 E Maize Soil VWC'!$E$2:$E$6000=$AB248)*('2016 E Maize Soil VWC'!$F$2:$F$6000=AL$5),'2016 E Maize Soil VWC'!$G$2:$G$6000)</f>
        <v>#N/A</v>
      </c>
      <c r="AM248" s="1" t="e" cm="1">
        <f t="array" ref="AM248">_xlfn.XLOOKUP(1,('2016 E Maize Soil VWC'!$C$2:$C$6000=$AA248)*('2016 E Maize Soil VWC'!$E$2:$E$6000=$AB248)*('2016 E Maize Soil VWC'!$F$2:$F$6000=AM$5),'2016 E Maize Soil VWC'!$G$2:$G$6000)</f>
        <v>#N/A</v>
      </c>
      <c r="AN248" s="1" t="e" cm="1">
        <f t="array" ref="AN248">_xlfn.XLOOKUP(1,('2016 E Maize Soil VWC'!$C$2:$C$6000=$AA248)*('2016 E Maize Soil VWC'!$E$2:$E$6000=$AB248)*('2016 E Maize Soil VWC'!$F$2:$F$6000=AN$5),'2016 E Maize Soil VWC'!$G$2:$G$6000)</f>
        <v>#N/A</v>
      </c>
      <c r="AO248" s="1" t="e" cm="1">
        <f t="array" ref="AO248">_xlfn.XLOOKUP(1,('2016 E Maize Soil VWC'!$C$2:$C$6000=$AA248)*('2016 E Maize Soil VWC'!$E$2:$E$6000=$AB248)*('2016 E Maize Soil VWC'!$F$2:$F$6000=AO$5),'2016 E Maize Soil VWC'!$G$2:$G$6000)</f>
        <v>#N/A</v>
      </c>
      <c r="AP248" s="1" t="e" cm="1">
        <f t="array" ref="AP248">_xlfn.XLOOKUP(1,('2016 E Maize Soil VWC'!$C$2:$C$6000=$AA248)*('2016 E Maize Soil VWC'!$E$2:$E$6000=$AB248)*('2016 E Maize Soil VWC'!$F$2:$F$6000=AP$5),'2016 E Maize Soil VWC'!$G$2:$G$6000)</f>
        <v>#N/A</v>
      </c>
      <c r="AQ248" s="1" t="e" cm="1">
        <f t="array" ref="AQ248">_xlfn.XLOOKUP(1,('2016 E Maize Soil VWC'!$C$2:$C$6000=$AA248)*('2016 E Maize Soil VWC'!$E$2:$E$6000=$AB248)*('2016 E Maize Soil VWC'!$F$2:$F$6000=AQ$5),'2016 E Maize Soil VWC'!$G$2:$G$6000)</f>
        <v>#N/A</v>
      </c>
      <c r="AR248" s="1" t="e" cm="1">
        <f t="array" ref="AR248">_xlfn.XLOOKUP(1,('2016 E Maize Soil VWC'!$C$2:$C$6000=$AA248)*('2016 E Maize Soil VWC'!$E$2:$E$6000=$AB248)*('2016 E Maize Soil VWC'!$F$2:$F$6000=AR$5),'2016 E Maize Soil VWC'!$G$2:$G$6000)</f>
        <v>#N/A</v>
      </c>
      <c r="AS248" s="1" t="e" cm="1">
        <f t="array" ref="AS248">_xlfn.XLOOKUP(1,('2016 E Maize Soil VWC'!$C$2:$C$6000=$AA248)*('2016 E Maize Soil VWC'!$E$2:$E$6000=$AB248)*('2016 E Maize Soil VWC'!$F$2:$F$6000=AS$5),'2016 E Maize Soil VWC'!$G$2:$G$6000)</f>
        <v>#N/A</v>
      </c>
      <c r="AT248" s="1" t="e" cm="1">
        <f t="array" ref="AT248">_xlfn.XLOOKUP(1,('2016 E Maize Soil VWC'!$C$2:$C$6000=$AA248)*('2016 E Maize Soil VWC'!$E$2:$E$6000=$AB248)*('2016 E Maize Soil VWC'!$F$2:$F$6000=AT$5),'2016 E Maize Soil VWC'!$G$2:$G$6000)</f>
        <v>#N/A</v>
      </c>
      <c r="AU248" s="1" t="e" cm="1">
        <f t="array" ref="AU248">_xlfn.XLOOKUP(1,('2016 E Maize Soil VWC'!$C$2:$C$6000=$AA248)*('2016 E Maize Soil VWC'!$E$2:$E$6000=$AB248)*('2016 E Maize Soil VWC'!$F$2:$F$6000=AU$5),'2016 E Maize Soil VWC'!$G$2:$G$6000)</f>
        <v>#N/A</v>
      </c>
      <c r="AV248" s="1" t="e" cm="1">
        <f t="array" ref="AV248">_xlfn.XLOOKUP(1,('2016 E Maize Soil VWC'!$C$2:$C$6000=$AA248)*('2016 E Maize Soil VWC'!$E$2:$E$6000=$AB248)*('2016 E Maize Soil VWC'!$F$2:$F$6000=AV$5),'2016 E Maize Soil VWC'!$G$2:$G$6000)</f>
        <v>#N/A</v>
      </c>
    </row>
    <row r="249" spans="25:64" x14ac:dyDescent="0.25">
      <c r="AA249" s="18">
        <f t="shared" si="39"/>
        <v>42369</v>
      </c>
      <c r="AB249" s="1">
        <f t="shared" si="40"/>
        <v>190</v>
      </c>
      <c r="AC249" s="1" t="e" cm="1">
        <f t="array" ref="AC249">_xlfn.XLOOKUP(1,('2016 E Maize Soil VWC'!$C$2:$C$6000=$AA249)*('2016 E Maize Soil VWC'!$E$2:$E$6000=$AB249)*('2016 E Maize Soil VWC'!$F$2:$F$6000=AC$5),'2016 E Maize Soil VWC'!$G$2:$G$6000)</f>
        <v>#N/A</v>
      </c>
      <c r="AD249" s="1" t="e" cm="1">
        <f t="array" ref="AD249">_xlfn.XLOOKUP(1,('2016 E Maize Soil VWC'!$C$2:$C$6000=$AA249)*('2016 E Maize Soil VWC'!$E$2:$E$6000=$AB249)*('2016 E Maize Soil VWC'!$F$2:$F$6000=AD$5),'2016 E Maize Soil VWC'!$G$2:$G$6000)</f>
        <v>#N/A</v>
      </c>
      <c r="AE249" s="1" t="e" cm="1">
        <f t="array" ref="AE249">_xlfn.XLOOKUP(1,('2016 E Maize Soil VWC'!$C$2:$C$6000=$AA249)*('2016 E Maize Soil VWC'!$E$2:$E$6000=$AB249)*('2016 E Maize Soil VWC'!$F$2:$F$6000=AE$5),'2016 E Maize Soil VWC'!$G$2:$G$6000)</f>
        <v>#N/A</v>
      </c>
      <c r="AF249" s="1" t="e" cm="1">
        <f t="array" ref="AF249">_xlfn.XLOOKUP(1,('2016 E Maize Soil VWC'!$C$2:$C$6000=$AA249)*('2016 E Maize Soil VWC'!$E$2:$E$6000=$AB249)*('2016 E Maize Soil VWC'!$F$2:$F$6000=AF$5),'2016 E Maize Soil VWC'!$G$2:$G$6000)</f>
        <v>#N/A</v>
      </c>
      <c r="AG249" s="1" t="e" cm="1">
        <f t="array" ref="AG249">_xlfn.XLOOKUP(1,('2016 E Maize Soil VWC'!$C$2:$C$6000=$AA249)*('2016 E Maize Soil VWC'!$E$2:$E$6000=$AB249)*('2016 E Maize Soil VWC'!$F$2:$F$6000=AG$5),'2016 E Maize Soil VWC'!$G$2:$G$6000)</f>
        <v>#N/A</v>
      </c>
      <c r="AH249" s="1" t="e" cm="1">
        <f t="array" ref="AH249">_xlfn.XLOOKUP(1,('2016 E Maize Soil VWC'!$C$2:$C$6000=$AA249)*('2016 E Maize Soil VWC'!$E$2:$E$6000=$AB249)*('2016 E Maize Soil VWC'!$F$2:$F$6000=AH$5),'2016 E Maize Soil VWC'!$G$2:$G$6000)</f>
        <v>#N/A</v>
      </c>
      <c r="AI249" s="1" t="e" cm="1">
        <f t="array" ref="AI249">_xlfn.XLOOKUP(1,('2016 E Maize Soil VWC'!$C$2:$C$6000=$AA249)*('2016 E Maize Soil VWC'!$E$2:$E$6000=$AB249)*('2016 E Maize Soil VWC'!$F$2:$F$6000=AI$5),'2016 E Maize Soil VWC'!$G$2:$G$6000)</f>
        <v>#N/A</v>
      </c>
      <c r="AJ249" s="1" t="e" cm="1">
        <f t="array" ref="AJ249">_xlfn.XLOOKUP(1,('2016 E Maize Soil VWC'!$C$2:$C$6000=$AA249)*('2016 E Maize Soil VWC'!$E$2:$E$6000=$AB249)*('2016 E Maize Soil VWC'!$F$2:$F$6000=AJ$5),'2016 E Maize Soil VWC'!$G$2:$G$6000)</f>
        <v>#N/A</v>
      </c>
      <c r="AK249" s="1" t="e" cm="1">
        <f t="array" ref="AK249">_xlfn.XLOOKUP(1,('2016 E Maize Soil VWC'!$C$2:$C$6000=$AA249)*('2016 E Maize Soil VWC'!$E$2:$E$6000=$AB249)*('2016 E Maize Soil VWC'!$F$2:$F$6000=AK$5),'2016 E Maize Soil VWC'!$G$2:$G$6000)</f>
        <v>#N/A</v>
      </c>
      <c r="AL249" s="1" t="e" cm="1">
        <f t="array" ref="AL249">_xlfn.XLOOKUP(1,('2016 E Maize Soil VWC'!$C$2:$C$6000=$AA249)*('2016 E Maize Soil VWC'!$E$2:$E$6000=$AB249)*('2016 E Maize Soil VWC'!$F$2:$F$6000=AL$5),'2016 E Maize Soil VWC'!$G$2:$G$6000)</f>
        <v>#N/A</v>
      </c>
      <c r="AM249" s="1" t="e" cm="1">
        <f t="array" ref="AM249">_xlfn.XLOOKUP(1,('2016 E Maize Soil VWC'!$C$2:$C$6000=$AA249)*('2016 E Maize Soil VWC'!$E$2:$E$6000=$AB249)*('2016 E Maize Soil VWC'!$F$2:$F$6000=AM$5),'2016 E Maize Soil VWC'!$G$2:$G$6000)</f>
        <v>#N/A</v>
      </c>
      <c r="AN249" s="1" t="e" cm="1">
        <f t="array" ref="AN249">_xlfn.XLOOKUP(1,('2016 E Maize Soil VWC'!$C$2:$C$6000=$AA249)*('2016 E Maize Soil VWC'!$E$2:$E$6000=$AB249)*('2016 E Maize Soil VWC'!$F$2:$F$6000=AN$5),'2016 E Maize Soil VWC'!$G$2:$G$6000)</f>
        <v>#N/A</v>
      </c>
      <c r="AO249" s="1" t="e" cm="1">
        <f t="array" ref="AO249">_xlfn.XLOOKUP(1,('2016 E Maize Soil VWC'!$C$2:$C$6000=$AA249)*('2016 E Maize Soil VWC'!$E$2:$E$6000=$AB249)*('2016 E Maize Soil VWC'!$F$2:$F$6000=AO$5),'2016 E Maize Soil VWC'!$G$2:$G$6000)</f>
        <v>#N/A</v>
      </c>
      <c r="AP249" s="1" t="e" cm="1">
        <f t="array" ref="AP249">_xlfn.XLOOKUP(1,('2016 E Maize Soil VWC'!$C$2:$C$6000=$AA249)*('2016 E Maize Soil VWC'!$E$2:$E$6000=$AB249)*('2016 E Maize Soil VWC'!$F$2:$F$6000=AP$5),'2016 E Maize Soil VWC'!$G$2:$G$6000)</f>
        <v>#N/A</v>
      </c>
      <c r="AQ249" s="1" t="e" cm="1">
        <f t="array" ref="AQ249">_xlfn.XLOOKUP(1,('2016 E Maize Soil VWC'!$C$2:$C$6000=$AA249)*('2016 E Maize Soil VWC'!$E$2:$E$6000=$AB249)*('2016 E Maize Soil VWC'!$F$2:$F$6000=AQ$5),'2016 E Maize Soil VWC'!$G$2:$G$6000)</f>
        <v>#N/A</v>
      </c>
      <c r="AR249" s="1" t="e" cm="1">
        <f t="array" ref="AR249">_xlfn.XLOOKUP(1,('2016 E Maize Soil VWC'!$C$2:$C$6000=$AA249)*('2016 E Maize Soil VWC'!$E$2:$E$6000=$AB249)*('2016 E Maize Soil VWC'!$F$2:$F$6000=AR$5),'2016 E Maize Soil VWC'!$G$2:$G$6000)</f>
        <v>#N/A</v>
      </c>
      <c r="AS249" s="1" t="e" cm="1">
        <f t="array" ref="AS249">_xlfn.XLOOKUP(1,('2016 E Maize Soil VWC'!$C$2:$C$6000=$AA249)*('2016 E Maize Soil VWC'!$E$2:$E$6000=$AB249)*('2016 E Maize Soil VWC'!$F$2:$F$6000=AS$5),'2016 E Maize Soil VWC'!$G$2:$G$6000)</f>
        <v>#N/A</v>
      </c>
      <c r="AT249" s="1" t="e" cm="1">
        <f t="array" ref="AT249">_xlfn.XLOOKUP(1,('2016 E Maize Soil VWC'!$C$2:$C$6000=$AA249)*('2016 E Maize Soil VWC'!$E$2:$E$6000=$AB249)*('2016 E Maize Soil VWC'!$F$2:$F$6000=AT$5),'2016 E Maize Soil VWC'!$G$2:$G$6000)</f>
        <v>#N/A</v>
      </c>
      <c r="AU249" s="1" t="e" cm="1">
        <f t="array" ref="AU249">_xlfn.XLOOKUP(1,('2016 E Maize Soil VWC'!$C$2:$C$6000=$AA249)*('2016 E Maize Soil VWC'!$E$2:$E$6000=$AB249)*('2016 E Maize Soil VWC'!$F$2:$F$6000=AU$5),'2016 E Maize Soil VWC'!$G$2:$G$6000)</f>
        <v>#N/A</v>
      </c>
      <c r="AV249" s="1" t="e" cm="1">
        <f t="array" ref="AV249">_xlfn.XLOOKUP(1,('2016 E Maize Soil VWC'!$C$2:$C$6000=$AA249)*('2016 E Maize Soil VWC'!$E$2:$E$6000=$AB249)*('2016 E Maize Soil VWC'!$F$2:$F$6000=AV$5),'2016 E Maize Soil VWC'!$G$2:$G$6000)</f>
        <v>#N/A</v>
      </c>
    </row>
    <row r="250" spans="25:64" x14ac:dyDescent="0.25">
      <c r="AA250" s="18">
        <f t="shared" si="39"/>
        <v>42369</v>
      </c>
      <c r="AB250" s="1">
        <f t="shared" si="40"/>
        <v>210</v>
      </c>
      <c r="AC250" s="1" t="e" cm="1">
        <f t="array" ref="AC250">_xlfn.XLOOKUP(1,('2016 E Maize Soil VWC'!$C$2:$C$6000=$AA250)*('2016 E Maize Soil VWC'!$E$2:$E$6000=$AB250)*('2016 E Maize Soil VWC'!$F$2:$F$6000=AC$5),'2016 E Maize Soil VWC'!$G$2:$G$6000)</f>
        <v>#N/A</v>
      </c>
      <c r="AD250" s="1" t="e" cm="1">
        <f t="array" ref="AD250">_xlfn.XLOOKUP(1,('2016 E Maize Soil VWC'!$C$2:$C$6000=$AA250)*('2016 E Maize Soil VWC'!$E$2:$E$6000=$AB250)*('2016 E Maize Soil VWC'!$F$2:$F$6000=AD$5),'2016 E Maize Soil VWC'!$G$2:$G$6000)</f>
        <v>#N/A</v>
      </c>
      <c r="AE250" s="1" t="e" cm="1">
        <f t="array" ref="AE250">_xlfn.XLOOKUP(1,('2016 E Maize Soil VWC'!$C$2:$C$6000=$AA250)*('2016 E Maize Soil VWC'!$E$2:$E$6000=$AB250)*('2016 E Maize Soil VWC'!$F$2:$F$6000=AE$5),'2016 E Maize Soil VWC'!$G$2:$G$6000)</f>
        <v>#N/A</v>
      </c>
      <c r="AF250" s="1" t="e" cm="1">
        <f t="array" ref="AF250">_xlfn.XLOOKUP(1,('2016 E Maize Soil VWC'!$C$2:$C$6000=$AA250)*('2016 E Maize Soil VWC'!$E$2:$E$6000=$AB250)*('2016 E Maize Soil VWC'!$F$2:$F$6000=AF$5),'2016 E Maize Soil VWC'!$G$2:$G$6000)</f>
        <v>#N/A</v>
      </c>
      <c r="AG250" s="1" t="e" cm="1">
        <f t="array" ref="AG250">_xlfn.XLOOKUP(1,('2016 E Maize Soil VWC'!$C$2:$C$6000=$AA250)*('2016 E Maize Soil VWC'!$E$2:$E$6000=$AB250)*('2016 E Maize Soil VWC'!$F$2:$F$6000=AG$5),'2016 E Maize Soil VWC'!$G$2:$G$6000)</f>
        <v>#N/A</v>
      </c>
      <c r="AH250" s="1" t="e" cm="1">
        <f t="array" ref="AH250">_xlfn.XLOOKUP(1,('2016 E Maize Soil VWC'!$C$2:$C$6000=$AA250)*('2016 E Maize Soil VWC'!$E$2:$E$6000=$AB250)*('2016 E Maize Soil VWC'!$F$2:$F$6000=AH$5),'2016 E Maize Soil VWC'!$G$2:$G$6000)</f>
        <v>#N/A</v>
      </c>
      <c r="AI250" s="1" t="e" cm="1">
        <f t="array" ref="AI250">_xlfn.XLOOKUP(1,('2016 E Maize Soil VWC'!$C$2:$C$6000=$AA250)*('2016 E Maize Soil VWC'!$E$2:$E$6000=$AB250)*('2016 E Maize Soil VWC'!$F$2:$F$6000=AI$5),'2016 E Maize Soil VWC'!$G$2:$G$6000)</f>
        <v>#N/A</v>
      </c>
      <c r="AJ250" s="1" t="e" cm="1">
        <f t="array" ref="AJ250">_xlfn.XLOOKUP(1,('2016 E Maize Soil VWC'!$C$2:$C$6000=$AA250)*('2016 E Maize Soil VWC'!$E$2:$E$6000=$AB250)*('2016 E Maize Soil VWC'!$F$2:$F$6000=AJ$5),'2016 E Maize Soil VWC'!$G$2:$G$6000)</f>
        <v>#N/A</v>
      </c>
      <c r="AK250" s="1" t="e" cm="1">
        <f t="array" ref="AK250">_xlfn.XLOOKUP(1,('2016 E Maize Soil VWC'!$C$2:$C$6000=$AA250)*('2016 E Maize Soil VWC'!$E$2:$E$6000=$AB250)*('2016 E Maize Soil VWC'!$F$2:$F$6000=AK$5),'2016 E Maize Soil VWC'!$G$2:$G$6000)</f>
        <v>#N/A</v>
      </c>
      <c r="AL250" s="1" t="e" cm="1">
        <f t="array" ref="AL250">_xlfn.XLOOKUP(1,('2016 E Maize Soil VWC'!$C$2:$C$6000=$AA250)*('2016 E Maize Soil VWC'!$E$2:$E$6000=$AB250)*('2016 E Maize Soil VWC'!$F$2:$F$6000=AL$5),'2016 E Maize Soil VWC'!$G$2:$G$6000)</f>
        <v>#N/A</v>
      </c>
      <c r="AM250" s="1" t="e" cm="1">
        <f t="array" ref="AM250">_xlfn.XLOOKUP(1,('2016 E Maize Soil VWC'!$C$2:$C$6000=$AA250)*('2016 E Maize Soil VWC'!$E$2:$E$6000=$AB250)*('2016 E Maize Soil VWC'!$F$2:$F$6000=AM$5),'2016 E Maize Soil VWC'!$G$2:$G$6000)</f>
        <v>#N/A</v>
      </c>
      <c r="AN250" s="1" t="e" cm="1">
        <f t="array" ref="AN250">_xlfn.XLOOKUP(1,('2016 E Maize Soil VWC'!$C$2:$C$6000=$AA250)*('2016 E Maize Soil VWC'!$E$2:$E$6000=$AB250)*('2016 E Maize Soil VWC'!$F$2:$F$6000=AN$5),'2016 E Maize Soil VWC'!$G$2:$G$6000)</f>
        <v>#N/A</v>
      </c>
      <c r="AO250" s="1" t="e" cm="1">
        <f t="array" ref="AO250">_xlfn.XLOOKUP(1,('2016 E Maize Soil VWC'!$C$2:$C$6000=$AA250)*('2016 E Maize Soil VWC'!$E$2:$E$6000=$AB250)*('2016 E Maize Soil VWC'!$F$2:$F$6000=AO$5),'2016 E Maize Soil VWC'!$G$2:$G$6000)</f>
        <v>#N/A</v>
      </c>
      <c r="AP250" s="1" t="e" cm="1">
        <f t="array" ref="AP250">_xlfn.XLOOKUP(1,('2016 E Maize Soil VWC'!$C$2:$C$6000=$AA250)*('2016 E Maize Soil VWC'!$E$2:$E$6000=$AB250)*('2016 E Maize Soil VWC'!$F$2:$F$6000=AP$5),'2016 E Maize Soil VWC'!$G$2:$G$6000)</f>
        <v>#N/A</v>
      </c>
      <c r="AQ250" s="1" t="e" cm="1">
        <f t="array" ref="AQ250">_xlfn.XLOOKUP(1,('2016 E Maize Soil VWC'!$C$2:$C$6000=$AA250)*('2016 E Maize Soil VWC'!$E$2:$E$6000=$AB250)*('2016 E Maize Soil VWC'!$F$2:$F$6000=AQ$5),'2016 E Maize Soil VWC'!$G$2:$G$6000)</f>
        <v>#N/A</v>
      </c>
      <c r="AR250" s="1" t="e" cm="1">
        <f t="array" ref="AR250">_xlfn.XLOOKUP(1,('2016 E Maize Soil VWC'!$C$2:$C$6000=$AA250)*('2016 E Maize Soil VWC'!$E$2:$E$6000=$AB250)*('2016 E Maize Soil VWC'!$F$2:$F$6000=AR$5),'2016 E Maize Soil VWC'!$G$2:$G$6000)</f>
        <v>#N/A</v>
      </c>
      <c r="AS250" s="1" t="e" cm="1">
        <f t="array" ref="AS250">_xlfn.XLOOKUP(1,('2016 E Maize Soil VWC'!$C$2:$C$6000=$AA250)*('2016 E Maize Soil VWC'!$E$2:$E$6000=$AB250)*('2016 E Maize Soil VWC'!$F$2:$F$6000=AS$5),'2016 E Maize Soil VWC'!$G$2:$G$6000)</f>
        <v>#N/A</v>
      </c>
      <c r="AT250" s="1" t="e" cm="1">
        <f t="array" ref="AT250">_xlfn.XLOOKUP(1,('2016 E Maize Soil VWC'!$C$2:$C$6000=$AA250)*('2016 E Maize Soil VWC'!$E$2:$E$6000=$AB250)*('2016 E Maize Soil VWC'!$F$2:$F$6000=AT$5),'2016 E Maize Soil VWC'!$G$2:$G$6000)</f>
        <v>#N/A</v>
      </c>
      <c r="AU250" s="1" t="e" cm="1">
        <f t="array" ref="AU250">_xlfn.XLOOKUP(1,('2016 E Maize Soil VWC'!$C$2:$C$6000=$AA250)*('2016 E Maize Soil VWC'!$E$2:$E$6000=$AB250)*('2016 E Maize Soil VWC'!$F$2:$F$6000=AU$5),'2016 E Maize Soil VWC'!$G$2:$G$6000)</f>
        <v>#N/A</v>
      </c>
      <c r="AV250" s="1" t="e" cm="1">
        <f t="array" ref="AV250">_xlfn.XLOOKUP(1,('2016 E Maize Soil VWC'!$C$2:$C$6000=$AA250)*('2016 E Maize Soil VWC'!$E$2:$E$6000=$AB250)*('2016 E Maize Soil VWC'!$F$2:$F$6000=AV$5),'2016 E Maize Soil VWC'!$G$2:$G$6000)</f>
        <v>#N/A</v>
      </c>
    </row>
    <row r="251" spans="25:64" x14ac:dyDescent="0.25">
      <c r="AA251" s="18">
        <f t="shared" si="39"/>
        <v>42369</v>
      </c>
      <c r="AB251" s="1">
        <f t="shared" si="40"/>
        <v>230</v>
      </c>
      <c r="AC251" s="1" t="e" cm="1">
        <f t="array" ref="AC251">_xlfn.XLOOKUP(1,('2016 E Maize Soil VWC'!$C$2:$C$6000=$AA251)*('2016 E Maize Soil VWC'!$E$2:$E$6000=$AB251)*('2016 E Maize Soil VWC'!$F$2:$F$6000=AC$5),'2016 E Maize Soil VWC'!$G$2:$G$6000)</f>
        <v>#N/A</v>
      </c>
      <c r="AD251" s="1" t="e" cm="1">
        <f t="array" ref="AD251">_xlfn.XLOOKUP(1,('2016 E Maize Soil VWC'!$C$2:$C$6000=$AA251)*('2016 E Maize Soil VWC'!$E$2:$E$6000=$AB251)*('2016 E Maize Soil VWC'!$F$2:$F$6000=AD$5),'2016 E Maize Soil VWC'!$G$2:$G$6000)</f>
        <v>#N/A</v>
      </c>
      <c r="AE251" s="1" t="e" cm="1">
        <f t="array" ref="AE251">_xlfn.XLOOKUP(1,('2016 E Maize Soil VWC'!$C$2:$C$6000=$AA251)*('2016 E Maize Soil VWC'!$E$2:$E$6000=$AB251)*('2016 E Maize Soil VWC'!$F$2:$F$6000=AE$5),'2016 E Maize Soil VWC'!$G$2:$G$6000)</f>
        <v>#N/A</v>
      </c>
      <c r="AF251" s="1" t="e" cm="1">
        <f t="array" ref="AF251">_xlfn.XLOOKUP(1,('2016 E Maize Soil VWC'!$C$2:$C$6000=$AA251)*('2016 E Maize Soil VWC'!$E$2:$E$6000=$AB251)*('2016 E Maize Soil VWC'!$F$2:$F$6000=AF$5),'2016 E Maize Soil VWC'!$G$2:$G$6000)</f>
        <v>#N/A</v>
      </c>
      <c r="AG251" s="1" t="e" cm="1">
        <f t="array" ref="AG251">_xlfn.XLOOKUP(1,('2016 E Maize Soil VWC'!$C$2:$C$6000=$AA251)*('2016 E Maize Soil VWC'!$E$2:$E$6000=$AB251)*('2016 E Maize Soil VWC'!$F$2:$F$6000=AG$5),'2016 E Maize Soil VWC'!$G$2:$G$6000)</f>
        <v>#N/A</v>
      </c>
      <c r="AH251" s="1" t="e" cm="1">
        <f t="array" ref="AH251">_xlfn.XLOOKUP(1,('2016 E Maize Soil VWC'!$C$2:$C$6000=$AA251)*('2016 E Maize Soil VWC'!$E$2:$E$6000=$AB251)*('2016 E Maize Soil VWC'!$F$2:$F$6000=AH$5),'2016 E Maize Soil VWC'!$G$2:$G$6000)</f>
        <v>#N/A</v>
      </c>
      <c r="AI251" s="1" t="e" cm="1">
        <f t="array" ref="AI251">_xlfn.XLOOKUP(1,('2016 E Maize Soil VWC'!$C$2:$C$6000=$AA251)*('2016 E Maize Soil VWC'!$E$2:$E$6000=$AB251)*('2016 E Maize Soil VWC'!$F$2:$F$6000=AI$5),'2016 E Maize Soil VWC'!$G$2:$G$6000)</f>
        <v>#N/A</v>
      </c>
      <c r="AJ251" s="1" t="e" cm="1">
        <f t="array" ref="AJ251">_xlfn.XLOOKUP(1,('2016 E Maize Soil VWC'!$C$2:$C$6000=$AA251)*('2016 E Maize Soil VWC'!$E$2:$E$6000=$AB251)*('2016 E Maize Soil VWC'!$F$2:$F$6000=AJ$5),'2016 E Maize Soil VWC'!$G$2:$G$6000)</f>
        <v>#N/A</v>
      </c>
      <c r="AK251" s="1" t="e" cm="1">
        <f t="array" ref="AK251">_xlfn.XLOOKUP(1,('2016 E Maize Soil VWC'!$C$2:$C$6000=$AA251)*('2016 E Maize Soil VWC'!$E$2:$E$6000=$AB251)*('2016 E Maize Soil VWC'!$F$2:$F$6000=AK$5),'2016 E Maize Soil VWC'!$G$2:$G$6000)</f>
        <v>#N/A</v>
      </c>
      <c r="AL251" s="1" t="e" cm="1">
        <f t="array" ref="AL251">_xlfn.XLOOKUP(1,('2016 E Maize Soil VWC'!$C$2:$C$6000=$AA251)*('2016 E Maize Soil VWC'!$E$2:$E$6000=$AB251)*('2016 E Maize Soil VWC'!$F$2:$F$6000=AL$5),'2016 E Maize Soil VWC'!$G$2:$G$6000)</f>
        <v>#N/A</v>
      </c>
      <c r="AM251" s="1" t="e" cm="1">
        <f t="array" ref="AM251">_xlfn.XLOOKUP(1,('2016 E Maize Soil VWC'!$C$2:$C$6000=$AA251)*('2016 E Maize Soil VWC'!$E$2:$E$6000=$AB251)*('2016 E Maize Soil VWC'!$F$2:$F$6000=AM$5),'2016 E Maize Soil VWC'!$G$2:$G$6000)</f>
        <v>#N/A</v>
      </c>
      <c r="AN251" s="1" t="e" cm="1">
        <f t="array" ref="AN251">_xlfn.XLOOKUP(1,('2016 E Maize Soil VWC'!$C$2:$C$6000=$AA251)*('2016 E Maize Soil VWC'!$E$2:$E$6000=$AB251)*('2016 E Maize Soil VWC'!$F$2:$F$6000=AN$5),'2016 E Maize Soil VWC'!$G$2:$G$6000)</f>
        <v>#N/A</v>
      </c>
      <c r="AO251" s="1" t="e" cm="1">
        <f t="array" ref="AO251">_xlfn.XLOOKUP(1,('2016 E Maize Soil VWC'!$C$2:$C$6000=$AA251)*('2016 E Maize Soil VWC'!$E$2:$E$6000=$AB251)*('2016 E Maize Soil VWC'!$F$2:$F$6000=AO$5),'2016 E Maize Soil VWC'!$G$2:$G$6000)</f>
        <v>#N/A</v>
      </c>
      <c r="AP251" s="1" t="e" cm="1">
        <f t="array" ref="AP251">_xlfn.XLOOKUP(1,('2016 E Maize Soil VWC'!$C$2:$C$6000=$AA251)*('2016 E Maize Soil VWC'!$E$2:$E$6000=$AB251)*('2016 E Maize Soil VWC'!$F$2:$F$6000=AP$5),'2016 E Maize Soil VWC'!$G$2:$G$6000)</f>
        <v>#N/A</v>
      </c>
      <c r="AQ251" s="1" t="e" cm="1">
        <f t="array" ref="AQ251">_xlfn.XLOOKUP(1,('2016 E Maize Soil VWC'!$C$2:$C$6000=$AA251)*('2016 E Maize Soil VWC'!$E$2:$E$6000=$AB251)*('2016 E Maize Soil VWC'!$F$2:$F$6000=AQ$5),'2016 E Maize Soil VWC'!$G$2:$G$6000)</f>
        <v>#N/A</v>
      </c>
      <c r="AR251" s="1" t="e" cm="1">
        <f t="array" ref="AR251">_xlfn.XLOOKUP(1,('2016 E Maize Soil VWC'!$C$2:$C$6000=$AA251)*('2016 E Maize Soil VWC'!$E$2:$E$6000=$AB251)*('2016 E Maize Soil VWC'!$F$2:$F$6000=AR$5),'2016 E Maize Soil VWC'!$G$2:$G$6000)</f>
        <v>#N/A</v>
      </c>
      <c r="AS251" s="1" t="e" cm="1">
        <f t="array" ref="AS251">_xlfn.XLOOKUP(1,('2016 E Maize Soil VWC'!$C$2:$C$6000=$AA251)*('2016 E Maize Soil VWC'!$E$2:$E$6000=$AB251)*('2016 E Maize Soil VWC'!$F$2:$F$6000=AS$5),'2016 E Maize Soil VWC'!$G$2:$G$6000)</f>
        <v>#N/A</v>
      </c>
      <c r="AT251" s="1" t="e" cm="1">
        <f t="array" ref="AT251">_xlfn.XLOOKUP(1,('2016 E Maize Soil VWC'!$C$2:$C$6000=$AA251)*('2016 E Maize Soil VWC'!$E$2:$E$6000=$AB251)*('2016 E Maize Soil VWC'!$F$2:$F$6000=AT$5),'2016 E Maize Soil VWC'!$G$2:$G$6000)</f>
        <v>#N/A</v>
      </c>
      <c r="AU251" s="1" t="e" cm="1">
        <f t="array" ref="AU251">_xlfn.XLOOKUP(1,('2016 E Maize Soil VWC'!$C$2:$C$6000=$AA251)*('2016 E Maize Soil VWC'!$E$2:$E$6000=$AB251)*('2016 E Maize Soil VWC'!$F$2:$F$6000=AU$5),'2016 E Maize Soil VWC'!$G$2:$G$6000)</f>
        <v>#N/A</v>
      </c>
      <c r="AV251" s="1" t="e" cm="1">
        <f t="array" ref="AV251">_xlfn.XLOOKUP(1,('2016 E Maize Soil VWC'!$C$2:$C$6000=$AA251)*('2016 E Maize Soil VWC'!$E$2:$E$6000=$AB251)*('2016 E Maize Soil VWC'!$F$2:$F$6000=AV$5),'2016 E Maize Soil VWC'!$G$2:$G$6000)</f>
        <v>#N/A</v>
      </c>
    </row>
    <row r="253" spans="25:64" x14ac:dyDescent="0.25">
      <c r="Y253" s="1">
        <v>2016</v>
      </c>
      <c r="Z253" s="1">
        <v>0</v>
      </c>
      <c r="AA253" s="18">
        <f>DATE(Y253,1,Z253)</f>
        <v>42369</v>
      </c>
      <c r="AB253" s="1">
        <v>10</v>
      </c>
      <c r="AC253" s="1" t="e" cm="1">
        <f t="array" ref="AC253">_xlfn.XLOOKUP(1,('2016 E Maize Soil VWC'!$C$2:$C$6000=$AA253)*('2016 E Maize Soil VWC'!$E$2:$E$6000=$AB253)*('2016 E Maize Soil VWC'!$F$2:$F$6000=AC$5),'2016 E Maize Soil VWC'!$G$2:$G$6000)</f>
        <v>#N/A</v>
      </c>
      <c r="AD253" s="1" t="e" cm="1">
        <f t="array" ref="AD253">_xlfn.XLOOKUP(1,('2016 E Maize Soil VWC'!$C$2:$C$6000=$AA253)*('2016 E Maize Soil VWC'!$E$2:$E$6000=$AB253)*('2016 E Maize Soil VWC'!$F$2:$F$6000=AD$5),'2016 E Maize Soil VWC'!$G$2:$G$6000)</f>
        <v>#N/A</v>
      </c>
      <c r="AE253" s="1" t="e" cm="1">
        <f t="array" ref="AE253">_xlfn.XLOOKUP(1,('2016 E Maize Soil VWC'!$C$2:$C$6000=$AA253)*('2016 E Maize Soil VWC'!$E$2:$E$6000=$AB253)*('2016 E Maize Soil VWC'!$F$2:$F$6000=AE$5),'2016 E Maize Soil VWC'!$G$2:$G$6000)</f>
        <v>#N/A</v>
      </c>
      <c r="AF253" s="1" t="e" cm="1">
        <f t="array" ref="AF253">_xlfn.XLOOKUP(1,('2016 E Maize Soil VWC'!$C$2:$C$6000=$AA253)*('2016 E Maize Soil VWC'!$E$2:$E$6000=$AB253)*('2016 E Maize Soil VWC'!$F$2:$F$6000=AF$5),'2016 E Maize Soil VWC'!$G$2:$G$6000)</f>
        <v>#N/A</v>
      </c>
      <c r="AG253" s="1" t="e" cm="1">
        <f t="array" ref="AG253">_xlfn.XLOOKUP(1,('2016 E Maize Soil VWC'!$C$2:$C$6000=$AA253)*('2016 E Maize Soil VWC'!$E$2:$E$6000=$AB253)*('2016 E Maize Soil VWC'!$F$2:$F$6000=AG$5),'2016 E Maize Soil VWC'!$G$2:$G$6000)</f>
        <v>#N/A</v>
      </c>
      <c r="AH253" s="1" t="e" cm="1">
        <f t="array" ref="AH253">_xlfn.XLOOKUP(1,('2016 E Maize Soil VWC'!$C$2:$C$6000=$AA253)*('2016 E Maize Soil VWC'!$E$2:$E$6000=$AB253)*('2016 E Maize Soil VWC'!$F$2:$F$6000=AH$5),'2016 E Maize Soil VWC'!$G$2:$G$6000)</f>
        <v>#N/A</v>
      </c>
      <c r="AI253" s="1" t="e" cm="1">
        <f t="array" ref="AI253">_xlfn.XLOOKUP(1,('2016 E Maize Soil VWC'!$C$2:$C$6000=$AA253)*('2016 E Maize Soil VWC'!$E$2:$E$6000=$AB253)*('2016 E Maize Soil VWC'!$F$2:$F$6000=AI$5),'2016 E Maize Soil VWC'!$G$2:$G$6000)</f>
        <v>#N/A</v>
      </c>
      <c r="AJ253" s="1" t="e" cm="1">
        <f t="array" ref="AJ253">_xlfn.XLOOKUP(1,('2016 E Maize Soil VWC'!$C$2:$C$6000=$AA253)*('2016 E Maize Soil VWC'!$E$2:$E$6000=$AB253)*('2016 E Maize Soil VWC'!$F$2:$F$6000=AJ$5),'2016 E Maize Soil VWC'!$G$2:$G$6000)</f>
        <v>#N/A</v>
      </c>
      <c r="AK253" s="1" t="e" cm="1">
        <f t="array" ref="AK253">_xlfn.XLOOKUP(1,('2016 E Maize Soil VWC'!$C$2:$C$6000=$AA253)*('2016 E Maize Soil VWC'!$E$2:$E$6000=$AB253)*('2016 E Maize Soil VWC'!$F$2:$F$6000=AK$5),'2016 E Maize Soil VWC'!$G$2:$G$6000)</f>
        <v>#N/A</v>
      </c>
      <c r="AL253" s="1" t="e" cm="1">
        <f t="array" ref="AL253">_xlfn.XLOOKUP(1,('2016 E Maize Soil VWC'!$C$2:$C$6000=$AA253)*('2016 E Maize Soil VWC'!$E$2:$E$6000=$AB253)*('2016 E Maize Soil VWC'!$F$2:$F$6000=AL$5),'2016 E Maize Soil VWC'!$G$2:$G$6000)</f>
        <v>#N/A</v>
      </c>
      <c r="AM253" s="1" t="e" cm="1">
        <f t="array" ref="AM253">_xlfn.XLOOKUP(1,('2016 E Maize Soil VWC'!$C$2:$C$6000=$AA253)*('2016 E Maize Soil VWC'!$E$2:$E$6000=$AB253)*('2016 E Maize Soil VWC'!$F$2:$F$6000=AM$5),'2016 E Maize Soil VWC'!$G$2:$G$6000)</f>
        <v>#N/A</v>
      </c>
      <c r="AN253" s="1" t="e" cm="1">
        <f t="array" ref="AN253">_xlfn.XLOOKUP(1,('2016 E Maize Soil VWC'!$C$2:$C$6000=$AA253)*('2016 E Maize Soil VWC'!$E$2:$E$6000=$AB253)*('2016 E Maize Soil VWC'!$F$2:$F$6000=AN$5),'2016 E Maize Soil VWC'!$G$2:$G$6000)</f>
        <v>#N/A</v>
      </c>
      <c r="AO253" s="1" t="e" cm="1">
        <f t="array" ref="AO253">_xlfn.XLOOKUP(1,('2016 E Maize Soil VWC'!$C$2:$C$6000=$AA253)*('2016 E Maize Soil VWC'!$E$2:$E$6000=$AB253)*('2016 E Maize Soil VWC'!$F$2:$F$6000=AO$5),'2016 E Maize Soil VWC'!$G$2:$G$6000)</f>
        <v>#N/A</v>
      </c>
      <c r="AP253" s="1" t="e" cm="1">
        <f t="array" ref="AP253">_xlfn.XLOOKUP(1,('2016 E Maize Soil VWC'!$C$2:$C$6000=$AA253)*('2016 E Maize Soil VWC'!$E$2:$E$6000=$AB253)*('2016 E Maize Soil VWC'!$F$2:$F$6000=AP$5),'2016 E Maize Soil VWC'!$G$2:$G$6000)</f>
        <v>#N/A</v>
      </c>
      <c r="AQ253" s="1" t="e" cm="1">
        <f t="array" ref="AQ253">_xlfn.XLOOKUP(1,('2016 E Maize Soil VWC'!$C$2:$C$6000=$AA253)*('2016 E Maize Soil VWC'!$E$2:$E$6000=$AB253)*('2016 E Maize Soil VWC'!$F$2:$F$6000=AQ$5),'2016 E Maize Soil VWC'!$G$2:$G$6000)</f>
        <v>#N/A</v>
      </c>
      <c r="AR253" s="1" t="e" cm="1">
        <f t="array" ref="AR253">_xlfn.XLOOKUP(1,('2016 E Maize Soil VWC'!$C$2:$C$6000=$AA253)*('2016 E Maize Soil VWC'!$E$2:$E$6000=$AB253)*('2016 E Maize Soil VWC'!$F$2:$F$6000=AR$5),'2016 E Maize Soil VWC'!$G$2:$G$6000)</f>
        <v>#N/A</v>
      </c>
      <c r="AS253" s="1" t="e" cm="1">
        <f t="array" ref="AS253">_xlfn.XLOOKUP(1,('2016 E Maize Soil VWC'!$C$2:$C$6000=$AA253)*('2016 E Maize Soil VWC'!$E$2:$E$6000=$AB253)*('2016 E Maize Soil VWC'!$F$2:$F$6000=AS$5),'2016 E Maize Soil VWC'!$G$2:$G$6000)</f>
        <v>#N/A</v>
      </c>
      <c r="AT253" s="1" t="e" cm="1">
        <f t="array" ref="AT253">_xlfn.XLOOKUP(1,('2016 E Maize Soil VWC'!$C$2:$C$6000=$AA253)*('2016 E Maize Soil VWC'!$E$2:$E$6000=$AB253)*('2016 E Maize Soil VWC'!$F$2:$F$6000=AT$5),'2016 E Maize Soil VWC'!$G$2:$G$6000)</f>
        <v>#N/A</v>
      </c>
      <c r="AU253" s="1" t="e" cm="1">
        <f t="array" ref="AU253">_xlfn.XLOOKUP(1,('2016 E Maize Soil VWC'!$C$2:$C$6000=$AA253)*('2016 E Maize Soil VWC'!$E$2:$E$6000=$AB253)*('2016 E Maize Soil VWC'!$F$2:$F$6000=AU$5),'2016 E Maize Soil VWC'!$G$2:$G$6000)</f>
        <v>#N/A</v>
      </c>
      <c r="AV253" s="1" t="e" cm="1">
        <f t="array" ref="AV253">_xlfn.XLOOKUP(1,('2016 E Maize Soil VWC'!$C$2:$C$6000=$AA253)*('2016 E Maize Soil VWC'!$E$2:$E$6000=$AB253)*('2016 E Maize Soil VWC'!$F$2:$F$6000=AV$5),'2016 E Maize Soil VWC'!$G$2:$G$6000)</f>
        <v>#N/A</v>
      </c>
      <c r="AW253" s="1">
        <f>Z253</f>
        <v>0</v>
      </c>
      <c r="AX253" s="15">
        <f>AA253</f>
        <v>42369</v>
      </c>
      <c r="AY253" s="1" t="e">
        <f>1400*AVERAGE(AG253:AH259)+100*AVERAGE(AG260:AH260)</f>
        <v>#N/A</v>
      </c>
      <c r="AZ253" s="1" t="e">
        <f>1400*AVERAGE(AC253:AF259,AI253:AL259)+100*AVERAGE(AC260:AF260,AI260:AL260)</f>
        <v>#N/A</v>
      </c>
      <c r="BA253" s="1" t="e">
        <f>1400*AVERAGE(AQ253:AR259)+100*AVERAGE(AQ260:AR260)</f>
        <v>#N/A</v>
      </c>
      <c r="BB253" s="1" t="e">
        <f>1400*AVERAGE(AM253:AP259,AS253:AV259)+100*AVERAGE(AM260:AP260,AS260:AV260)</f>
        <v>#N/A</v>
      </c>
      <c r="BC253" s="1" t="e">
        <f>AVERAGE(AC253:AD264)*2400</f>
        <v>#N/A</v>
      </c>
      <c r="BD253" s="1" t="e">
        <f>AVERAGE(AE253:AF264)*2400</f>
        <v>#N/A</v>
      </c>
      <c r="BE253" s="1" t="e">
        <f>AVERAGE(AG253:AH262)*2000</f>
        <v>#N/A</v>
      </c>
      <c r="BF253" s="1" t="e">
        <f>AVERAGE(AI253:AJ264)*2400</f>
        <v>#N/A</v>
      </c>
      <c r="BG253" s="1" t="e">
        <f>AVERAGE(AK253:AL264)*2400</f>
        <v>#N/A</v>
      </c>
      <c r="BH253" s="1" t="e">
        <f>AVERAGE(AM253:AN264)*2400</f>
        <v>#N/A</v>
      </c>
      <c r="BI253" s="1" t="e">
        <f>AVERAGE(AO253:AP264)*2400</f>
        <v>#N/A</v>
      </c>
      <c r="BJ253" s="1" t="e">
        <f>AVERAGE(AQ253:AR262)*2000</f>
        <v>#N/A</v>
      </c>
      <c r="BK253" s="1" t="e">
        <f>AVERAGE(AS253:AT264)*2400</f>
        <v>#N/A</v>
      </c>
      <c r="BL253" s="1" t="e">
        <f>AVERAGE(AU253:AV264)*2400</f>
        <v>#N/A</v>
      </c>
    </row>
    <row r="254" spans="25:64" x14ac:dyDescent="0.25">
      <c r="AA254" s="18">
        <f t="shared" ref="AA254:AA264" si="41">AA253</f>
        <v>42369</v>
      </c>
      <c r="AB254" s="1">
        <f t="shared" ref="AB254:AB264" si="42">AB253+20</f>
        <v>30</v>
      </c>
      <c r="AC254" s="1" t="e" cm="1">
        <f t="array" ref="AC254">_xlfn.XLOOKUP(1,('2016 E Maize Soil VWC'!$C$2:$C$6000=$AA254)*('2016 E Maize Soil VWC'!$E$2:$E$6000=$AB254)*('2016 E Maize Soil VWC'!$F$2:$F$6000=AC$5),'2016 E Maize Soil VWC'!$G$2:$G$6000)</f>
        <v>#N/A</v>
      </c>
      <c r="AD254" s="1" t="e" cm="1">
        <f t="array" ref="AD254">_xlfn.XLOOKUP(1,('2016 E Maize Soil VWC'!$C$2:$C$6000=$AA254)*('2016 E Maize Soil VWC'!$E$2:$E$6000=$AB254)*('2016 E Maize Soil VWC'!$F$2:$F$6000=AD$5),'2016 E Maize Soil VWC'!$G$2:$G$6000)</f>
        <v>#N/A</v>
      </c>
      <c r="AE254" s="1" t="e" cm="1">
        <f t="array" ref="AE254">_xlfn.XLOOKUP(1,('2016 E Maize Soil VWC'!$C$2:$C$6000=$AA254)*('2016 E Maize Soil VWC'!$E$2:$E$6000=$AB254)*('2016 E Maize Soil VWC'!$F$2:$F$6000=AE$5),'2016 E Maize Soil VWC'!$G$2:$G$6000)</f>
        <v>#N/A</v>
      </c>
      <c r="AF254" s="1" t="e" cm="1">
        <f t="array" ref="AF254">_xlfn.XLOOKUP(1,('2016 E Maize Soil VWC'!$C$2:$C$6000=$AA254)*('2016 E Maize Soil VWC'!$E$2:$E$6000=$AB254)*('2016 E Maize Soil VWC'!$F$2:$F$6000=AF$5),'2016 E Maize Soil VWC'!$G$2:$G$6000)</f>
        <v>#N/A</v>
      </c>
      <c r="AG254" s="1" t="e" cm="1">
        <f t="array" ref="AG254">_xlfn.XLOOKUP(1,('2016 E Maize Soil VWC'!$C$2:$C$6000=$AA254)*('2016 E Maize Soil VWC'!$E$2:$E$6000=$AB254)*('2016 E Maize Soil VWC'!$F$2:$F$6000=AG$5),'2016 E Maize Soil VWC'!$G$2:$G$6000)</f>
        <v>#N/A</v>
      </c>
      <c r="AH254" s="1" t="e" cm="1">
        <f t="array" ref="AH254">_xlfn.XLOOKUP(1,('2016 E Maize Soil VWC'!$C$2:$C$6000=$AA254)*('2016 E Maize Soil VWC'!$E$2:$E$6000=$AB254)*('2016 E Maize Soil VWC'!$F$2:$F$6000=AH$5),'2016 E Maize Soil VWC'!$G$2:$G$6000)</f>
        <v>#N/A</v>
      </c>
      <c r="AI254" s="1" t="e" cm="1">
        <f t="array" ref="AI254">_xlfn.XLOOKUP(1,('2016 E Maize Soil VWC'!$C$2:$C$6000=$AA254)*('2016 E Maize Soil VWC'!$E$2:$E$6000=$AB254)*('2016 E Maize Soil VWC'!$F$2:$F$6000=AI$5),'2016 E Maize Soil VWC'!$G$2:$G$6000)</f>
        <v>#N/A</v>
      </c>
      <c r="AJ254" s="1" t="e" cm="1">
        <f t="array" ref="AJ254">_xlfn.XLOOKUP(1,('2016 E Maize Soil VWC'!$C$2:$C$6000=$AA254)*('2016 E Maize Soil VWC'!$E$2:$E$6000=$AB254)*('2016 E Maize Soil VWC'!$F$2:$F$6000=AJ$5),'2016 E Maize Soil VWC'!$G$2:$G$6000)</f>
        <v>#N/A</v>
      </c>
      <c r="AK254" s="1" t="e" cm="1">
        <f t="array" ref="AK254">_xlfn.XLOOKUP(1,('2016 E Maize Soil VWC'!$C$2:$C$6000=$AA254)*('2016 E Maize Soil VWC'!$E$2:$E$6000=$AB254)*('2016 E Maize Soil VWC'!$F$2:$F$6000=AK$5),'2016 E Maize Soil VWC'!$G$2:$G$6000)</f>
        <v>#N/A</v>
      </c>
      <c r="AL254" s="1" t="e" cm="1">
        <f t="array" ref="AL254">_xlfn.XLOOKUP(1,('2016 E Maize Soil VWC'!$C$2:$C$6000=$AA254)*('2016 E Maize Soil VWC'!$E$2:$E$6000=$AB254)*('2016 E Maize Soil VWC'!$F$2:$F$6000=AL$5),'2016 E Maize Soil VWC'!$G$2:$G$6000)</f>
        <v>#N/A</v>
      </c>
      <c r="AM254" s="1" t="e" cm="1">
        <f t="array" ref="AM254">_xlfn.XLOOKUP(1,('2016 E Maize Soil VWC'!$C$2:$C$6000=$AA254)*('2016 E Maize Soil VWC'!$E$2:$E$6000=$AB254)*('2016 E Maize Soil VWC'!$F$2:$F$6000=AM$5),'2016 E Maize Soil VWC'!$G$2:$G$6000)</f>
        <v>#N/A</v>
      </c>
      <c r="AN254" s="1" t="e" cm="1">
        <f t="array" ref="AN254">_xlfn.XLOOKUP(1,('2016 E Maize Soil VWC'!$C$2:$C$6000=$AA254)*('2016 E Maize Soil VWC'!$E$2:$E$6000=$AB254)*('2016 E Maize Soil VWC'!$F$2:$F$6000=AN$5),'2016 E Maize Soil VWC'!$G$2:$G$6000)</f>
        <v>#N/A</v>
      </c>
      <c r="AO254" s="1" t="e" cm="1">
        <f t="array" ref="AO254">_xlfn.XLOOKUP(1,('2016 E Maize Soil VWC'!$C$2:$C$6000=$AA254)*('2016 E Maize Soil VWC'!$E$2:$E$6000=$AB254)*('2016 E Maize Soil VWC'!$F$2:$F$6000=AO$5),'2016 E Maize Soil VWC'!$G$2:$G$6000)</f>
        <v>#N/A</v>
      </c>
      <c r="AP254" s="1" t="e" cm="1">
        <f t="array" ref="AP254">_xlfn.XLOOKUP(1,('2016 E Maize Soil VWC'!$C$2:$C$6000=$AA254)*('2016 E Maize Soil VWC'!$E$2:$E$6000=$AB254)*('2016 E Maize Soil VWC'!$F$2:$F$6000=AP$5),'2016 E Maize Soil VWC'!$G$2:$G$6000)</f>
        <v>#N/A</v>
      </c>
      <c r="AQ254" s="1" t="e" cm="1">
        <f t="array" ref="AQ254">_xlfn.XLOOKUP(1,('2016 E Maize Soil VWC'!$C$2:$C$6000=$AA254)*('2016 E Maize Soil VWC'!$E$2:$E$6000=$AB254)*('2016 E Maize Soil VWC'!$F$2:$F$6000=AQ$5),'2016 E Maize Soil VWC'!$G$2:$G$6000)</f>
        <v>#N/A</v>
      </c>
      <c r="AR254" s="1" t="e" cm="1">
        <f t="array" ref="AR254">_xlfn.XLOOKUP(1,('2016 E Maize Soil VWC'!$C$2:$C$6000=$AA254)*('2016 E Maize Soil VWC'!$E$2:$E$6000=$AB254)*('2016 E Maize Soil VWC'!$F$2:$F$6000=AR$5),'2016 E Maize Soil VWC'!$G$2:$G$6000)</f>
        <v>#N/A</v>
      </c>
      <c r="AS254" s="1" t="e" cm="1">
        <f t="array" ref="AS254">_xlfn.XLOOKUP(1,('2016 E Maize Soil VWC'!$C$2:$C$6000=$AA254)*('2016 E Maize Soil VWC'!$E$2:$E$6000=$AB254)*('2016 E Maize Soil VWC'!$F$2:$F$6000=AS$5),'2016 E Maize Soil VWC'!$G$2:$G$6000)</f>
        <v>#N/A</v>
      </c>
      <c r="AT254" s="1" t="e" cm="1">
        <f t="array" ref="AT254">_xlfn.XLOOKUP(1,('2016 E Maize Soil VWC'!$C$2:$C$6000=$AA254)*('2016 E Maize Soil VWC'!$E$2:$E$6000=$AB254)*('2016 E Maize Soil VWC'!$F$2:$F$6000=AT$5),'2016 E Maize Soil VWC'!$G$2:$G$6000)</f>
        <v>#N/A</v>
      </c>
      <c r="AU254" s="1" t="e" cm="1">
        <f t="array" ref="AU254">_xlfn.XLOOKUP(1,('2016 E Maize Soil VWC'!$C$2:$C$6000=$AA254)*('2016 E Maize Soil VWC'!$E$2:$E$6000=$AB254)*('2016 E Maize Soil VWC'!$F$2:$F$6000=AU$5),'2016 E Maize Soil VWC'!$G$2:$G$6000)</f>
        <v>#N/A</v>
      </c>
      <c r="AV254" s="1" t="e" cm="1">
        <f t="array" ref="AV254">_xlfn.XLOOKUP(1,('2016 E Maize Soil VWC'!$C$2:$C$6000=$AA254)*('2016 E Maize Soil VWC'!$E$2:$E$6000=$AB254)*('2016 E Maize Soil VWC'!$F$2:$F$6000=AV$5),'2016 E Maize Soil VWC'!$G$2:$G$6000)</f>
        <v>#N/A</v>
      </c>
    </row>
    <row r="255" spans="25:64" x14ac:dyDescent="0.25">
      <c r="AA255" s="18">
        <f t="shared" si="41"/>
        <v>42369</v>
      </c>
      <c r="AB255" s="1">
        <f t="shared" si="42"/>
        <v>50</v>
      </c>
      <c r="AC255" s="1" t="e" cm="1">
        <f t="array" ref="AC255">_xlfn.XLOOKUP(1,('2016 E Maize Soil VWC'!$C$2:$C$6000=$AA255)*('2016 E Maize Soil VWC'!$E$2:$E$6000=$AB255)*('2016 E Maize Soil VWC'!$F$2:$F$6000=AC$5),'2016 E Maize Soil VWC'!$G$2:$G$6000)</f>
        <v>#N/A</v>
      </c>
      <c r="AD255" s="1" t="e" cm="1">
        <f t="array" ref="AD255">_xlfn.XLOOKUP(1,('2016 E Maize Soil VWC'!$C$2:$C$6000=$AA255)*('2016 E Maize Soil VWC'!$E$2:$E$6000=$AB255)*('2016 E Maize Soil VWC'!$F$2:$F$6000=AD$5),'2016 E Maize Soil VWC'!$G$2:$G$6000)</f>
        <v>#N/A</v>
      </c>
      <c r="AE255" s="1" t="e" cm="1">
        <f t="array" ref="AE255">_xlfn.XLOOKUP(1,('2016 E Maize Soil VWC'!$C$2:$C$6000=$AA255)*('2016 E Maize Soil VWC'!$E$2:$E$6000=$AB255)*('2016 E Maize Soil VWC'!$F$2:$F$6000=AE$5),'2016 E Maize Soil VWC'!$G$2:$G$6000)</f>
        <v>#N/A</v>
      </c>
      <c r="AF255" s="1" t="e" cm="1">
        <f t="array" ref="AF255">_xlfn.XLOOKUP(1,('2016 E Maize Soil VWC'!$C$2:$C$6000=$AA255)*('2016 E Maize Soil VWC'!$E$2:$E$6000=$AB255)*('2016 E Maize Soil VWC'!$F$2:$F$6000=AF$5),'2016 E Maize Soil VWC'!$G$2:$G$6000)</f>
        <v>#N/A</v>
      </c>
      <c r="AG255" s="1" t="e" cm="1">
        <f t="array" ref="AG255">_xlfn.XLOOKUP(1,('2016 E Maize Soil VWC'!$C$2:$C$6000=$AA255)*('2016 E Maize Soil VWC'!$E$2:$E$6000=$AB255)*('2016 E Maize Soil VWC'!$F$2:$F$6000=AG$5),'2016 E Maize Soil VWC'!$G$2:$G$6000)</f>
        <v>#N/A</v>
      </c>
      <c r="AH255" s="1" t="e" cm="1">
        <f t="array" ref="AH255">_xlfn.XLOOKUP(1,('2016 E Maize Soil VWC'!$C$2:$C$6000=$AA255)*('2016 E Maize Soil VWC'!$E$2:$E$6000=$AB255)*('2016 E Maize Soil VWC'!$F$2:$F$6000=AH$5),'2016 E Maize Soil VWC'!$G$2:$G$6000)</f>
        <v>#N/A</v>
      </c>
      <c r="AI255" s="1" t="e" cm="1">
        <f t="array" ref="AI255">_xlfn.XLOOKUP(1,('2016 E Maize Soil VWC'!$C$2:$C$6000=$AA255)*('2016 E Maize Soil VWC'!$E$2:$E$6000=$AB255)*('2016 E Maize Soil VWC'!$F$2:$F$6000=AI$5),'2016 E Maize Soil VWC'!$G$2:$G$6000)</f>
        <v>#N/A</v>
      </c>
      <c r="AJ255" s="1" t="e" cm="1">
        <f t="array" ref="AJ255">_xlfn.XLOOKUP(1,('2016 E Maize Soil VWC'!$C$2:$C$6000=$AA255)*('2016 E Maize Soil VWC'!$E$2:$E$6000=$AB255)*('2016 E Maize Soil VWC'!$F$2:$F$6000=AJ$5),'2016 E Maize Soil VWC'!$G$2:$G$6000)</f>
        <v>#N/A</v>
      </c>
      <c r="AK255" s="1" t="e" cm="1">
        <f t="array" ref="AK255">_xlfn.XLOOKUP(1,('2016 E Maize Soil VWC'!$C$2:$C$6000=$AA255)*('2016 E Maize Soil VWC'!$E$2:$E$6000=$AB255)*('2016 E Maize Soil VWC'!$F$2:$F$6000=AK$5),'2016 E Maize Soil VWC'!$G$2:$G$6000)</f>
        <v>#N/A</v>
      </c>
      <c r="AL255" s="1" t="e" cm="1">
        <f t="array" ref="AL255">_xlfn.XLOOKUP(1,('2016 E Maize Soil VWC'!$C$2:$C$6000=$AA255)*('2016 E Maize Soil VWC'!$E$2:$E$6000=$AB255)*('2016 E Maize Soil VWC'!$F$2:$F$6000=AL$5),'2016 E Maize Soil VWC'!$G$2:$G$6000)</f>
        <v>#N/A</v>
      </c>
      <c r="AM255" s="1" t="e" cm="1">
        <f t="array" ref="AM255">_xlfn.XLOOKUP(1,('2016 E Maize Soil VWC'!$C$2:$C$6000=$AA255)*('2016 E Maize Soil VWC'!$E$2:$E$6000=$AB255)*('2016 E Maize Soil VWC'!$F$2:$F$6000=AM$5),'2016 E Maize Soil VWC'!$G$2:$G$6000)</f>
        <v>#N/A</v>
      </c>
      <c r="AN255" s="1" t="e" cm="1">
        <f t="array" ref="AN255">_xlfn.XLOOKUP(1,('2016 E Maize Soil VWC'!$C$2:$C$6000=$AA255)*('2016 E Maize Soil VWC'!$E$2:$E$6000=$AB255)*('2016 E Maize Soil VWC'!$F$2:$F$6000=AN$5),'2016 E Maize Soil VWC'!$G$2:$G$6000)</f>
        <v>#N/A</v>
      </c>
      <c r="AO255" s="1" t="e" cm="1">
        <f t="array" ref="AO255">_xlfn.XLOOKUP(1,('2016 E Maize Soil VWC'!$C$2:$C$6000=$AA255)*('2016 E Maize Soil VWC'!$E$2:$E$6000=$AB255)*('2016 E Maize Soil VWC'!$F$2:$F$6000=AO$5),'2016 E Maize Soil VWC'!$G$2:$G$6000)</f>
        <v>#N/A</v>
      </c>
      <c r="AP255" s="1" t="e" cm="1">
        <f t="array" ref="AP255">_xlfn.XLOOKUP(1,('2016 E Maize Soil VWC'!$C$2:$C$6000=$AA255)*('2016 E Maize Soil VWC'!$E$2:$E$6000=$AB255)*('2016 E Maize Soil VWC'!$F$2:$F$6000=AP$5),'2016 E Maize Soil VWC'!$G$2:$G$6000)</f>
        <v>#N/A</v>
      </c>
      <c r="AQ255" s="1" t="e" cm="1">
        <f t="array" ref="AQ255">_xlfn.XLOOKUP(1,('2016 E Maize Soil VWC'!$C$2:$C$6000=$AA255)*('2016 E Maize Soil VWC'!$E$2:$E$6000=$AB255)*('2016 E Maize Soil VWC'!$F$2:$F$6000=AQ$5),'2016 E Maize Soil VWC'!$G$2:$G$6000)</f>
        <v>#N/A</v>
      </c>
      <c r="AR255" s="1" t="e" cm="1">
        <f t="array" ref="AR255">_xlfn.XLOOKUP(1,('2016 E Maize Soil VWC'!$C$2:$C$6000=$AA255)*('2016 E Maize Soil VWC'!$E$2:$E$6000=$AB255)*('2016 E Maize Soil VWC'!$F$2:$F$6000=AR$5),'2016 E Maize Soil VWC'!$G$2:$G$6000)</f>
        <v>#N/A</v>
      </c>
      <c r="AS255" s="1" t="e" cm="1">
        <f t="array" ref="AS255">_xlfn.XLOOKUP(1,('2016 E Maize Soil VWC'!$C$2:$C$6000=$AA255)*('2016 E Maize Soil VWC'!$E$2:$E$6000=$AB255)*('2016 E Maize Soil VWC'!$F$2:$F$6000=AS$5),'2016 E Maize Soil VWC'!$G$2:$G$6000)</f>
        <v>#N/A</v>
      </c>
      <c r="AT255" s="1" t="e" cm="1">
        <f t="array" ref="AT255">_xlfn.XLOOKUP(1,('2016 E Maize Soil VWC'!$C$2:$C$6000=$AA255)*('2016 E Maize Soil VWC'!$E$2:$E$6000=$AB255)*('2016 E Maize Soil VWC'!$F$2:$F$6000=AT$5),'2016 E Maize Soil VWC'!$G$2:$G$6000)</f>
        <v>#N/A</v>
      </c>
      <c r="AU255" s="1" t="e" cm="1">
        <f t="array" ref="AU255">_xlfn.XLOOKUP(1,('2016 E Maize Soil VWC'!$C$2:$C$6000=$AA255)*('2016 E Maize Soil VWC'!$E$2:$E$6000=$AB255)*('2016 E Maize Soil VWC'!$F$2:$F$6000=AU$5),'2016 E Maize Soil VWC'!$G$2:$G$6000)</f>
        <v>#N/A</v>
      </c>
      <c r="AV255" s="1" t="e" cm="1">
        <f t="array" ref="AV255">_xlfn.XLOOKUP(1,('2016 E Maize Soil VWC'!$C$2:$C$6000=$AA255)*('2016 E Maize Soil VWC'!$E$2:$E$6000=$AB255)*('2016 E Maize Soil VWC'!$F$2:$F$6000=AV$5),'2016 E Maize Soil VWC'!$G$2:$G$6000)</f>
        <v>#N/A</v>
      </c>
    </row>
    <row r="256" spans="25:64" x14ac:dyDescent="0.25">
      <c r="AA256" s="18">
        <f t="shared" si="41"/>
        <v>42369</v>
      </c>
      <c r="AB256" s="1">
        <f t="shared" si="42"/>
        <v>70</v>
      </c>
      <c r="AC256" s="1" t="e" cm="1">
        <f t="array" ref="AC256">_xlfn.XLOOKUP(1,('2016 E Maize Soil VWC'!$C$2:$C$6000=$AA256)*('2016 E Maize Soil VWC'!$E$2:$E$6000=$AB256)*('2016 E Maize Soil VWC'!$F$2:$F$6000=AC$5),'2016 E Maize Soil VWC'!$G$2:$G$6000)</f>
        <v>#N/A</v>
      </c>
      <c r="AD256" s="1" t="e" cm="1">
        <f t="array" ref="AD256">_xlfn.XLOOKUP(1,('2016 E Maize Soil VWC'!$C$2:$C$6000=$AA256)*('2016 E Maize Soil VWC'!$E$2:$E$6000=$AB256)*('2016 E Maize Soil VWC'!$F$2:$F$6000=AD$5),'2016 E Maize Soil VWC'!$G$2:$G$6000)</f>
        <v>#N/A</v>
      </c>
      <c r="AE256" s="1" t="e" cm="1">
        <f t="array" ref="AE256">_xlfn.XLOOKUP(1,('2016 E Maize Soil VWC'!$C$2:$C$6000=$AA256)*('2016 E Maize Soil VWC'!$E$2:$E$6000=$AB256)*('2016 E Maize Soil VWC'!$F$2:$F$6000=AE$5),'2016 E Maize Soil VWC'!$G$2:$G$6000)</f>
        <v>#N/A</v>
      </c>
      <c r="AF256" s="1" t="e" cm="1">
        <f t="array" ref="AF256">_xlfn.XLOOKUP(1,('2016 E Maize Soil VWC'!$C$2:$C$6000=$AA256)*('2016 E Maize Soil VWC'!$E$2:$E$6000=$AB256)*('2016 E Maize Soil VWC'!$F$2:$F$6000=AF$5),'2016 E Maize Soil VWC'!$G$2:$G$6000)</f>
        <v>#N/A</v>
      </c>
      <c r="AG256" s="1" t="e" cm="1">
        <f t="array" ref="AG256">_xlfn.XLOOKUP(1,('2016 E Maize Soil VWC'!$C$2:$C$6000=$AA256)*('2016 E Maize Soil VWC'!$E$2:$E$6000=$AB256)*('2016 E Maize Soil VWC'!$F$2:$F$6000=AG$5),'2016 E Maize Soil VWC'!$G$2:$G$6000)</f>
        <v>#N/A</v>
      </c>
      <c r="AH256" s="1" t="e" cm="1">
        <f t="array" ref="AH256">_xlfn.XLOOKUP(1,('2016 E Maize Soil VWC'!$C$2:$C$6000=$AA256)*('2016 E Maize Soil VWC'!$E$2:$E$6000=$AB256)*('2016 E Maize Soil VWC'!$F$2:$F$6000=AH$5),'2016 E Maize Soil VWC'!$G$2:$G$6000)</f>
        <v>#N/A</v>
      </c>
      <c r="AI256" s="1" t="e" cm="1">
        <f t="array" ref="AI256">_xlfn.XLOOKUP(1,('2016 E Maize Soil VWC'!$C$2:$C$6000=$AA256)*('2016 E Maize Soil VWC'!$E$2:$E$6000=$AB256)*('2016 E Maize Soil VWC'!$F$2:$F$6000=AI$5),'2016 E Maize Soil VWC'!$G$2:$G$6000)</f>
        <v>#N/A</v>
      </c>
      <c r="AJ256" s="1" t="e" cm="1">
        <f t="array" ref="AJ256">_xlfn.XLOOKUP(1,('2016 E Maize Soil VWC'!$C$2:$C$6000=$AA256)*('2016 E Maize Soil VWC'!$E$2:$E$6000=$AB256)*('2016 E Maize Soil VWC'!$F$2:$F$6000=AJ$5),'2016 E Maize Soil VWC'!$G$2:$G$6000)</f>
        <v>#N/A</v>
      </c>
      <c r="AK256" s="1" t="e" cm="1">
        <f t="array" ref="AK256">_xlfn.XLOOKUP(1,('2016 E Maize Soil VWC'!$C$2:$C$6000=$AA256)*('2016 E Maize Soil VWC'!$E$2:$E$6000=$AB256)*('2016 E Maize Soil VWC'!$F$2:$F$6000=AK$5),'2016 E Maize Soil VWC'!$G$2:$G$6000)</f>
        <v>#N/A</v>
      </c>
      <c r="AL256" s="1" t="e" cm="1">
        <f t="array" ref="AL256">_xlfn.XLOOKUP(1,('2016 E Maize Soil VWC'!$C$2:$C$6000=$AA256)*('2016 E Maize Soil VWC'!$E$2:$E$6000=$AB256)*('2016 E Maize Soil VWC'!$F$2:$F$6000=AL$5),'2016 E Maize Soil VWC'!$G$2:$G$6000)</f>
        <v>#N/A</v>
      </c>
      <c r="AM256" s="1" t="e" cm="1">
        <f t="array" ref="AM256">_xlfn.XLOOKUP(1,('2016 E Maize Soil VWC'!$C$2:$C$6000=$AA256)*('2016 E Maize Soil VWC'!$E$2:$E$6000=$AB256)*('2016 E Maize Soil VWC'!$F$2:$F$6000=AM$5),'2016 E Maize Soil VWC'!$G$2:$G$6000)</f>
        <v>#N/A</v>
      </c>
      <c r="AN256" s="1" t="e" cm="1">
        <f t="array" ref="AN256">_xlfn.XLOOKUP(1,('2016 E Maize Soil VWC'!$C$2:$C$6000=$AA256)*('2016 E Maize Soil VWC'!$E$2:$E$6000=$AB256)*('2016 E Maize Soil VWC'!$F$2:$F$6000=AN$5),'2016 E Maize Soil VWC'!$G$2:$G$6000)</f>
        <v>#N/A</v>
      </c>
      <c r="AO256" s="1" t="e" cm="1">
        <f t="array" ref="AO256">_xlfn.XLOOKUP(1,('2016 E Maize Soil VWC'!$C$2:$C$6000=$AA256)*('2016 E Maize Soil VWC'!$E$2:$E$6000=$AB256)*('2016 E Maize Soil VWC'!$F$2:$F$6000=AO$5),'2016 E Maize Soil VWC'!$G$2:$G$6000)</f>
        <v>#N/A</v>
      </c>
      <c r="AP256" s="1" t="e" cm="1">
        <f t="array" ref="AP256">_xlfn.XLOOKUP(1,('2016 E Maize Soil VWC'!$C$2:$C$6000=$AA256)*('2016 E Maize Soil VWC'!$E$2:$E$6000=$AB256)*('2016 E Maize Soil VWC'!$F$2:$F$6000=AP$5),'2016 E Maize Soil VWC'!$G$2:$G$6000)</f>
        <v>#N/A</v>
      </c>
      <c r="AQ256" s="1" t="e" cm="1">
        <f t="array" ref="AQ256">_xlfn.XLOOKUP(1,('2016 E Maize Soil VWC'!$C$2:$C$6000=$AA256)*('2016 E Maize Soil VWC'!$E$2:$E$6000=$AB256)*('2016 E Maize Soil VWC'!$F$2:$F$6000=AQ$5),'2016 E Maize Soil VWC'!$G$2:$G$6000)</f>
        <v>#N/A</v>
      </c>
      <c r="AR256" s="1" t="e" cm="1">
        <f t="array" ref="AR256">_xlfn.XLOOKUP(1,('2016 E Maize Soil VWC'!$C$2:$C$6000=$AA256)*('2016 E Maize Soil VWC'!$E$2:$E$6000=$AB256)*('2016 E Maize Soil VWC'!$F$2:$F$6000=AR$5),'2016 E Maize Soil VWC'!$G$2:$G$6000)</f>
        <v>#N/A</v>
      </c>
      <c r="AS256" s="1" t="e" cm="1">
        <f t="array" ref="AS256">_xlfn.XLOOKUP(1,('2016 E Maize Soil VWC'!$C$2:$C$6000=$AA256)*('2016 E Maize Soil VWC'!$E$2:$E$6000=$AB256)*('2016 E Maize Soil VWC'!$F$2:$F$6000=AS$5),'2016 E Maize Soil VWC'!$G$2:$G$6000)</f>
        <v>#N/A</v>
      </c>
      <c r="AT256" s="1" t="e" cm="1">
        <f t="array" ref="AT256">_xlfn.XLOOKUP(1,('2016 E Maize Soil VWC'!$C$2:$C$6000=$AA256)*('2016 E Maize Soil VWC'!$E$2:$E$6000=$AB256)*('2016 E Maize Soil VWC'!$F$2:$F$6000=AT$5),'2016 E Maize Soil VWC'!$G$2:$G$6000)</f>
        <v>#N/A</v>
      </c>
      <c r="AU256" s="1" t="e" cm="1">
        <f t="array" ref="AU256">_xlfn.XLOOKUP(1,('2016 E Maize Soil VWC'!$C$2:$C$6000=$AA256)*('2016 E Maize Soil VWC'!$E$2:$E$6000=$AB256)*('2016 E Maize Soil VWC'!$F$2:$F$6000=AU$5),'2016 E Maize Soil VWC'!$G$2:$G$6000)</f>
        <v>#N/A</v>
      </c>
      <c r="AV256" s="1" t="e" cm="1">
        <f t="array" ref="AV256">_xlfn.XLOOKUP(1,('2016 E Maize Soil VWC'!$C$2:$C$6000=$AA256)*('2016 E Maize Soil VWC'!$E$2:$E$6000=$AB256)*('2016 E Maize Soil VWC'!$F$2:$F$6000=AV$5),'2016 E Maize Soil VWC'!$G$2:$G$6000)</f>
        <v>#N/A</v>
      </c>
    </row>
    <row r="257" spans="25:64" x14ac:dyDescent="0.25">
      <c r="AA257" s="18">
        <f t="shared" si="41"/>
        <v>42369</v>
      </c>
      <c r="AB257" s="1">
        <f t="shared" si="42"/>
        <v>90</v>
      </c>
      <c r="AC257" s="1" t="e" cm="1">
        <f t="array" ref="AC257">_xlfn.XLOOKUP(1,('2016 E Maize Soil VWC'!$C$2:$C$6000=$AA257)*('2016 E Maize Soil VWC'!$E$2:$E$6000=$AB257)*('2016 E Maize Soil VWC'!$F$2:$F$6000=AC$5),'2016 E Maize Soil VWC'!$G$2:$G$6000)</f>
        <v>#N/A</v>
      </c>
      <c r="AD257" s="1" t="e" cm="1">
        <f t="array" ref="AD257">_xlfn.XLOOKUP(1,('2016 E Maize Soil VWC'!$C$2:$C$6000=$AA257)*('2016 E Maize Soil VWC'!$E$2:$E$6000=$AB257)*('2016 E Maize Soil VWC'!$F$2:$F$6000=AD$5),'2016 E Maize Soil VWC'!$G$2:$G$6000)</f>
        <v>#N/A</v>
      </c>
      <c r="AE257" s="1" t="e" cm="1">
        <f t="array" ref="AE257">_xlfn.XLOOKUP(1,('2016 E Maize Soil VWC'!$C$2:$C$6000=$AA257)*('2016 E Maize Soil VWC'!$E$2:$E$6000=$AB257)*('2016 E Maize Soil VWC'!$F$2:$F$6000=AE$5),'2016 E Maize Soil VWC'!$G$2:$G$6000)</f>
        <v>#N/A</v>
      </c>
      <c r="AF257" s="1" t="e" cm="1">
        <f t="array" ref="AF257">_xlfn.XLOOKUP(1,('2016 E Maize Soil VWC'!$C$2:$C$6000=$AA257)*('2016 E Maize Soil VWC'!$E$2:$E$6000=$AB257)*('2016 E Maize Soil VWC'!$F$2:$F$6000=AF$5),'2016 E Maize Soil VWC'!$G$2:$G$6000)</f>
        <v>#N/A</v>
      </c>
      <c r="AG257" s="1" t="e" cm="1">
        <f t="array" ref="AG257">_xlfn.XLOOKUP(1,('2016 E Maize Soil VWC'!$C$2:$C$6000=$AA257)*('2016 E Maize Soil VWC'!$E$2:$E$6000=$AB257)*('2016 E Maize Soil VWC'!$F$2:$F$6000=AG$5),'2016 E Maize Soil VWC'!$G$2:$G$6000)</f>
        <v>#N/A</v>
      </c>
      <c r="AH257" s="1" t="e" cm="1">
        <f t="array" ref="AH257">_xlfn.XLOOKUP(1,('2016 E Maize Soil VWC'!$C$2:$C$6000=$AA257)*('2016 E Maize Soil VWC'!$E$2:$E$6000=$AB257)*('2016 E Maize Soil VWC'!$F$2:$F$6000=AH$5),'2016 E Maize Soil VWC'!$G$2:$G$6000)</f>
        <v>#N/A</v>
      </c>
      <c r="AI257" s="1" t="e" cm="1">
        <f t="array" ref="AI257">_xlfn.XLOOKUP(1,('2016 E Maize Soil VWC'!$C$2:$C$6000=$AA257)*('2016 E Maize Soil VWC'!$E$2:$E$6000=$AB257)*('2016 E Maize Soil VWC'!$F$2:$F$6000=AI$5),'2016 E Maize Soil VWC'!$G$2:$G$6000)</f>
        <v>#N/A</v>
      </c>
      <c r="AJ257" s="1" t="e" cm="1">
        <f t="array" ref="AJ257">_xlfn.XLOOKUP(1,('2016 E Maize Soil VWC'!$C$2:$C$6000=$AA257)*('2016 E Maize Soil VWC'!$E$2:$E$6000=$AB257)*('2016 E Maize Soil VWC'!$F$2:$F$6000=AJ$5),'2016 E Maize Soil VWC'!$G$2:$G$6000)</f>
        <v>#N/A</v>
      </c>
      <c r="AK257" s="1" t="e" cm="1">
        <f t="array" ref="AK257">_xlfn.XLOOKUP(1,('2016 E Maize Soil VWC'!$C$2:$C$6000=$AA257)*('2016 E Maize Soil VWC'!$E$2:$E$6000=$AB257)*('2016 E Maize Soil VWC'!$F$2:$F$6000=AK$5),'2016 E Maize Soil VWC'!$G$2:$G$6000)</f>
        <v>#N/A</v>
      </c>
      <c r="AL257" s="1" t="e" cm="1">
        <f t="array" ref="AL257">_xlfn.XLOOKUP(1,('2016 E Maize Soil VWC'!$C$2:$C$6000=$AA257)*('2016 E Maize Soil VWC'!$E$2:$E$6000=$AB257)*('2016 E Maize Soil VWC'!$F$2:$F$6000=AL$5),'2016 E Maize Soil VWC'!$G$2:$G$6000)</f>
        <v>#N/A</v>
      </c>
      <c r="AM257" s="1" t="e" cm="1">
        <f t="array" ref="AM257">_xlfn.XLOOKUP(1,('2016 E Maize Soil VWC'!$C$2:$C$6000=$AA257)*('2016 E Maize Soil VWC'!$E$2:$E$6000=$AB257)*('2016 E Maize Soil VWC'!$F$2:$F$6000=AM$5),'2016 E Maize Soil VWC'!$G$2:$G$6000)</f>
        <v>#N/A</v>
      </c>
      <c r="AN257" s="1" t="e" cm="1">
        <f t="array" ref="AN257">_xlfn.XLOOKUP(1,('2016 E Maize Soil VWC'!$C$2:$C$6000=$AA257)*('2016 E Maize Soil VWC'!$E$2:$E$6000=$AB257)*('2016 E Maize Soil VWC'!$F$2:$F$6000=AN$5),'2016 E Maize Soil VWC'!$G$2:$G$6000)</f>
        <v>#N/A</v>
      </c>
      <c r="AO257" s="1" t="e" cm="1">
        <f t="array" ref="AO257">_xlfn.XLOOKUP(1,('2016 E Maize Soil VWC'!$C$2:$C$6000=$AA257)*('2016 E Maize Soil VWC'!$E$2:$E$6000=$AB257)*('2016 E Maize Soil VWC'!$F$2:$F$6000=AO$5),'2016 E Maize Soil VWC'!$G$2:$G$6000)</f>
        <v>#N/A</v>
      </c>
      <c r="AP257" s="1" t="e" cm="1">
        <f t="array" ref="AP257">_xlfn.XLOOKUP(1,('2016 E Maize Soil VWC'!$C$2:$C$6000=$AA257)*('2016 E Maize Soil VWC'!$E$2:$E$6000=$AB257)*('2016 E Maize Soil VWC'!$F$2:$F$6000=AP$5),'2016 E Maize Soil VWC'!$G$2:$G$6000)</f>
        <v>#N/A</v>
      </c>
      <c r="AQ257" s="1" t="e" cm="1">
        <f t="array" ref="AQ257">_xlfn.XLOOKUP(1,('2016 E Maize Soil VWC'!$C$2:$C$6000=$AA257)*('2016 E Maize Soil VWC'!$E$2:$E$6000=$AB257)*('2016 E Maize Soil VWC'!$F$2:$F$6000=AQ$5),'2016 E Maize Soil VWC'!$G$2:$G$6000)</f>
        <v>#N/A</v>
      </c>
      <c r="AR257" s="1" t="e" cm="1">
        <f t="array" ref="AR257">_xlfn.XLOOKUP(1,('2016 E Maize Soil VWC'!$C$2:$C$6000=$AA257)*('2016 E Maize Soil VWC'!$E$2:$E$6000=$AB257)*('2016 E Maize Soil VWC'!$F$2:$F$6000=AR$5),'2016 E Maize Soil VWC'!$G$2:$G$6000)</f>
        <v>#N/A</v>
      </c>
      <c r="AS257" s="1" t="e" cm="1">
        <f t="array" ref="AS257">_xlfn.XLOOKUP(1,('2016 E Maize Soil VWC'!$C$2:$C$6000=$AA257)*('2016 E Maize Soil VWC'!$E$2:$E$6000=$AB257)*('2016 E Maize Soil VWC'!$F$2:$F$6000=AS$5),'2016 E Maize Soil VWC'!$G$2:$G$6000)</f>
        <v>#N/A</v>
      </c>
      <c r="AT257" s="1" t="e" cm="1">
        <f t="array" ref="AT257">_xlfn.XLOOKUP(1,('2016 E Maize Soil VWC'!$C$2:$C$6000=$AA257)*('2016 E Maize Soil VWC'!$E$2:$E$6000=$AB257)*('2016 E Maize Soil VWC'!$F$2:$F$6000=AT$5),'2016 E Maize Soil VWC'!$G$2:$G$6000)</f>
        <v>#N/A</v>
      </c>
      <c r="AU257" s="1" t="e" cm="1">
        <f t="array" ref="AU257">_xlfn.XLOOKUP(1,('2016 E Maize Soil VWC'!$C$2:$C$6000=$AA257)*('2016 E Maize Soil VWC'!$E$2:$E$6000=$AB257)*('2016 E Maize Soil VWC'!$F$2:$F$6000=AU$5),'2016 E Maize Soil VWC'!$G$2:$G$6000)</f>
        <v>#N/A</v>
      </c>
      <c r="AV257" s="1" t="e" cm="1">
        <f t="array" ref="AV257">_xlfn.XLOOKUP(1,('2016 E Maize Soil VWC'!$C$2:$C$6000=$AA257)*('2016 E Maize Soil VWC'!$E$2:$E$6000=$AB257)*('2016 E Maize Soil VWC'!$F$2:$F$6000=AV$5),'2016 E Maize Soil VWC'!$G$2:$G$6000)</f>
        <v>#N/A</v>
      </c>
    </row>
    <row r="258" spans="25:64" x14ac:dyDescent="0.25">
      <c r="AA258" s="18">
        <f t="shared" si="41"/>
        <v>42369</v>
      </c>
      <c r="AB258" s="1">
        <f t="shared" si="42"/>
        <v>110</v>
      </c>
      <c r="AC258" s="1" t="e" cm="1">
        <f t="array" ref="AC258">_xlfn.XLOOKUP(1,('2016 E Maize Soil VWC'!$C$2:$C$6000=$AA258)*('2016 E Maize Soil VWC'!$E$2:$E$6000=$AB258)*('2016 E Maize Soil VWC'!$F$2:$F$6000=AC$5),'2016 E Maize Soil VWC'!$G$2:$G$6000)</f>
        <v>#N/A</v>
      </c>
      <c r="AD258" s="1" t="e" cm="1">
        <f t="array" ref="AD258">_xlfn.XLOOKUP(1,('2016 E Maize Soil VWC'!$C$2:$C$6000=$AA258)*('2016 E Maize Soil VWC'!$E$2:$E$6000=$AB258)*('2016 E Maize Soil VWC'!$F$2:$F$6000=AD$5),'2016 E Maize Soil VWC'!$G$2:$G$6000)</f>
        <v>#N/A</v>
      </c>
      <c r="AE258" s="1" t="e" cm="1">
        <f t="array" ref="AE258">_xlfn.XLOOKUP(1,('2016 E Maize Soil VWC'!$C$2:$C$6000=$AA258)*('2016 E Maize Soil VWC'!$E$2:$E$6000=$AB258)*('2016 E Maize Soil VWC'!$F$2:$F$6000=AE$5),'2016 E Maize Soil VWC'!$G$2:$G$6000)</f>
        <v>#N/A</v>
      </c>
      <c r="AF258" s="1" t="e" cm="1">
        <f t="array" ref="AF258">_xlfn.XLOOKUP(1,('2016 E Maize Soil VWC'!$C$2:$C$6000=$AA258)*('2016 E Maize Soil VWC'!$E$2:$E$6000=$AB258)*('2016 E Maize Soil VWC'!$F$2:$F$6000=AF$5),'2016 E Maize Soil VWC'!$G$2:$G$6000)</f>
        <v>#N/A</v>
      </c>
      <c r="AG258" s="1" t="e" cm="1">
        <f t="array" ref="AG258">_xlfn.XLOOKUP(1,('2016 E Maize Soil VWC'!$C$2:$C$6000=$AA258)*('2016 E Maize Soil VWC'!$E$2:$E$6000=$AB258)*('2016 E Maize Soil VWC'!$F$2:$F$6000=AG$5),'2016 E Maize Soil VWC'!$G$2:$G$6000)</f>
        <v>#N/A</v>
      </c>
      <c r="AH258" s="1" t="e" cm="1">
        <f t="array" ref="AH258">_xlfn.XLOOKUP(1,('2016 E Maize Soil VWC'!$C$2:$C$6000=$AA258)*('2016 E Maize Soil VWC'!$E$2:$E$6000=$AB258)*('2016 E Maize Soil VWC'!$F$2:$F$6000=AH$5),'2016 E Maize Soil VWC'!$G$2:$G$6000)</f>
        <v>#N/A</v>
      </c>
      <c r="AI258" s="1" t="e" cm="1">
        <f t="array" ref="AI258">_xlfn.XLOOKUP(1,('2016 E Maize Soil VWC'!$C$2:$C$6000=$AA258)*('2016 E Maize Soil VWC'!$E$2:$E$6000=$AB258)*('2016 E Maize Soil VWC'!$F$2:$F$6000=AI$5),'2016 E Maize Soil VWC'!$G$2:$G$6000)</f>
        <v>#N/A</v>
      </c>
      <c r="AJ258" s="1" t="e" cm="1">
        <f t="array" ref="AJ258">_xlfn.XLOOKUP(1,('2016 E Maize Soil VWC'!$C$2:$C$6000=$AA258)*('2016 E Maize Soil VWC'!$E$2:$E$6000=$AB258)*('2016 E Maize Soil VWC'!$F$2:$F$6000=AJ$5),'2016 E Maize Soil VWC'!$G$2:$G$6000)</f>
        <v>#N/A</v>
      </c>
      <c r="AK258" s="1" t="e" cm="1">
        <f t="array" ref="AK258">_xlfn.XLOOKUP(1,('2016 E Maize Soil VWC'!$C$2:$C$6000=$AA258)*('2016 E Maize Soil VWC'!$E$2:$E$6000=$AB258)*('2016 E Maize Soil VWC'!$F$2:$F$6000=AK$5),'2016 E Maize Soil VWC'!$G$2:$G$6000)</f>
        <v>#N/A</v>
      </c>
      <c r="AL258" s="1" t="e" cm="1">
        <f t="array" ref="AL258">_xlfn.XLOOKUP(1,('2016 E Maize Soil VWC'!$C$2:$C$6000=$AA258)*('2016 E Maize Soil VWC'!$E$2:$E$6000=$AB258)*('2016 E Maize Soil VWC'!$F$2:$F$6000=AL$5),'2016 E Maize Soil VWC'!$G$2:$G$6000)</f>
        <v>#N/A</v>
      </c>
      <c r="AM258" s="1" t="e" cm="1">
        <f t="array" ref="AM258">_xlfn.XLOOKUP(1,('2016 E Maize Soil VWC'!$C$2:$C$6000=$AA258)*('2016 E Maize Soil VWC'!$E$2:$E$6000=$AB258)*('2016 E Maize Soil VWC'!$F$2:$F$6000=AM$5),'2016 E Maize Soil VWC'!$G$2:$G$6000)</f>
        <v>#N/A</v>
      </c>
      <c r="AN258" s="1" t="e" cm="1">
        <f t="array" ref="AN258">_xlfn.XLOOKUP(1,('2016 E Maize Soil VWC'!$C$2:$C$6000=$AA258)*('2016 E Maize Soil VWC'!$E$2:$E$6000=$AB258)*('2016 E Maize Soil VWC'!$F$2:$F$6000=AN$5),'2016 E Maize Soil VWC'!$G$2:$G$6000)</f>
        <v>#N/A</v>
      </c>
      <c r="AO258" s="1" t="e" cm="1">
        <f t="array" ref="AO258">_xlfn.XLOOKUP(1,('2016 E Maize Soil VWC'!$C$2:$C$6000=$AA258)*('2016 E Maize Soil VWC'!$E$2:$E$6000=$AB258)*('2016 E Maize Soil VWC'!$F$2:$F$6000=AO$5),'2016 E Maize Soil VWC'!$G$2:$G$6000)</f>
        <v>#N/A</v>
      </c>
      <c r="AP258" s="1" t="e" cm="1">
        <f t="array" ref="AP258">_xlfn.XLOOKUP(1,('2016 E Maize Soil VWC'!$C$2:$C$6000=$AA258)*('2016 E Maize Soil VWC'!$E$2:$E$6000=$AB258)*('2016 E Maize Soil VWC'!$F$2:$F$6000=AP$5),'2016 E Maize Soil VWC'!$G$2:$G$6000)</f>
        <v>#N/A</v>
      </c>
      <c r="AQ258" s="1" t="e" cm="1">
        <f t="array" ref="AQ258">_xlfn.XLOOKUP(1,('2016 E Maize Soil VWC'!$C$2:$C$6000=$AA258)*('2016 E Maize Soil VWC'!$E$2:$E$6000=$AB258)*('2016 E Maize Soil VWC'!$F$2:$F$6000=AQ$5),'2016 E Maize Soil VWC'!$G$2:$G$6000)</f>
        <v>#N/A</v>
      </c>
      <c r="AR258" s="1" t="e" cm="1">
        <f t="array" ref="AR258">_xlfn.XLOOKUP(1,('2016 E Maize Soil VWC'!$C$2:$C$6000=$AA258)*('2016 E Maize Soil VWC'!$E$2:$E$6000=$AB258)*('2016 E Maize Soil VWC'!$F$2:$F$6000=AR$5),'2016 E Maize Soil VWC'!$G$2:$G$6000)</f>
        <v>#N/A</v>
      </c>
      <c r="AS258" s="1" t="e" cm="1">
        <f t="array" ref="AS258">_xlfn.XLOOKUP(1,('2016 E Maize Soil VWC'!$C$2:$C$6000=$AA258)*('2016 E Maize Soil VWC'!$E$2:$E$6000=$AB258)*('2016 E Maize Soil VWC'!$F$2:$F$6000=AS$5),'2016 E Maize Soil VWC'!$G$2:$G$6000)</f>
        <v>#N/A</v>
      </c>
      <c r="AT258" s="1" t="e" cm="1">
        <f t="array" ref="AT258">_xlfn.XLOOKUP(1,('2016 E Maize Soil VWC'!$C$2:$C$6000=$AA258)*('2016 E Maize Soil VWC'!$E$2:$E$6000=$AB258)*('2016 E Maize Soil VWC'!$F$2:$F$6000=AT$5),'2016 E Maize Soil VWC'!$G$2:$G$6000)</f>
        <v>#N/A</v>
      </c>
      <c r="AU258" s="1" t="e" cm="1">
        <f t="array" ref="AU258">_xlfn.XLOOKUP(1,('2016 E Maize Soil VWC'!$C$2:$C$6000=$AA258)*('2016 E Maize Soil VWC'!$E$2:$E$6000=$AB258)*('2016 E Maize Soil VWC'!$F$2:$F$6000=AU$5),'2016 E Maize Soil VWC'!$G$2:$G$6000)</f>
        <v>#N/A</v>
      </c>
      <c r="AV258" s="1" t="e" cm="1">
        <f t="array" ref="AV258">_xlfn.XLOOKUP(1,('2016 E Maize Soil VWC'!$C$2:$C$6000=$AA258)*('2016 E Maize Soil VWC'!$E$2:$E$6000=$AB258)*('2016 E Maize Soil VWC'!$F$2:$F$6000=AV$5),'2016 E Maize Soil VWC'!$G$2:$G$6000)</f>
        <v>#N/A</v>
      </c>
    </row>
    <row r="259" spans="25:64" x14ac:dyDescent="0.25">
      <c r="AA259" s="18">
        <f t="shared" si="41"/>
        <v>42369</v>
      </c>
      <c r="AB259" s="1">
        <f t="shared" si="42"/>
        <v>130</v>
      </c>
      <c r="AC259" s="1" t="e" cm="1">
        <f t="array" ref="AC259">_xlfn.XLOOKUP(1,('2016 E Maize Soil VWC'!$C$2:$C$6000=$AA259)*('2016 E Maize Soil VWC'!$E$2:$E$6000=$AB259)*('2016 E Maize Soil VWC'!$F$2:$F$6000=AC$5),'2016 E Maize Soil VWC'!$G$2:$G$6000)</f>
        <v>#N/A</v>
      </c>
      <c r="AD259" s="1" t="e" cm="1">
        <f t="array" ref="AD259">_xlfn.XLOOKUP(1,('2016 E Maize Soil VWC'!$C$2:$C$6000=$AA259)*('2016 E Maize Soil VWC'!$E$2:$E$6000=$AB259)*('2016 E Maize Soil VWC'!$F$2:$F$6000=AD$5),'2016 E Maize Soil VWC'!$G$2:$G$6000)</f>
        <v>#N/A</v>
      </c>
      <c r="AE259" s="1" t="e" cm="1">
        <f t="array" ref="AE259">_xlfn.XLOOKUP(1,('2016 E Maize Soil VWC'!$C$2:$C$6000=$AA259)*('2016 E Maize Soil VWC'!$E$2:$E$6000=$AB259)*('2016 E Maize Soil VWC'!$F$2:$F$6000=AE$5),'2016 E Maize Soil VWC'!$G$2:$G$6000)</f>
        <v>#N/A</v>
      </c>
      <c r="AF259" s="1" t="e" cm="1">
        <f t="array" ref="AF259">_xlfn.XLOOKUP(1,('2016 E Maize Soil VWC'!$C$2:$C$6000=$AA259)*('2016 E Maize Soil VWC'!$E$2:$E$6000=$AB259)*('2016 E Maize Soil VWC'!$F$2:$F$6000=AF$5),'2016 E Maize Soil VWC'!$G$2:$G$6000)</f>
        <v>#N/A</v>
      </c>
      <c r="AG259" s="1" t="e" cm="1">
        <f t="array" ref="AG259">_xlfn.XLOOKUP(1,('2016 E Maize Soil VWC'!$C$2:$C$6000=$AA259)*('2016 E Maize Soil VWC'!$E$2:$E$6000=$AB259)*('2016 E Maize Soil VWC'!$F$2:$F$6000=AG$5),'2016 E Maize Soil VWC'!$G$2:$G$6000)</f>
        <v>#N/A</v>
      </c>
      <c r="AH259" s="1" t="e" cm="1">
        <f t="array" ref="AH259">_xlfn.XLOOKUP(1,('2016 E Maize Soil VWC'!$C$2:$C$6000=$AA259)*('2016 E Maize Soil VWC'!$E$2:$E$6000=$AB259)*('2016 E Maize Soil VWC'!$F$2:$F$6000=AH$5),'2016 E Maize Soil VWC'!$G$2:$G$6000)</f>
        <v>#N/A</v>
      </c>
      <c r="AI259" s="1" t="e" cm="1">
        <f t="array" ref="AI259">_xlfn.XLOOKUP(1,('2016 E Maize Soil VWC'!$C$2:$C$6000=$AA259)*('2016 E Maize Soil VWC'!$E$2:$E$6000=$AB259)*('2016 E Maize Soil VWC'!$F$2:$F$6000=AI$5),'2016 E Maize Soil VWC'!$G$2:$G$6000)</f>
        <v>#N/A</v>
      </c>
      <c r="AJ259" s="1" t="e" cm="1">
        <f t="array" ref="AJ259">_xlfn.XLOOKUP(1,('2016 E Maize Soil VWC'!$C$2:$C$6000=$AA259)*('2016 E Maize Soil VWC'!$E$2:$E$6000=$AB259)*('2016 E Maize Soil VWC'!$F$2:$F$6000=AJ$5),'2016 E Maize Soil VWC'!$G$2:$G$6000)</f>
        <v>#N/A</v>
      </c>
      <c r="AK259" s="1" t="e" cm="1">
        <f t="array" ref="AK259">_xlfn.XLOOKUP(1,('2016 E Maize Soil VWC'!$C$2:$C$6000=$AA259)*('2016 E Maize Soil VWC'!$E$2:$E$6000=$AB259)*('2016 E Maize Soil VWC'!$F$2:$F$6000=AK$5),'2016 E Maize Soil VWC'!$G$2:$G$6000)</f>
        <v>#N/A</v>
      </c>
      <c r="AL259" s="1" t="e" cm="1">
        <f t="array" ref="AL259">_xlfn.XLOOKUP(1,('2016 E Maize Soil VWC'!$C$2:$C$6000=$AA259)*('2016 E Maize Soil VWC'!$E$2:$E$6000=$AB259)*('2016 E Maize Soil VWC'!$F$2:$F$6000=AL$5),'2016 E Maize Soil VWC'!$G$2:$G$6000)</f>
        <v>#N/A</v>
      </c>
      <c r="AM259" s="1" t="e" cm="1">
        <f t="array" ref="AM259">_xlfn.XLOOKUP(1,('2016 E Maize Soil VWC'!$C$2:$C$6000=$AA259)*('2016 E Maize Soil VWC'!$E$2:$E$6000=$AB259)*('2016 E Maize Soil VWC'!$F$2:$F$6000=AM$5),'2016 E Maize Soil VWC'!$G$2:$G$6000)</f>
        <v>#N/A</v>
      </c>
      <c r="AN259" s="1" t="e" cm="1">
        <f t="array" ref="AN259">_xlfn.XLOOKUP(1,('2016 E Maize Soil VWC'!$C$2:$C$6000=$AA259)*('2016 E Maize Soil VWC'!$E$2:$E$6000=$AB259)*('2016 E Maize Soil VWC'!$F$2:$F$6000=AN$5),'2016 E Maize Soil VWC'!$G$2:$G$6000)</f>
        <v>#N/A</v>
      </c>
      <c r="AO259" s="1" t="e" cm="1">
        <f t="array" ref="AO259">_xlfn.XLOOKUP(1,('2016 E Maize Soil VWC'!$C$2:$C$6000=$AA259)*('2016 E Maize Soil VWC'!$E$2:$E$6000=$AB259)*('2016 E Maize Soil VWC'!$F$2:$F$6000=AO$5),'2016 E Maize Soil VWC'!$G$2:$G$6000)</f>
        <v>#N/A</v>
      </c>
      <c r="AP259" s="1" t="e" cm="1">
        <f t="array" ref="AP259">_xlfn.XLOOKUP(1,('2016 E Maize Soil VWC'!$C$2:$C$6000=$AA259)*('2016 E Maize Soil VWC'!$E$2:$E$6000=$AB259)*('2016 E Maize Soil VWC'!$F$2:$F$6000=AP$5),'2016 E Maize Soil VWC'!$G$2:$G$6000)</f>
        <v>#N/A</v>
      </c>
      <c r="AQ259" s="1" t="e" cm="1">
        <f t="array" ref="AQ259">_xlfn.XLOOKUP(1,('2016 E Maize Soil VWC'!$C$2:$C$6000=$AA259)*('2016 E Maize Soil VWC'!$E$2:$E$6000=$AB259)*('2016 E Maize Soil VWC'!$F$2:$F$6000=AQ$5),'2016 E Maize Soil VWC'!$G$2:$G$6000)</f>
        <v>#N/A</v>
      </c>
      <c r="AR259" s="1" t="e" cm="1">
        <f t="array" ref="AR259">_xlfn.XLOOKUP(1,('2016 E Maize Soil VWC'!$C$2:$C$6000=$AA259)*('2016 E Maize Soil VWC'!$E$2:$E$6000=$AB259)*('2016 E Maize Soil VWC'!$F$2:$F$6000=AR$5),'2016 E Maize Soil VWC'!$G$2:$G$6000)</f>
        <v>#N/A</v>
      </c>
      <c r="AS259" s="1" t="e" cm="1">
        <f t="array" ref="AS259">_xlfn.XLOOKUP(1,('2016 E Maize Soil VWC'!$C$2:$C$6000=$AA259)*('2016 E Maize Soil VWC'!$E$2:$E$6000=$AB259)*('2016 E Maize Soil VWC'!$F$2:$F$6000=AS$5),'2016 E Maize Soil VWC'!$G$2:$G$6000)</f>
        <v>#N/A</v>
      </c>
      <c r="AT259" s="1" t="e" cm="1">
        <f t="array" ref="AT259">_xlfn.XLOOKUP(1,('2016 E Maize Soil VWC'!$C$2:$C$6000=$AA259)*('2016 E Maize Soil VWC'!$E$2:$E$6000=$AB259)*('2016 E Maize Soil VWC'!$F$2:$F$6000=AT$5),'2016 E Maize Soil VWC'!$G$2:$G$6000)</f>
        <v>#N/A</v>
      </c>
      <c r="AU259" s="1" t="e" cm="1">
        <f t="array" ref="AU259">_xlfn.XLOOKUP(1,('2016 E Maize Soil VWC'!$C$2:$C$6000=$AA259)*('2016 E Maize Soil VWC'!$E$2:$E$6000=$AB259)*('2016 E Maize Soil VWC'!$F$2:$F$6000=AU$5),'2016 E Maize Soil VWC'!$G$2:$G$6000)</f>
        <v>#N/A</v>
      </c>
      <c r="AV259" s="1" t="e" cm="1">
        <f t="array" ref="AV259">_xlfn.XLOOKUP(1,('2016 E Maize Soil VWC'!$C$2:$C$6000=$AA259)*('2016 E Maize Soil VWC'!$E$2:$E$6000=$AB259)*('2016 E Maize Soil VWC'!$F$2:$F$6000=AV$5),'2016 E Maize Soil VWC'!$G$2:$G$6000)</f>
        <v>#N/A</v>
      </c>
    </row>
    <row r="260" spans="25:64" x14ac:dyDescent="0.25">
      <c r="AA260" s="18">
        <f t="shared" si="41"/>
        <v>42369</v>
      </c>
      <c r="AB260" s="1">
        <f t="shared" si="42"/>
        <v>150</v>
      </c>
      <c r="AC260" s="1" t="e" cm="1">
        <f t="array" ref="AC260">_xlfn.XLOOKUP(1,('2016 E Maize Soil VWC'!$C$2:$C$6000=$AA260)*('2016 E Maize Soil VWC'!$E$2:$E$6000=$AB260)*('2016 E Maize Soil VWC'!$F$2:$F$6000=AC$5),'2016 E Maize Soil VWC'!$G$2:$G$6000)</f>
        <v>#N/A</v>
      </c>
      <c r="AD260" s="1" t="e" cm="1">
        <f t="array" ref="AD260">_xlfn.XLOOKUP(1,('2016 E Maize Soil VWC'!$C$2:$C$6000=$AA260)*('2016 E Maize Soil VWC'!$E$2:$E$6000=$AB260)*('2016 E Maize Soil VWC'!$F$2:$F$6000=AD$5),'2016 E Maize Soil VWC'!$G$2:$G$6000)</f>
        <v>#N/A</v>
      </c>
      <c r="AE260" s="1" t="e" cm="1">
        <f t="array" ref="AE260">_xlfn.XLOOKUP(1,('2016 E Maize Soil VWC'!$C$2:$C$6000=$AA260)*('2016 E Maize Soil VWC'!$E$2:$E$6000=$AB260)*('2016 E Maize Soil VWC'!$F$2:$F$6000=AE$5),'2016 E Maize Soil VWC'!$G$2:$G$6000)</f>
        <v>#N/A</v>
      </c>
      <c r="AF260" s="1" t="e" cm="1">
        <f t="array" ref="AF260">_xlfn.XLOOKUP(1,('2016 E Maize Soil VWC'!$C$2:$C$6000=$AA260)*('2016 E Maize Soil VWC'!$E$2:$E$6000=$AB260)*('2016 E Maize Soil VWC'!$F$2:$F$6000=AF$5),'2016 E Maize Soil VWC'!$G$2:$G$6000)</f>
        <v>#N/A</v>
      </c>
      <c r="AG260" s="1" t="e" cm="1">
        <f t="array" ref="AG260">_xlfn.XLOOKUP(1,('2016 E Maize Soil VWC'!$C$2:$C$6000=$AA260)*('2016 E Maize Soil VWC'!$E$2:$E$6000=$AB260)*('2016 E Maize Soil VWC'!$F$2:$F$6000=AG$5),'2016 E Maize Soil VWC'!$G$2:$G$6000)</f>
        <v>#N/A</v>
      </c>
      <c r="AH260" s="1" t="e" cm="1">
        <f t="array" ref="AH260">_xlfn.XLOOKUP(1,('2016 E Maize Soil VWC'!$C$2:$C$6000=$AA260)*('2016 E Maize Soil VWC'!$E$2:$E$6000=$AB260)*('2016 E Maize Soil VWC'!$F$2:$F$6000=AH$5),'2016 E Maize Soil VWC'!$G$2:$G$6000)</f>
        <v>#N/A</v>
      </c>
      <c r="AI260" s="1" t="e" cm="1">
        <f t="array" ref="AI260">_xlfn.XLOOKUP(1,('2016 E Maize Soil VWC'!$C$2:$C$6000=$AA260)*('2016 E Maize Soil VWC'!$E$2:$E$6000=$AB260)*('2016 E Maize Soil VWC'!$F$2:$F$6000=AI$5),'2016 E Maize Soil VWC'!$G$2:$G$6000)</f>
        <v>#N/A</v>
      </c>
      <c r="AJ260" s="1" t="e" cm="1">
        <f t="array" ref="AJ260">_xlfn.XLOOKUP(1,('2016 E Maize Soil VWC'!$C$2:$C$6000=$AA260)*('2016 E Maize Soil VWC'!$E$2:$E$6000=$AB260)*('2016 E Maize Soil VWC'!$F$2:$F$6000=AJ$5),'2016 E Maize Soil VWC'!$G$2:$G$6000)</f>
        <v>#N/A</v>
      </c>
      <c r="AK260" s="1" t="e" cm="1">
        <f t="array" ref="AK260">_xlfn.XLOOKUP(1,('2016 E Maize Soil VWC'!$C$2:$C$6000=$AA260)*('2016 E Maize Soil VWC'!$E$2:$E$6000=$AB260)*('2016 E Maize Soil VWC'!$F$2:$F$6000=AK$5),'2016 E Maize Soil VWC'!$G$2:$G$6000)</f>
        <v>#N/A</v>
      </c>
      <c r="AL260" s="1" t="e" cm="1">
        <f t="array" ref="AL260">_xlfn.XLOOKUP(1,('2016 E Maize Soil VWC'!$C$2:$C$6000=$AA260)*('2016 E Maize Soil VWC'!$E$2:$E$6000=$AB260)*('2016 E Maize Soil VWC'!$F$2:$F$6000=AL$5),'2016 E Maize Soil VWC'!$G$2:$G$6000)</f>
        <v>#N/A</v>
      </c>
      <c r="AM260" s="1" t="e" cm="1">
        <f t="array" ref="AM260">_xlfn.XLOOKUP(1,('2016 E Maize Soil VWC'!$C$2:$C$6000=$AA260)*('2016 E Maize Soil VWC'!$E$2:$E$6000=$AB260)*('2016 E Maize Soil VWC'!$F$2:$F$6000=AM$5),'2016 E Maize Soil VWC'!$G$2:$G$6000)</f>
        <v>#N/A</v>
      </c>
      <c r="AN260" s="1" t="e" cm="1">
        <f t="array" ref="AN260">_xlfn.XLOOKUP(1,('2016 E Maize Soil VWC'!$C$2:$C$6000=$AA260)*('2016 E Maize Soil VWC'!$E$2:$E$6000=$AB260)*('2016 E Maize Soil VWC'!$F$2:$F$6000=AN$5),'2016 E Maize Soil VWC'!$G$2:$G$6000)</f>
        <v>#N/A</v>
      </c>
      <c r="AO260" s="1" t="e" cm="1">
        <f t="array" ref="AO260">_xlfn.XLOOKUP(1,('2016 E Maize Soil VWC'!$C$2:$C$6000=$AA260)*('2016 E Maize Soil VWC'!$E$2:$E$6000=$AB260)*('2016 E Maize Soil VWC'!$F$2:$F$6000=AO$5),'2016 E Maize Soil VWC'!$G$2:$G$6000)</f>
        <v>#N/A</v>
      </c>
      <c r="AP260" s="1" t="e" cm="1">
        <f t="array" ref="AP260">_xlfn.XLOOKUP(1,('2016 E Maize Soil VWC'!$C$2:$C$6000=$AA260)*('2016 E Maize Soil VWC'!$E$2:$E$6000=$AB260)*('2016 E Maize Soil VWC'!$F$2:$F$6000=AP$5),'2016 E Maize Soil VWC'!$G$2:$G$6000)</f>
        <v>#N/A</v>
      </c>
      <c r="AQ260" s="1" t="e" cm="1">
        <f t="array" ref="AQ260">_xlfn.XLOOKUP(1,('2016 E Maize Soil VWC'!$C$2:$C$6000=$AA260)*('2016 E Maize Soil VWC'!$E$2:$E$6000=$AB260)*('2016 E Maize Soil VWC'!$F$2:$F$6000=AQ$5),'2016 E Maize Soil VWC'!$G$2:$G$6000)</f>
        <v>#N/A</v>
      </c>
      <c r="AR260" s="1" t="e" cm="1">
        <f t="array" ref="AR260">_xlfn.XLOOKUP(1,('2016 E Maize Soil VWC'!$C$2:$C$6000=$AA260)*('2016 E Maize Soil VWC'!$E$2:$E$6000=$AB260)*('2016 E Maize Soil VWC'!$F$2:$F$6000=AR$5),'2016 E Maize Soil VWC'!$G$2:$G$6000)</f>
        <v>#N/A</v>
      </c>
      <c r="AS260" s="1" t="e" cm="1">
        <f t="array" ref="AS260">_xlfn.XLOOKUP(1,('2016 E Maize Soil VWC'!$C$2:$C$6000=$AA260)*('2016 E Maize Soil VWC'!$E$2:$E$6000=$AB260)*('2016 E Maize Soil VWC'!$F$2:$F$6000=AS$5),'2016 E Maize Soil VWC'!$G$2:$G$6000)</f>
        <v>#N/A</v>
      </c>
      <c r="AT260" s="1" t="e" cm="1">
        <f t="array" ref="AT260">_xlfn.XLOOKUP(1,('2016 E Maize Soil VWC'!$C$2:$C$6000=$AA260)*('2016 E Maize Soil VWC'!$E$2:$E$6000=$AB260)*('2016 E Maize Soil VWC'!$F$2:$F$6000=AT$5),'2016 E Maize Soil VWC'!$G$2:$G$6000)</f>
        <v>#N/A</v>
      </c>
      <c r="AU260" s="1" t="e" cm="1">
        <f t="array" ref="AU260">_xlfn.XLOOKUP(1,('2016 E Maize Soil VWC'!$C$2:$C$6000=$AA260)*('2016 E Maize Soil VWC'!$E$2:$E$6000=$AB260)*('2016 E Maize Soil VWC'!$F$2:$F$6000=AU$5),'2016 E Maize Soil VWC'!$G$2:$G$6000)</f>
        <v>#N/A</v>
      </c>
      <c r="AV260" s="1" t="e" cm="1">
        <f t="array" ref="AV260">_xlfn.XLOOKUP(1,('2016 E Maize Soil VWC'!$C$2:$C$6000=$AA260)*('2016 E Maize Soil VWC'!$E$2:$E$6000=$AB260)*('2016 E Maize Soil VWC'!$F$2:$F$6000=AV$5),'2016 E Maize Soil VWC'!$G$2:$G$6000)</f>
        <v>#N/A</v>
      </c>
    </row>
    <row r="261" spans="25:64" x14ac:dyDescent="0.25">
      <c r="AA261" s="18">
        <f t="shared" si="41"/>
        <v>42369</v>
      </c>
      <c r="AB261" s="1">
        <f t="shared" si="42"/>
        <v>170</v>
      </c>
      <c r="AC261" s="1" t="e" cm="1">
        <f t="array" ref="AC261">_xlfn.XLOOKUP(1,('2016 E Maize Soil VWC'!$C$2:$C$6000=$AA261)*('2016 E Maize Soil VWC'!$E$2:$E$6000=$AB261)*('2016 E Maize Soil VWC'!$F$2:$F$6000=AC$5),'2016 E Maize Soil VWC'!$G$2:$G$6000)</f>
        <v>#N/A</v>
      </c>
      <c r="AD261" s="1" t="e" cm="1">
        <f t="array" ref="AD261">_xlfn.XLOOKUP(1,('2016 E Maize Soil VWC'!$C$2:$C$6000=$AA261)*('2016 E Maize Soil VWC'!$E$2:$E$6000=$AB261)*('2016 E Maize Soil VWC'!$F$2:$F$6000=AD$5),'2016 E Maize Soil VWC'!$G$2:$G$6000)</f>
        <v>#N/A</v>
      </c>
      <c r="AE261" s="1" t="e" cm="1">
        <f t="array" ref="AE261">_xlfn.XLOOKUP(1,('2016 E Maize Soil VWC'!$C$2:$C$6000=$AA261)*('2016 E Maize Soil VWC'!$E$2:$E$6000=$AB261)*('2016 E Maize Soil VWC'!$F$2:$F$6000=AE$5),'2016 E Maize Soil VWC'!$G$2:$G$6000)</f>
        <v>#N/A</v>
      </c>
      <c r="AF261" s="1" t="e" cm="1">
        <f t="array" ref="AF261">_xlfn.XLOOKUP(1,('2016 E Maize Soil VWC'!$C$2:$C$6000=$AA261)*('2016 E Maize Soil VWC'!$E$2:$E$6000=$AB261)*('2016 E Maize Soil VWC'!$F$2:$F$6000=AF$5),'2016 E Maize Soil VWC'!$G$2:$G$6000)</f>
        <v>#N/A</v>
      </c>
      <c r="AG261" s="1" t="e" cm="1">
        <f t="array" ref="AG261">_xlfn.XLOOKUP(1,('2016 E Maize Soil VWC'!$C$2:$C$6000=$AA261)*('2016 E Maize Soil VWC'!$E$2:$E$6000=$AB261)*('2016 E Maize Soil VWC'!$F$2:$F$6000=AG$5),'2016 E Maize Soil VWC'!$G$2:$G$6000)</f>
        <v>#N/A</v>
      </c>
      <c r="AH261" s="1" t="e" cm="1">
        <f t="array" ref="AH261">_xlfn.XLOOKUP(1,('2016 E Maize Soil VWC'!$C$2:$C$6000=$AA261)*('2016 E Maize Soil VWC'!$E$2:$E$6000=$AB261)*('2016 E Maize Soil VWC'!$F$2:$F$6000=AH$5),'2016 E Maize Soil VWC'!$G$2:$G$6000)</f>
        <v>#N/A</v>
      </c>
      <c r="AI261" s="1" t="e" cm="1">
        <f t="array" ref="AI261">_xlfn.XLOOKUP(1,('2016 E Maize Soil VWC'!$C$2:$C$6000=$AA261)*('2016 E Maize Soil VWC'!$E$2:$E$6000=$AB261)*('2016 E Maize Soil VWC'!$F$2:$F$6000=AI$5),'2016 E Maize Soil VWC'!$G$2:$G$6000)</f>
        <v>#N/A</v>
      </c>
      <c r="AJ261" s="1" t="e" cm="1">
        <f t="array" ref="AJ261">_xlfn.XLOOKUP(1,('2016 E Maize Soil VWC'!$C$2:$C$6000=$AA261)*('2016 E Maize Soil VWC'!$E$2:$E$6000=$AB261)*('2016 E Maize Soil VWC'!$F$2:$F$6000=AJ$5),'2016 E Maize Soil VWC'!$G$2:$G$6000)</f>
        <v>#N/A</v>
      </c>
      <c r="AK261" s="1" t="e" cm="1">
        <f t="array" ref="AK261">_xlfn.XLOOKUP(1,('2016 E Maize Soil VWC'!$C$2:$C$6000=$AA261)*('2016 E Maize Soil VWC'!$E$2:$E$6000=$AB261)*('2016 E Maize Soil VWC'!$F$2:$F$6000=AK$5),'2016 E Maize Soil VWC'!$G$2:$G$6000)</f>
        <v>#N/A</v>
      </c>
      <c r="AL261" s="1" t="e" cm="1">
        <f t="array" ref="AL261">_xlfn.XLOOKUP(1,('2016 E Maize Soil VWC'!$C$2:$C$6000=$AA261)*('2016 E Maize Soil VWC'!$E$2:$E$6000=$AB261)*('2016 E Maize Soil VWC'!$F$2:$F$6000=AL$5),'2016 E Maize Soil VWC'!$G$2:$G$6000)</f>
        <v>#N/A</v>
      </c>
      <c r="AM261" s="1" t="e" cm="1">
        <f t="array" ref="AM261">_xlfn.XLOOKUP(1,('2016 E Maize Soil VWC'!$C$2:$C$6000=$AA261)*('2016 E Maize Soil VWC'!$E$2:$E$6000=$AB261)*('2016 E Maize Soil VWC'!$F$2:$F$6000=AM$5),'2016 E Maize Soil VWC'!$G$2:$G$6000)</f>
        <v>#N/A</v>
      </c>
      <c r="AN261" s="1" t="e" cm="1">
        <f t="array" ref="AN261">_xlfn.XLOOKUP(1,('2016 E Maize Soil VWC'!$C$2:$C$6000=$AA261)*('2016 E Maize Soil VWC'!$E$2:$E$6000=$AB261)*('2016 E Maize Soil VWC'!$F$2:$F$6000=AN$5),'2016 E Maize Soil VWC'!$G$2:$G$6000)</f>
        <v>#N/A</v>
      </c>
      <c r="AO261" s="1" t="e" cm="1">
        <f t="array" ref="AO261">_xlfn.XLOOKUP(1,('2016 E Maize Soil VWC'!$C$2:$C$6000=$AA261)*('2016 E Maize Soil VWC'!$E$2:$E$6000=$AB261)*('2016 E Maize Soil VWC'!$F$2:$F$6000=AO$5),'2016 E Maize Soil VWC'!$G$2:$G$6000)</f>
        <v>#N/A</v>
      </c>
      <c r="AP261" s="1" t="e" cm="1">
        <f t="array" ref="AP261">_xlfn.XLOOKUP(1,('2016 E Maize Soil VWC'!$C$2:$C$6000=$AA261)*('2016 E Maize Soil VWC'!$E$2:$E$6000=$AB261)*('2016 E Maize Soil VWC'!$F$2:$F$6000=AP$5),'2016 E Maize Soil VWC'!$G$2:$G$6000)</f>
        <v>#N/A</v>
      </c>
      <c r="AQ261" s="1" t="e" cm="1">
        <f t="array" ref="AQ261">_xlfn.XLOOKUP(1,('2016 E Maize Soil VWC'!$C$2:$C$6000=$AA261)*('2016 E Maize Soil VWC'!$E$2:$E$6000=$AB261)*('2016 E Maize Soil VWC'!$F$2:$F$6000=AQ$5),'2016 E Maize Soil VWC'!$G$2:$G$6000)</f>
        <v>#N/A</v>
      </c>
      <c r="AR261" s="1" t="e" cm="1">
        <f t="array" ref="AR261">_xlfn.XLOOKUP(1,('2016 E Maize Soil VWC'!$C$2:$C$6000=$AA261)*('2016 E Maize Soil VWC'!$E$2:$E$6000=$AB261)*('2016 E Maize Soil VWC'!$F$2:$F$6000=AR$5),'2016 E Maize Soil VWC'!$G$2:$G$6000)</f>
        <v>#N/A</v>
      </c>
      <c r="AS261" s="1" t="e" cm="1">
        <f t="array" ref="AS261">_xlfn.XLOOKUP(1,('2016 E Maize Soil VWC'!$C$2:$C$6000=$AA261)*('2016 E Maize Soil VWC'!$E$2:$E$6000=$AB261)*('2016 E Maize Soil VWC'!$F$2:$F$6000=AS$5),'2016 E Maize Soil VWC'!$G$2:$G$6000)</f>
        <v>#N/A</v>
      </c>
      <c r="AT261" s="1" t="e" cm="1">
        <f t="array" ref="AT261">_xlfn.XLOOKUP(1,('2016 E Maize Soil VWC'!$C$2:$C$6000=$AA261)*('2016 E Maize Soil VWC'!$E$2:$E$6000=$AB261)*('2016 E Maize Soil VWC'!$F$2:$F$6000=AT$5),'2016 E Maize Soil VWC'!$G$2:$G$6000)</f>
        <v>#N/A</v>
      </c>
      <c r="AU261" s="1" t="e" cm="1">
        <f t="array" ref="AU261">_xlfn.XLOOKUP(1,('2016 E Maize Soil VWC'!$C$2:$C$6000=$AA261)*('2016 E Maize Soil VWC'!$E$2:$E$6000=$AB261)*('2016 E Maize Soil VWC'!$F$2:$F$6000=AU$5),'2016 E Maize Soil VWC'!$G$2:$G$6000)</f>
        <v>#N/A</v>
      </c>
      <c r="AV261" s="1" t="e" cm="1">
        <f t="array" ref="AV261">_xlfn.XLOOKUP(1,('2016 E Maize Soil VWC'!$C$2:$C$6000=$AA261)*('2016 E Maize Soil VWC'!$E$2:$E$6000=$AB261)*('2016 E Maize Soil VWC'!$F$2:$F$6000=AV$5),'2016 E Maize Soil VWC'!$G$2:$G$6000)</f>
        <v>#N/A</v>
      </c>
    </row>
    <row r="262" spans="25:64" x14ac:dyDescent="0.25">
      <c r="AA262" s="18">
        <f t="shared" si="41"/>
        <v>42369</v>
      </c>
      <c r="AB262" s="1">
        <f t="shared" si="42"/>
        <v>190</v>
      </c>
      <c r="AC262" s="1" t="e" cm="1">
        <f t="array" ref="AC262">_xlfn.XLOOKUP(1,('2016 E Maize Soil VWC'!$C$2:$C$6000=$AA262)*('2016 E Maize Soil VWC'!$E$2:$E$6000=$AB262)*('2016 E Maize Soil VWC'!$F$2:$F$6000=AC$5),'2016 E Maize Soil VWC'!$G$2:$G$6000)</f>
        <v>#N/A</v>
      </c>
      <c r="AD262" s="1" t="e" cm="1">
        <f t="array" ref="AD262">_xlfn.XLOOKUP(1,('2016 E Maize Soil VWC'!$C$2:$C$6000=$AA262)*('2016 E Maize Soil VWC'!$E$2:$E$6000=$AB262)*('2016 E Maize Soil VWC'!$F$2:$F$6000=AD$5),'2016 E Maize Soil VWC'!$G$2:$G$6000)</f>
        <v>#N/A</v>
      </c>
      <c r="AE262" s="1" t="e" cm="1">
        <f t="array" ref="AE262">_xlfn.XLOOKUP(1,('2016 E Maize Soil VWC'!$C$2:$C$6000=$AA262)*('2016 E Maize Soil VWC'!$E$2:$E$6000=$AB262)*('2016 E Maize Soil VWC'!$F$2:$F$6000=AE$5),'2016 E Maize Soil VWC'!$G$2:$G$6000)</f>
        <v>#N/A</v>
      </c>
      <c r="AF262" s="1" t="e" cm="1">
        <f t="array" ref="AF262">_xlfn.XLOOKUP(1,('2016 E Maize Soil VWC'!$C$2:$C$6000=$AA262)*('2016 E Maize Soil VWC'!$E$2:$E$6000=$AB262)*('2016 E Maize Soil VWC'!$F$2:$F$6000=AF$5),'2016 E Maize Soil VWC'!$G$2:$G$6000)</f>
        <v>#N/A</v>
      </c>
      <c r="AG262" s="1" t="e" cm="1">
        <f t="array" ref="AG262">_xlfn.XLOOKUP(1,('2016 E Maize Soil VWC'!$C$2:$C$6000=$AA262)*('2016 E Maize Soil VWC'!$E$2:$E$6000=$AB262)*('2016 E Maize Soil VWC'!$F$2:$F$6000=AG$5),'2016 E Maize Soil VWC'!$G$2:$G$6000)</f>
        <v>#N/A</v>
      </c>
      <c r="AH262" s="1" t="e" cm="1">
        <f t="array" ref="AH262">_xlfn.XLOOKUP(1,('2016 E Maize Soil VWC'!$C$2:$C$6000=$AA262)*('2016 E Maize Soil VWC'!$E$2:$E$6000=$AB262)*('2016 E Maize Soil VWC'!$F$2:$F$6000=AH$5),'2016 E Maize Soil VWC'!$G$2:$G$6000)</f>
        <v>#N/A</v>
      </c>
      <c r="AI262" s="1" t="e" cm="1">
        <f t="array" ref="AI262">_xlfn.XLOOKUP(1,('2016 E Maize Soil VWC'!$C$2:$C$6000=$AA262)*('2016 E Maize Soil VWC'!$E$2:$E$6000=$AB262)*('2016 E Maize Soil VWC'!$F$2:$F$6000=AI$5),'2016 E Maize Soil VWC'!$G$2:$G$6000)</f>
        <v>#N/A</v>
      </c>
      <c r="AJ262" s="1" t="e" cm="1">
        <f t="array" ref="AJ262">_xlfn.XLOOKUP(1,('2016 E Maize Soil VWC'!$C$2:$C$6000=$AA262)*('2016 E Maize Soil VWC'!$E$2:$E$6000=$AB262)*('2016 E Maize Soil VWC'!$F$2:$F$6000=AJ$5),'2016 E Maize Soil VWC'!$G$2:$G$6000)</f>
        <v>#N/A</v>
      </c>
      <c r="AK262" s="1" t="e" cm="1">
        <f t="array" ref="AK262">_xlfn.XLOOKUP(1,('2016 E Maize Soil VWC'!$C$2:$C$6000=$AA262)*('2016 E Maize Soil VWC'!$E$2:$E$6000=$AB262)*('2016 E Maize Soil VWC'!$F$2:$F$6000=AK$5),'2016 E Maize Soil VWC'!$G$2:$G$6000)</f>
        <v>#N/A</v>
      </c>
      <c r="AL262" s="1" t="e" cm="1">
        <f t="array" ref="AL262">_xlfn.XLOOKUP(1,('2016 E Maize Soil VWC'!$C$2:$C$6000=$AA262)*('2016 E Maize Soil VWC'!$E$2:$E$6000=$AB262)*('2016 E Maize Soil VWC'!$F$2:$F$6000=AL$5),'2016 E Maize Soil VWC'!$G$2:$G$6000)</f>
        <v>#N/A</v>
      </c>
      <c r="AM262" s="1" t="e" cm="1">
        <f t="array" ref="AM262">_xlfn.XLOOKUP(1,('2016 E Maize Soil VWC'!$C$2:$C$6000=$AA262)*('2016 E Maize Soil VWC'!$E$2:$E$6000=$AB262)*('2016 E Maize Soil VWC'!$F$2:$F$6000=AM$5),'2016 E Maize Soil VWC'!$G$2:$G$6000)</f>
        <v>#N/A</v>
      </c>
      <c r="AN262" s="1" t="e" cm="1">
        <f t="array" ref="AN262">_xlfn.XLOOKUP(1,('2016 E Maize Soil VWC'!$C$2:$C$6000=$AA262)*('2016 E Maize Soil VWC'!$E$2:$E$6000=$AB262)*('2016 E Maize Soil VWC'!$F$2:$F$6000=AN$5),'2016 E Maize Soil VWC'!$G$2:$G$6000)</f>
        <v>#N/A</v>
      </c>
      <c r="AO262" s="1" t="e" cm="1">
        <f t="array" ref="AO262">_xlfn.XLOOKUP(1,('2016 E Maize Soil VWC'!$C$2:$C$6000=$AA262)*('2016 E Maize Soil VWC'!$E$2:$E$6000=$AB262)*('2016 E Maize Soil VWC'!$F$2:$F$6000=AO$5),'2016 E Maize Soil VWC'!$G$2:$G$6000)</f>
        <v>#N/A</v>
      </c>
      <c r="AP262" s="1" t="e" cm="1">
        <f t="array" ref="AP262">_xlfn.XLOOKUP(1,('2016 E Maize Soil VWC'!$C$2:$C$6000=$AA262)*('2016 E Maize Soil VWC'!$E$2:$E$6000=$AB262)*('2016 E Maize Soil VWC'!$F$2:$F$6000=AP$5),'2016 E Maize Soil VWC'!$G$2:$G$6000)</f>
        <v>#N/A</v>
      </c>
      <c r="AQ262" s="1" t="e" cm="1">
        <f t="array" ref="AQ262">_xlfn.XLOOKUP(1,('2016 E Maize Soil VWC'!$C$2:$C$6000=$AA262)*('2016 E Maize Soil VWC'!$E$2:$E$6000=$AB262)*('2016 E Maize Soil VWC'!$F$2:$F$6000=AQ$5),'2016 E Maize Soil VWC'!$G$2:$G$6000)</f>
        <v>#N/A</v>
      </c>
      <c r="AR262" s="1" t="e" cm="1">
        <f t="array" ref="AR262">_xlfn.XLOOKUP(1,('2016 E Maize Soil VWC'!$C$2:$C$6000=$AA262)*('2016 E Maize Soil VWC'!$E$2:$E$6000=$AB262)*('2016 E Maize Soil VWC'!$F$2:$F$6000=AR$5),'2016 E Maize Soil VWC'!$G$2:$G$6000)</f>
        <v>#N/A</v>
      </c>
      <c r="AS262" s="1" t="e" cm="1">
        <f t="array" ref="AS262">_xlfn.XLOOKUP(1,('2016 E Maize Soil VWC'!$C$2:$C$6000=$AA262)*('2016 E Maize Soil VWC'!$E$2:$E$6000=$AB262)*('2016 E Maize Soil VWC'!$F$2:$F$6000=AS$5),'2016 E Maize Soil VWC'!$G$2:$G$6000)</f>
        <v>#N/A</v>
      </c>
      <c r="AT262" s="1" t="e" cm="1">
        <f t="array" ref="AT262">_xlfn.XLOOKUP(1,('2016 E Maize Soil VWC'!$C$2:$C$6000=$AA262)*('2016 E Maize Soil VWC'!$E$2:$E$6000=$AB262)*('2016 E Maize Soil VWC'!$F$2:$F$6000=AT$5),'2016 E Maize Soil VWC'!$G$2:$G$6000)</f>
        <v>#N/A</v>
      </c>
      <c r="AU262" s="1" t="e" cm="1">
        <f t="array" ref="AU262">_xlfn.XLOOKUP(1,('2016 E Maize Soil VWC'!$C$2:$C$6000=$AA262)*('2016 E Maize Soil VWC'!$E$2:$E$6000=$AB262)*('2016 E Maize Soil VWC'!$F$2:$F$6000=AU$5),'2016 E Maize Soil VWC'!$G$2:$G$6000)</f>
        <v>#N/A</v>
      </c>
      <c r="AV262" s="1" t="e" cm="1">
        <f t="array" ref="AV262">_xlfn.XLOOKUP(1,('2016 E Maize Soil VWC'!$C$2:$C$6000=$AA262)*('2016 E Maize Soil VWC'!$E$2:$E$6000=$AB262)*('2016 E Maize Soil VWC'!$F$2:$F$6000=AV$5),'2016 E Maize Soil VWC'!$G$2:$G$6000)</f>
        <v>#N/A</v>
      </c>
    </row>
    <row r="263" spans="25:64" x14ac:dyDescent="0.25">
      <c r="AA263" s="18">
        <f t="shared" si="41"/>
        <v>42369</v>
      </c>
      <c r="AB263" s="1">
        <f t="shared" si="42"/>
        <v>210</v>
      </c>
      <c r="AC263" s="1" t="e" cm="1">
        <f t="array" ref="AC263">_xlfn.XLOOKUP(1,('2016 E Maize Soil VWC'!$C$2:$C$6000=$AA263)*('2016 E Maize Soil VWC'!$E$2:$E$6000=$AB263)*('2016 E Maize Soil VWC'!$F$2:$F$6000=AC$5),'2016 E Maize Soil VWC'!$G$2:$G$6000)</f>
        <v>#N/A</v>
      </c>
      <c r="AD263" s="1" t="e" cm="1">
        <f t="array" ref="AD263">_xlfn.XLOOKUP(1,('2016 E Maize Soil VWC'!$C$2:$C$6000=$AA263)*('2016 E Maize Soil VWC'!$E$2:$E$6000=$AB263)*('2016 E Maize Soil VWC'!$F$2:$F$6000=AD$5),'2016 E Maize Soil VWC'!$G$2:$G$6000)</f>
        <v>#N/A</v>
      </c>
      <c r="AE263" s="1" t="e" cm="1">
        <f t="array" ref="AE263">_xlfn.XLOOKUP(1,('2016 E Maize Soil VWC'!$C$2:$C$6000=$AA263)*('2016 E Maize Soil VWC'!$E$2:$E$6000=$AB263)*('2016 E Maize Soil VWC'!$F$2:$F$6000=AE$5),'2016 E Maize Soil VWC'!$G$2:$G$6000)</f>
        <v>#N/A</v>
      </c>
      <c r="AF263" s="1" t="e" cm="1">
        <f t="array" ref="AF263">_xlfn.XLOOKUP(1,('2016 E Maize Soil VWC'!$C$2:$C$6000=$AA263)*('2016 E Maize Soil VWC'!$E$2:$E$6000=$AB263)*('2016 E Maize Soil VWC'!$F$2:$F$6000=AF$5),'2016 E Maize Soil VWC'!$G$2:$G$6000)</f>
        <v>#N/A</v>
      </c>
      <c r="AG263" s="1" t="e" cm="1">
        <f t="array" ref="AG263">_xlfn.XLOOKUP(1,('2016 E Maize Soil VWC'!$C$2:$C$6000=$AA263)*('2016 E Maize Soil VWC'!$E$2:$E$6000=$AB263)*('2016 E Maize Soil VWC'!$F$2:$F$6000=AG$5),'2016 E Maize Soil VWC'!$G$2:$G$6000)</f>
        <v>#N/A</v>
      </c>
      <c r="AH263" s="1" t="e" cm="1">
        <f t="array" ref="AH263">_xlfn.XLOOKUP(1,('2016 E Maize Soil VWC'!$C$2:$C$6000=$AA263)*('2016 E Maize Soil VWC'!$E$2:$E$6000=$AB263)*('2016 E Maize Soil VWC'!$F$2:$F$6000=AH$5),'2016 E Maize Soil VWC'!$G$2:$G$6000)</f>
        <v>#N/A</v>
      </c>
      <c r="AI263" s="1" t="e" cm="1">
        <f t="array" ref="AI263">_xlfn.XLOOKUP(1,('2016 E Maize Soil VWC'!$C$2:$C$6000=$AA263)*('2016 E Maize Soil VWC'!$E$2:$E$6000=$AB263)*('2016 E Maize Soil VWC'!$F$2:$F$6000=AI$5),'2016 E Maize Soil VWC'!$G$2:$G$6000)</f>
        <v>#N/A</v>
      </c>
      <c r="AJ263" s="1" t="e" cm="1">
        <f t="array" ref="AJ263">_xlfn.XLOOKUP(1,('2016 E Maize Soil VWC'!$C$2:$C$6000=$AA263)*('2016 E Maize Soil VWC'!$E$2:$E$6000=$AB263)*('2016 E Maize Soil VWC'!$F$2:$F$6000=AJ$5),'2016 E Maize Soil VWC'!$G$2:$G$6000)</f>
        <v>#N/A</v>
      </c>
      <c r="AK263" s="1" t="e" cm="1">
        <f t="array" ref="AK263">_xlfn.XLOOKUP(1,('2016 E Maize Soil VWC'!$C$2:$C$6000=$AA263)*('2016 E Maize Soil VWC'!$E$2:$E$6000=$AB263)*('2016 E Maize Soil VWC'!$F$2:$F$6000=AK$5),'2016 E Maize Soil VWC'!$G$2:$G$6000)</f>
        <v>#N/A</v>
      </c>
      <c r="AL263" s="1" t="e" cm="1">
        <f t="array" ref="AL263">_xlfn.XLOOKUP(1,('2016 E Maize Soil VWC'!$C$2:$C$6000=$AA263)*('2016 E Maize Soil VWC'!$E$2:$E$6000=$AB263)*('2016 E Maize Soil VWC'!$F$2:$F$6000=AL$5),'2016 E Maize Soil VWC'!$G$2:$G$6000)</f>
        <v>#N/A</v>
      </c>
      <c r="AM263" s="1" t="e" cm="1">
        <f t="array" ref="AM263">_xlfn.XLOOKUP(1,('2016 E Maize Soil VWC'!$C$2:$C$6000=$AA263)*('2016 E Maize Soil VWC'!$E$2:$E$6000=$AB263)*('2016 E Maize Soil VWC'!$F$2:$F$6000=AM$5),'2016 E Maize Soil VWC'!$G$2:$G$6000)</f>
        <v>#N/A</v>
      </c>
      <c r="AN263" s="1" t="e" cm="1">
        <f t="array" ref="AN263">_xlfn.XLOOKUP(1,('2016 E Maize Soil VWC'!$C$2:$C$6000=$AA263)*('2016 E Maize Soil VWC'!$E$2:$E$6000=$AB263)*('2016 E Maize Soil VWC'!$F$2:$F$6000=AN$5),'2016 E Maize Soil VWC'!$G$2:$G$6000)</f>
        <v>#N/A</v>
      </c>
      <c r="AO263" s="1" t="e" cm="1">
        <f t="array" ref="AO263">_xlfn.XLOOKUP(1,('2016 E Maize Soil VWC'!$C$2:$C$6000=$AA263)*('2016 E Maize Soil VWC'!$E$2:$E$6000=$AB263)*('2016 E Maize Soil VWC'!$F$2:$F$6000=AO$5),'2016 E Maize Soil VWC'!$G$2:$G$6000)</f>
        <v>#N/A</v>
      </c>
      <c r="AP263" s="1" t="e" cm="1">
        <f t="array" ref="AP263">_xlfn.XLOOKUP(1,('2016 E Maize Soil VWC'!$C$2:$C$6000=$AA263)*('2016 E Maize Soil VWC'!$E$2:$E$6000=$AB263)*('2016 E Maize Soil VWC'!$F$2:$F$6000=AP$5),'2016 E Maize Soil VWC'!$G$2:$G$6000)</f>
        <v>#N/A</v>
      </c>
      <c r="AQ263" s="1" t="e" cm="1">
        <f t="array" ref="AQ263">_xlfn.XLOOKUP(1,('2016 E Maize Soil VWC'!$C$2:$C$6000=$AA263)*('2016 E Maize Soil VWC'!$E$2:$E$6000=$AB263)*('2016 E Maize Soil VWC'!$F$2:$F$6000=AQ$5),'2016 E Maize Soil VWC'!$G$2:$G$6000)</f>
        <v>#N/A</v>
      </c>
      <c r="AR263" s="1" t="e" cm="1">
        <f t="array" ref="AR263">_xlfn.XLOOKUP(1,('2016 E Maize Soil VWC'!$C$2:$C$6000=$AA263)*('2016 E Maize Soil VWC'!$E$2:$E$6000=$AB263)*('2016 E Maize Soil VWC'!$F$2:$F$6000=AR$5),'2016 E Maize Soil VWC'!$G$2:$G$6000)</f>
        <v>#N/A</v>
      </c>
      <c r="AS263" s="1" t="e" cm="1">
        <f t="array" ref="AS263">_xlfn.XLOOKUP(1,('2016 E Maize Soil VWC'!$C$2:$C$6000=$AA263)*('2016 E Maize Soil VWC'!$E$2:$E$6000=$AB263)*('2016 E Maize Soil VWC'!$F$2:$F$6000=AS$5),'2016 E Maize Soil VWC'!$G$2:$G$6000)</f>
        <v>#N/A</v>
      </c>
      <c r="AT263" s="1" t="e" cm="1">
        <f t="array" ref="AT263">_xlfn.XLOOKUP(1,('2016 E Maize Soil VWC'!$C$2:$C$6000=$AA263)*('2016 E Maize Soil VWC'!$E$2:$E$6000=$AB263)*('2016 E Maize Soil VWC'!$F$2:$F$6000=AT$5),'2016 E Maize Soil VWC'!$G$2:$G$6000)</f>
        <v>#N/A</v>
      </c>
      <c r="AU263" s="1" t="e" cm="1">
        <f t="array" ref="AU263">_xlfn.XLOOKUP(1,('2016 E Maize Soil VWC'!$C$2:$C$6000=$AA263)*('2016 E Maize Soil VWC'!$E$2:$E$6000=$AB263)*('2016 E Maize Soil VWC'!$F$2:$F$6000=AU$5),'2016 E Maize Soil VWC'!$G$2:$G$6000)</f>
        <v>#N/A</v>
      </c>
      <c r="AV263" s="1" t="e" cm="1">
        <f t="array" ref="AV263">_xlfn.XLOOKUP(1,('2016 E Maize Soil VWC'!$C$2:$C$6000=$AA263)*('2016 E Maize Soil VWC'!$E$2:$E$6000=$AB263)*('2016 E Maize Soil VWC'!$F$2:$F$6000=AV$5),'2016 E Maize Soil VWC'!$G$2:$G$6000)</f>
        <v>#N/A</v>
      </c>
    </row>
    <row r="264" spans="25:64" x14ac:dyDescent="0.25">
      <c r="AA264" s="18">
        <f t="shared" si="41"/>
        <v>42369</v>
      </c>
      <c r="AB264" s="1">
        <f t="shared" si="42"/>
        <v>230</v>
      </c>
      <c r="AC264" s="1" t="e" cm="1">
        <f t="array" ref="AC264">_xlfn.XLOOKUP(1,('2016 E Maize Soil VWC'!$C$2:$C$6000=$AA264)*('2016 E Maize Soil VWC'!$E$2:$E$6000=$AB264)*('2016 E Maize Soil VWC'!$F$2:$F$6000=AC$5),'2016 E Maize Soil VWC'!$G$2:$G$6000)</f>
        <v>#N/A</v>
      </c>
      <c r="AD264" s="1" t="e" cm="1">
        <f t="array" ref="AD264">_xlfn.XLOOKUP(1,('2016 E Maize Soil VWC'!$C$2:$C$6000=$AA264)*('2016 E Maize Soil VWC'!$E$2:$E$6000=$AB264)*('2016 E Maize Soil VWC'!$F$2:$F$6000=AD$5),'2016 E Maize Soil VWC'!$G$2:$G$6000)</f>
        <v>#N/A</v>
      </c>
      <c r="AE264" s="1" t="e" cm="1">
        <f t="array" ref="AE264">_xlfn.XLOOKUP(1,('2016 E Maize Soil VWC'!$C$2:$C$6000=$AA264)*('2016 E Maize Soil VWC'!$E$2:$E$6000=$AB264)*('2016 E Maize Soil VWC'!$F$2:$F$6000=AE$5),'2016 E Maize Soil VWC'!$G$2:$G$6000)</f>
        <v>#N/A</v>
      </c>
      <c r="AF264" s="1" t="e" cm="1">
        <f t="array" ref="AF264">_xlfn.XLOOKUP(1,('2016 E Maize Soil VWC'!$C$2:$C$6000=$AA264)*('2016 E Maize Soil VWC'!$E$2:$E$6000=$AB264)*('2016 E Maize Soil VWC'!$F$2:$F$6000=AF$5),'2016 E Maize Soil VWC'!$G$2:$G$6000)</f>
        <v>#N/A</v>
      </c>
      <c r="AG264" s="1" t="e" cm="1">
        <f t="array" ref="AG264">_xlfn.XLOOKUP(1,('2016 E Maize Soil VWC'!$C$2:$C$6000=$AA264)*('2016 E Maize Soil VWC'!$E$2:$E$6000=$AB264)*('2016 E Maize Soil VWC'!$F$2:$F$6000=AG$5),'2016 E Maize Soil VWC'!$G$2:$G$6000)</f>
        <v>#N/A</v>
      </c>
      <c r="AH264" s="1" t="e" cm="1">
        <f t="array" ref="AH264">_xlfn.XLOOKUP(1,('2016 E Maize Soil VWC'!$C$2:$C$6000=$AA264)*('2016 E Maize Soil VWC'!$E$2:$E$6000=$AB264)*('2016 E Maize Soil VWC'!$F$2:$F$6000=AH$5),'2016 E Maize Soil VWC'!$G$2:$G$6000)</f>
        <v>#N/A</v>
      </c>
      <c r="AI264" s="1" t="e" cm="1">
        <f t="array" ref="AI264">_xlfn.XLOOKUP(1,('2016 E Maize Soil VWC'!$C$2:$C$6000=$AA264)*('2016 E Maize Soil VWC'!$E$2:$E$6000=$AB264)*('2016 E Maize Soil VWC'!$F$2:$F$6000=AI$5),'2016 E Maize Soil VWC'!$G$2:$G$6000)</f>
        <v>#N/A</v>
      </c>
      <c r="AJ264" s="1" t="e" cm="1">
        <f t="array" ref="AJ264">_xlfn.XLOOKUP(1,('2016 E Maize Soil VWC'!$C$2:$C$6000=$AA264)*('2016 E Maize Soil VWC'!$E$2:$E$6000=$AB264)*('2016 E Maize Soil VWC'!$F$2:$F$6000=AJ$5),'2016 E Maize Soil VWC'!$G$2:$G$6000)</f>
        <v>#N/A</v>
      </c>
      <c r="AK264" s="1" t="e" cm="1">
        <f t="array" ref="AK264">_xlfn.XLOOKUP(1,('2016 E Maize Soil VWC'!$C$2:$C$6000=$AA264)*('2016 E Maize Soil VWC'!$E$2:$E$6000=$AB264)*('2016 E Maize Soil VWC'!$F$2:$F$6000=AK$5),'2016 E Maize Soil VWC'!$G$2:$G$6000)</f>
        <v>#N/A</v>
      </c>
      <c r="AL264" s="1" t="e" cm="1">
        <f t="array" ref="AL264">_xlfn.XLOOKUP(1,('2016 E Maize Soil VWC'!$C$2:$C$6000=$AA264)*('2016 E Maize Soil VWC'!$E$2:$E$6000=$AB264)*('2016 E Maize Soil VWC'!$F$2:$F$6000=AL$5),'2016 E Maize Soil VWC'!$G$2:$G$6000)</f>
        <v>#N/A</v>
      </c>
      <c r="AM264" s="1" t="e" cm="1">
        <f t="array" ref="AM264">_xlfn.XLOOKUP(1,('2016 E Maize Soil VWC'!$C$2:$C$6000=$AA264)*('2016 E Maize Soil VWC'!$E$2:$E$6000=$AB264)*('2016 E Maize Soil VWC'!$F$2:$F$6000=AM$5),'2016 E Maize Soil VWC'!$G$2:$G$6000)</f>
        <v>#N/A</v>
      </c>
      <c r="AN264" s="1" t="e" cm="1">
        <f t="array" ref="AN264">_xlfn.XLOOKUP(1,('2016 E Maize Soil VWC'!$C$2:$C$6000=$AA264)*('2016 E Maize Soil VWC'!$E$2:$E$6000=$AB264)*('2016 E Maize Soil VWC'!$F$2:$F$6000=AN$5),'2016 E Maize Soil VWC'!$G$2:$G$6000)</f>
        <v>#N/A</v>
      </c>
      <c r="AO264" s="1" t="e" cm="1">
        <f t="array" ref="AO264">_xlfn.XLOOKUP(1,('2016 E Maize Soil VWC'!$C$2:$C$6000=$AA264)*('2016 E Maize Soil VWC'!$E$2:$E$6000=$AB264)*('2016 E Maize Soil VWC'!$F$2:$F$6000=AO$5),'2016 E Maize Soil VWC'!$G$2:$G$6000)</f>
        <v>#N/A</v>
      </c>
      <c r="AP264" s="1" t="e" cm="1">
        <f t="array" ref="AP264">_xlfn.XLOOKUP(1,('2016 E Maize Soil VWC'!$C$2:$C$6000=$AA264)*('2016 E Maize Soil VWC'!$E$2:$E$6000=$AB264)*('2016 E Maize Soil VWC'!$F$2:$F$6000=AP$5),'2016 E Maize Soil VWC'!$G$2:$G$6000)</f>
        <v>#N/A</v>
      </c>
      <c r="AQ264" s="1" t="e" cm="1">
        <f t="array" ref="AQ264">_xlfn.XLOOKUP(1,('2016 E Maize Soil VWC'!$C$2:$C$6000=$AA264)*('2016 E Maize Soil VWC'!$E$2:$E$6000=$AB264)*('2016 E Maize Soil VWC'!$F$2:$F$6000=AQ$5),'2016 E Maize Soil VWC'!$G$2:$G$6000)</f>
        <v>#N/A</v>
      </c>
      <c r="AR264" s="1" t="e" cm="1">
        <f t="array" ref="AR264">_xlfn.XLOOKUP(1,('2016 E Maize Soil VWC'!$C$2:$C$6000=$AA264)*('2016 E Maize Soil VWC'!$E$2:$E$6000=$AB264)*('2016 E Maize Soil VWC'!$F$2:$F$6000=AR$5),'2016 E Maize Soil VWC'!$G$2:$G$6000)</f>
        <v>#N/A</v>
      </c>
      <c r="AS264" s="1" t="e" cm="1">
        <f t="array" ref="AS264">_xlfn.XLOOKUP(1,('2016 E Maize Soil VWC'!$C$2:$C$6000=$AA264)*('2016 E Maize Soil VWC'!$E$2:$E$6000=$AB264)*('2016 E Maize Soil VWC'!$F$2:$F$6000=AS$5),'2016 E Maize Soil VWC'!$G$2:$G$6000)</f>
        <v>#N/A</v>
      </c>
      <c r="AT264" s="1" t="e" cm="1">
        <f t="array" ref="AT264">_xlfn.XLOOKUP(1,('2016 E Maize Soil VWC'!$C$2:$C$6000=$AA264)*('2016 E Maize Soil VWC'!$E$2:$E$6000=$AB264)*('2016 E Maize Soil VWC'!$F$2:$F$6000=AT$5),'2016 E Maize Soil VWC'!$G$2:$G$6000)</f>
        <v>#N/A</v>
      </c>
      <c r="AU264" s="1" t="e" cm="1">
        <f t="array" ref="AU264">_xlfn.XLOOKUP(1,('2016 E Maize Soil VWC'!$C$2:$C$6000=$AA264)*('2016 E Maize Soil VWC'!$E$2:$E$6000=$AB264)*('2016 E Maize Soil VWC'!$F$2:$F$6000=AU$5),'2016 E Maize Soil VWC'!$G$2:$G$6000)</f>
        <v>#N/A</v>
      </c>
      <c r="AV264" s="1" t="e" cm="1">
        <f t="array" ref="AV264">_xlfn.XLOOKUP(1,('2016 E Maize Soil VWC'!$C$2:$C$6000=$AA264)*('2016 E Maize Soil VWC'!$E$2:$E$6000=$AB264)*('2016 E Maize Soil VWC'!$F$2:$F$6000=AV$5),'2016 E Maize Soil VWC'!$G$2:$G$6000)</f>
        <v>#N/A</v>
      </c>
    </row>
    <row r="266" spans="25:64" x14ac:dyDescent="0.25">
      <c r="Y266" s="1">
        <v>2016</v>
      </c>
      <c r="Z266" s="1">
        <v>0</v>
      </c>
      <c r="AA266" s="18">
        <f>DATE(Y266,1,Z266)</f>
        <v>42369</v>
      </c>
      <c r="AB266" s="1">
        <v>10</v>
      </c>
      <c r="AC266" s="1" t="e" cm="1">
        <f t="array" ref="AC266">_xlfn.XLOOKUP(1,('2016 E Maize Soil VWC'!$C$2:$C$6000=$AA266)*('2016 E Maize Soil VWC'!$E$2:$E$6000=$AB266)*('2016 E Maize Soil VWC'!$F$2:$F$6000=AC$5),'2016 E Maize Soil VWC'!$G$2:$G$6000)</f>
        <v>#N/A</v>
      </c>
      <c r="AD266" s="1" t="e" cm="1">
        <f t="array" ref="AD266">_xlfn.XLOOKUP(1,('2016 E Maize Soil VWC'!$C$2:$C$6000=$AA266)*('2016 E Maize Soil VWC'!$E$2:$E$6000=$AB266)*('2016 E Maize Soil VWC'!$F$2:$F$6000=AD$5),'2016 E Maize Soil VWC'!$G$2:$G$6000)</f>
        <v>#N/A</v>
      </c>
      <c r="AE266" s="1" t="e" cm="1">
        <f t="array" ref="AE266">_xlfn.XLOOKUP(1,('2016 E Maize Soil VWC'!$C$2:$C$6000=$AA266)*('2016 E Maize Soil VWC'!$E$2:$E$6000=$AB266)*('2016 E Maize Soil VWC'!$F$2:$F$6000=AE$5),'2016 E Maize Soil VWC'!$G$2:$G$6000)</f>
        <v>#N/A</v>
      </c>
      <c r="AF266" s="1" t="e" cm="1">
        <f t="array" ref="AF266">_xlfn.XLOOKUP(1,('2016 E Maize Soil VWC'!$C$2:$C$6000=$AA266)*('2016 E Maize Soil VWC'!$E$2:$E$6000=$AB266)*('2016 E Maize Soil VWC'!$F$2:$F$6000=AF$5),'2016 E Maize Soil VWC'!$G$2:$G$6000)</f>
        <v>#N/A</v>
      </c>
      <c r="AG266" s="1" t="e" cm="1">
        <f t="array" ref="AG266">_xlfn.XLOOKUP(1,('2016 E Maize Soil VWC'!$C$2:$C$6000=$AA266)*('2016 E Maize Soil VWC'!$E$2:$E$6000=$AB266)*('2016 E Maize Soil VWC'!$F$2:$F$6000=AG$5),'2016 E Maize Soil VWC'!$G$2:$G$6000)</f>
        <v>#N/A</v>
      </c>
      <c r="AH266" s="1" t="e" cm="1">
        <f t="array" ref="AH266">_xlfn.XLOOKUP(1,('2016 E Maize Soil VWC'!$C$2:$C$6000=$AA266)*('2016 E Maize Soil VWC'!$E$2:$E$6000=$AB266)*('2016 E Maize Soil VWC'!$F$2:$F$6000=AH$5),'2016 E Maize Soil VWC'!$G$2:$G$6000)</f>
        <v>#N/A</v>
      </c>
      <c r="AI266" s="1" t="e" cm="1">
        <f t="array" ref="AI266">_xlfn.XLOOKUP(1,('2016 E Maize Soil VWC'!$C$2:$C$6000=$AA266)*('2016 E Maize Soil VWC'!$E$2:$E$6000=$AB266)*('2016 E Maize Soil VWC'!$F$2:$F$6000=AI$5),'2016 E Maize Soil VWC'!$G$2:$G$6000)</f>
        <v>#N/A</v>
      </c>
      <c r="AJ266" s="1" t="e" cm="1">
        <f t="array" ref="AJ266">_xlfn.XLOOKUP(1,('2016 E Maize Soil VWC'!$C$2:$C$6000=$AA266)*('2016 E Maize Soil VWC'!$E$2:$E$6000=$AB266)*('2016 E Maize Soil VWC'!$F$2:$F$6000=AJ$5),'2016 E Maize Soil VWC'!$G$2:$G$6000)</f>
        <v>#N/A</v>
      </c>
      <c r="AK266" s="1" t="e" cm="1">
        <f t="array" ref="AK266">_xlfn.XLOOKUP(1,('2016 E Maize Soil VWC'!$C$2:$C$6000=$AA266)*('2016 E Maize Soil VWC'!$E$2:$E$6000=$AB266)*('2016 E Maize Soil VWC'!$F$2:$F$6000=AK$5),'2016 E Maize Soil VWC'!$G$2:$G$6000)</f>
        <v>#N/A</v>
      </c>
      <c r="AL266" s="1" t="e" cm="1">
        <f t="array" ref="AL266">_xlfn.XLOOKUP(1,('2016 E Maize Soil VWC'!$C$2:$C$6000=$AA266)*('2016 E Maize Soil VWC'!$E$2:$E$6000=$AB266)*('2016 E Maize Soil VWC'!$F$2:$F$6000=AL$5),'2016 E Maize Soil VWC'!$G$2:$G$6000)</f>
        <v>#N/A</v>
      </c>
      <c r="AM266" s="1" t="e" cm="1">
        <f t="array" ref="AM266">_xlfn.XLOOKUP(1,('2016 E Maize Soil VWC'!$C$2:$C$6000=$AA266)*('2016 E Maize Soil VWC'!$E$2:$E$6000=$AB266)*('2016 E Maize Soil VWC'!$F$2:$F$6000=AM$5),'2016 E Maize Soil VWC'!$G$2:$G$6000)</f>
        <v>#N/A</v>
      </c>
      <c r="AN266" s="1" t="e" cm="1">
        <f t="array" ref="AN266">_xlfn.XLOOKUP(1,('2016 E Maize Soil VWC'!$C$2:$C$6000=$AA266)*('2016 E Maize Soil VWC'!$E$2:$E$6000=$AB266)*('2016 E Maize Soil VWC'!$F$2:$F$6000=AN$5),'2016 E Maize Soil VWC'!$G$2:$G$6000)</f>
        <v>#N/A</v>
      </c>
      <c r="AO266" s="1" t="e" cm="1">
        <f t="array" ref="AO266">_xlfn.XLOOKUP(1,('2016 E Maize Soil VWC'!$C$2:$C$6000=$AA266)*('2016 E Maize Soil VWC'!$E$2:$E$6000=$AB266)*('2016 E Maize Soil VWC'!$F$2:$F$6000=AO$5),'2016 E Maize Soil VWC'!$G$2:$G$6000)</f>
        <v>#N/A</v>
      </c>
      <c r="AP266" s="1" t="e" cm="1">
        <f t="array" ref="AP266">_xlfn.XLOOKUP(1,('2016 E Maize Soil VWC'!$C$2:$C$6000=$AA266)*('2016 E Maize Soil VWC'!$E$2:$E$6000=$AB266)*('2016 E Maize Soil VWC'!$F$2:$F$6000=AP$5),'2016 E Maize Soil VWC'!$G$2:$G$6000)</f>
        <v>#N/A</v>
      </c>
      <c r="AQ266" s="1" t="e" cm="1">
        <f t="array" ref="AQ266">_xlfn.XLOOKUP(1,('2016 E Maize Soil VWC'!$C$2:$C$6000=$AA266)*('2016 E Maize Soil VWC'!$E$2:$E$6000=$AB266)*('2016 E Maize Soil VWC'!$F$2:$F$6000=AQ$5),'2016 E Maize Soil VWC'!$G$2:$G$6000)</f>
        <v>#N/A</v>
      </c>
      <c r="AR266" s="1" t="e" cm="1">
        <f t="array" ref="AR266">_xlfn.XLOOKUP(1,('2016 E Maize Soil VWC'!$C$2:$C$6000=$AA266)*('2016 E Maize Soil VWC'!$E$2:$E$6000=$AB266)*('2016 E Maize Soil VWC'!$F$2:$F$6000=AR$5),'2016 E Maize Soil VWC'!$G$2:$G$6000)</f>
        <v>#N/A</v>
      </c>
      <c r="AS266" s="1" t="e" cm="1">
        <f t="array" ref="AS266">_xlfn.XLOOKUP(1,('2016 E Maize Soil VWC'!$C$2:$C$6000=$AA266)*('2016 E Maize Soil VWC'!$E$2:$E$6000=$AB266)*('2016 E Maize Soil VWC'!$F$2:$F$6000=AS$5),'2016 E Maize Soil VWC'!$G$2:$G$6000)</f>
        <v>#N/A</v>
      </c>
      <c r="AT266" s="1" t="e" cm="1">
        <f t="array" ref="AT266">_xlfn.XLOOKUP(1,('2016 E Maize Soil VWC'!$C$2:$C$6000=$AA266)*('2016 E Maize Soil VWC'!$E$2:$E$6000=$AB266)*('2016 E Maize Soil VWC'!$F$2:$F$6000=AT$5),'2016 E Maize Soil VWC'!$G$2:$G$6000)</f>
        <v>#N/A</v>
      </c>
      <c r="AU266" s="1" t="e" cm="1">
        <f t="array" ref="AU266">_xlfn.XLOOKUP(1,('2016 E Maize Soil VWC'!$C$2:$C$6000=$AA266)*('2016 E Maize Soil VWC'!$E$2:$E$6000=$AB266)*('2016 E Maize Soil VWC'!$F$2:$F$6000=AU$5),'2016 E Maize Soil VWC'!$G$2:$G$6000)</f>
        <v>#N/A</v>
      </c>
      <c r="AV266" s="1" t="e" cm="1">
        <f t="array" ref="AV266">_xlfn.XLOOKUP(1,('2016 E Maize Soil VWC'!$C$2:$C$6000=$AA266)*('2016 E Maize Soil VWC'!$E$2:$E$6000=$AB266)*('2016 E Maize Soil VWC'!$F$2:$F$6000=AV$5),'2016 E Maize Soil VWC'!$G$2:$G$6000)</f>
        <v>#N/A</v>
      </c>
      <c r="AW266" s="1">
        <f>Z266</f>
        <v>0</v>
      </c>
      <c r="AX266" s="15">
        <f>AA266</f>
        <v>42369</v>
      </c>
      <c r="AY266" s="1" t="e">
        <f>1400*AVERAGE(AG266:AH272)+100*AVERAGE(AG273:AH273)</f>
        <v>#N/A</v>
      </c>
      <c r="AZ266" s="1" t="e">
        <f>1400*AVERAGE(AC266:AF272,AI266:AL272)+100*AVERAGE(AC273:AF273,AI273:AL273)</f>
        <v>#N/A</v>
      </c>
      <c r="BA266" s="1" t="e">
        <f>1400*AVERAGE(AQ266:AR272)+100*AVERAGE(AQ273:AR273)</f>
        <v>#N/A</v>
      </c>
      <c r="BB266" s="1" t="e">
        <f>1400*AVERAGE(AM266:AP272,AS266:AV272)+100*AVERAGE(AM273:AP273,AS273:AV273)</f>
        <v>#N/A</v>
      </c>
      <c r="BC266" s="1" t="e">
        <f>AVERAGE(AC266:AD277)*2400</f>
        <v>#N/A</v>
      </c>
      <c r="BD266" s="1" t="e">
        <f>AVERAGE(AE266:AF277)*2400</f>
        <v>#N/A</v>
      </c>
      <c r="BE266" s="1" t="e">
        <f>AVERAGE(AG266:AH275)*2000</f>
        <v>#N/A</v>
      </c>
      <c r="BF266" s="1" t="e">
        <f>AVERAGE(AI266:AJ277)*2400</f>
        <v>#N/A</v>
      </c>
      <c r="BG266" s="1" t="e">
        <f>AVERAGE(AK266:AL277)*2400</f>
        <v>#N/A</v>
      </c>
      <c r="BH266" s="1" t="e">
        <f>AVERAGE(AM266:AN277)*2400</f>
        <v>#N/A</v>
      </c>
      <c r="BI266" s="1" t="e">
        <f>AVERAGE(AO266:AP277)*2400</f>
        <v>#N/A</v>
      </c>
      <c r="BJ266" s="1" t="e">
        <f>AVERAGE(AQ266:AR275)*2000</f>
        <v>#N/A</v>
      </c>
      <c r="BK266" s="1" t="e">
        <f>AVERAGE(AS266:AT277)*2400</f>
        <v>#N/A</v>
      </c>
      <c r="BL266" s="1" t="e">
        <f>AVERAGE(AU266:AV277)*2400</f>
        <v>#N/A</v>
      </c>
    </row>
    <row r="267" spans="25:64" x14ac:dyDescent="0.25">
      <c r="AA267" s="18">
        <f t="shared" ref="AA267:AA277" si="43">AA266</f>
        <v>42369</v>
      </c>
      <c r="AB267" s="1">
        <f t="shared" ref="AB267:AB277" si="44">AB266+20</f>
        <v>30</v>
      </c>
      <c r="AC267" s="1" t="e" cm="1">
        <f t="array" ref="AC267">_xlfn.XLOOKUP(1,('2016 E Maize Soil VWC'!$C$2:$C$6000=$AA267)*('2016 E Maize Soil VWC'!$E$2:$E$6000=$AB267)*('2016 E Maize Soil VWC'!$F$2:$F$6000=AC$5),'2016 E Maize Soil VWC'!$G$2:$G$6000)</f>
        <v>#N/A</v>
      </c>
      <c r="AD267" s="1" t="e" cm="1">
        <f t="array" ref="AD267">_xlfn.XLOOKUP(1,('2016 E Maize Soil VWC'!$C$2:$C$6000=$AA267)*('2016 E Maize Soil VWC'!$E$2:$E$6000=$AB267)*('2016 E Maize Soil VWC'!$F$2:$F$6000=AD$5),'2016 E Maize Soil VWC'!$G$2:$G$6000)</f>
        <v>#N/A</v>
      </c>
      <c r="AE267" s="1" t="e" cm="1">
        <f t="array" ref="AE267">_xlfn.XLOOKUP(1,('2016 E Maize Soil VWC'!$C$2:$C$6000=$AA267)*('2016 E Maize Soil VWC'!$E$2:$E$6000=$AB267)*('2016 E Maize Soil VWC'!$F$2:$F$6000=AE$5),'2016 E Maize Soil VWC'!$G$2:$G$6000)</f>
        <v>#N/A</v>
      </c>
      <c r="AF267" s="1" t="e" cm="1">
        <f t="array" ref="AF267">_xlfn.XLOOKUP(1,('2016 E Maize Soil VWC'!$C$2:$C$6000=$AA267)*('2016 E Maize Soil VWC'!$E$2:$E$6000=$AB267)*('2016 E Maize Soil VWC'!$F$2:$F$6000=AF$5),'2016 E Maize Soil VWC'!$G$2:$G$6000)</f>
        <v>#N/A</v>
      </c>
      <c r="AG267" s="1" t="e" cm="1">
        <f t="array" ref="AG267">_xlfn.XLOOKUP(1,('2016 E Maize Soil VWC'!$C$2:$C$6000=$AA267)*('2016 E Maize Soil VWC'!$E$2:$E$6000=$AB267)*('2016 E Maize Soil VWC'!$F$2:$F$6000=AG$5),'2016 E Maize Soil VWC'!$G$2:$G$6000)</f>
        <v>#N/A</v>
      </c>
      <c r="AH267" s="1" t="e" cm="1">
        <f t="array" ref="AH267">_xlfn.XLOOKUP(1,('2016 E Maize Soil VWC'!$C$2:$C$6000=$AA267)*('2016 E Maize Soil VWC'!$E$2:$E$6000=$AB267)*('2016 E Maize Soil VWC'!$F$2:$F$6000=AH$5),'2016 E Maize Soil VWC'!$G$2:$G$6000)</f>
        <v>#N/A</v>
      </c>
      <c r="AI267" s="1" t="e" cm="1">
        <f t="array" ref="AI267">_xlfn.XLOOKUP(1,('2016 E Maize Soil VWC'!$C$2:$C$6000=$AA267)*('2016 E Maize Soil VWC'!$E$2:$E$6000=$AB267)*('2016 E Maize Soil VWC'!$F$2:$F$6000=AI$5),'2016 E Maize Soil VWC'!$G$2:$G$6000)</f>
        <v>#N/A</v>
      </c>
      <c r="AJ267" s="1" t="e" cm="1">
        <f t="array" ref="AJ267">_xlfn.XLOOKUP(1,('2016 E Maize Soil VWC'!$C$2:$C$6000=$AA267)*('2016 E Maize Soil VWC'!$E$2:$E$6000=$AB267)*('2016 E Maize Soil VWC'!$F$2:$F$6000=AJ$5),'2016 E Maize Soil VWC'!$G$2:$G$6000)</f>
        <v>#N/A</v>
      </c>
      <c r="AK267" s="1" t="e" cm="1">
        <f t="array" ref="AK267">_xlfn.XLOOKUP(1,('2016 E Maize Soil VWC'!$C$2:$C$6000=$AA267)*('2016 E Maize Soil VWC'!$E$2:$E$6000=$AB267)*('2016 E Maize Soil VWC'!$F$2:$F$6000=AK$5),'2016 E Maize Soil VWC'!$G$2:$G$6000)</f>
        <v>#N/A</v>
      </c>
      <c r="AL267" s="1" t="e" cm="1">
        <f t="array" ref="AL267">_xlfn.XLOOKUP(1,('2016 E Maize Soil VWC'!$C$2:$C$6000=$AA267)*('2016 E Maize Soil VWC'!$E$2:$E$6000=$AB267)*('2016 E Maize Soil VWC'!$F$2:$F$6000=AL$5),'2016 E Maize Soil VWC'!$G$2:$G$6000)</f>
        <v>#N/A</v>
      </c>
      <c r="AM267" s="1" t="e" cm="1">
        <f t="array" ref="AM267">_xlfn.XLOOKUP(1,('2016 E Maize Soil VWC'!$C$2:$C$6000=$AA267)*('2016 E Maize Soil VWC'!$E$2:$E$6000=$AB267)*('2016 E Maize Soil VWC'!$F$2:$F$6000=AM$5),'2016 E Maize Soil VWC'!$G$2:$G$6000)</f>
        <v>#N/A</v>
      </c>
      <c r="AN267" s="1" t="e" cm="1">
        <f t="array" ref="AN267">_xlfn.XLOOKUP(1,('2016 E Maize Soil VWC'!$C$2:$C$6000=$AA267)*('2016 E Maize Soil VWC'!$E$2:$E$6000=$AB267)*('2016 E Maize Soil VWC'!$F$2:$F$6000=AN$5),'2016 E Maize Soil VWC'!$G$2:$G$6000)</f>
        <v>#N/A</v>
      </c>
      <c r="AO267" s="1" t="e" cm="1">
        <f t="array" ref="AO267">_xlfn.XLOOKUP(1,('2016 E Maize Soil VWC'!$C$2:$C$6000=$AA267)*('2016 E Maize Soil VWC'!$E$2:$E$6000=$AB267)*('2016 E Maize Soil VWC'!$F$2:$F$6000=AO$5),'2016 E Maize Soil VWC'!$G$2:$G$6000)</f>
        <v>#N/A</v>
      </c>
      <c r="AP267" s="1" t="e" cm="1">
        <f t="array" ref="AP267">_xlfn.XLOOKUP(1,('2016 E Maize Soil VWC'!$C$2:$C$6000=$AA267)*('2016 E Maize Soil VWC'!$E$2:$E$6000=$AB267)*('2016 E Maize Soil VWC'!$F$2:$F$6000=AP$5),'2016 E Maize Soil VWC'!$G$2:$G$6000)</f>
        <v>#N/A</v>
      </c>
      <c r="AQ267" s="1" t="e" cm="1">
        <f t="array" ref="AQ267">_xlfn.XLOOKUP(1,('2016 E Maize Soil VWC'!$C$2:$C$6000=$AA267)*('2016 E Maize Soil VWC'!$E$2:$E$6000=$AB267)*('2016 E Maize Soil VWC'!$F$2:$F$6000=AQ$5),'2016 E Maize Soil VWC'!$G$2:$G$6000)</f>
        <v>#N/A</v>
      </c>
      <c r="AR267" s="1" t="e" cm="1">
        <f t="array" ref="AR267">_xlfn.XLOOKUP(1,('2016 E Maize Soil VWC'!$C$2:$C$6000=$AA267)*('2016 E Maize Soil VWC'!$E$2:$E$6000=$AB267)*('2016 E Maize Soil VWC'!$F$2:$F$6000=AR$5),'2016 E Maize Soil VWC'!$G$2:$G$6000)</f>
        <v>#N/A</v>
      </c>
      <c r="AS267" s="1" t="e" cm="1">
        <f t="array" ref="AS267">_xlfn.XLOOKUP(1,('2016 E Maize Soil VWC'!$C$2:$C$6000=$AA267)*('2016 E Maize Soil VWC'!$E$2:$E$6000=$AB267)*('2016 E Maize Soil VWC'!$F$2:$F$6000=AS$5),'2016 E Maize Soil VWC'!$G$2:$G$6000)</f>
        <v>#N/A</v>
      </c>
      <c r="AT267" s="1" t="e" cm="1">
        <f t="array" ref="AT267">_xlfn.XLOOKUP(1,('2016 E Maize Soil VWC'!$C$2:$C$6000=$AA267)*('2016 E Maize Soil VWC'!$E$2:$E$6000=$AB267)*('2016 E Maize Soil VWC'!$F$2:$F$6000=AT$5),'2016 E Maize Soil VWC'!$G$2:$G$6000)</f>
        <v>#N/A</v>
      </c>
      <c r="AU267" s="1" t="e" cm="1">
        <f t="array" ref="AU267">_xlfn.XLOOKUP(1,('2016 E Maize Soil VWC'!$C$2:$C$6000=$AA267)*('2016 E Maize Soil VWC'!$E$2:$E$6000=$AB267)*('2016 E Maize Soil VWC'!$F$2:$F$6000=AU$5),'2016 E Maize Soil VWC'!$G$2:$G$6000)</f>
        <v>#N/A</v>
      </c>
      <c r="AV267" s="1" t="e" cm="1">
        <f t="array" ref="AV267">_xlfn.XLOOKUP(1,('2016 E Maize Soil VWC'!$C$2:$C$6000=$AA267)*('2016 E Maize Soil VWC'!$E$2:$E$6000=$AB267)*('2016 E Maize Soil VWC'!$F$2:$F$6000=AV$5),'2016 E Maize Soil VWC'!$G$2:$G$6000)</f>
        <v>#N/A</v>
      </c>
    </row>
    <row r="268" spans="25:64" x14ac:dyDescent="0.25">
      <c r="AA268" s="18">
        <f t="shared" si="43"/>
        <v>42369</v>
      </c>
      <c r="AB268" s="1">
        <f t="shared" si="44"/>
        <v>50</v>
      </c>
      <c r="AC268" s="1" t="e" cm="1">
        <f t="array" ref="AC268">_xlfn.XLOOKUP(1,('2016 E Maize Soil VWC'!$C$2:$C$6000=$AA268)*('2016 E Maize Soil VWC'!$E$2:$E$6000=$AB268)*('2016 E Maize Soil VWC'!$F$2:$F$6000=AC$5),'2016 E Maize Soil VWC'!$G$2:$G$6000)</f>
        <v>#N/A</v>
      </c>
      <c r="AD268" s="1" t="e" cm="1">
        <f t="array" ref="AD268">_xlfn.XLOOKUP(1,('2016 E Maize Soil VWC'!$C$2:$C$6000=$AA268)*('2016 E Maize Soil VWC'!$E$2:$E$6000=$AB268)*('2016 E Maize Soil VWC'!$F$2:$F$6000=AD$5),'2016 E Maize Soil VWC'!$G$2:$G$6000)</f>
        <v>#N/A</v>
      </c>
      <c r="AE268" s="1" t="e" cm="1">
        <f t="array" ref="AE268">_xlfn.XLOOKUP(1,('2016 E Maize Soil VWC'!$C$2:$C$6000=$AA268)*('2016 E Maize Soil VWC'!$E$2:$E$6000=$AB268)*('2016 E Maize Soil VWC'!$F$2:$F$6000=AE$5),'2016 E Maize Soil VWC'!$G$2:$G$6000)</f>
        <v>#N/A</v>
      </c>
      <c r="AF268" s="1" t="e" cm="1">
        <f t="array" ref="AF268">_xlfn.XLOOKUP(1,('2016 E Maize Soil VWC'!$C$2:$C$6000=$AA268)*('2016 E Maize Soil VWC'!$E$2:$E$6000=$AB268)*('2016 E Maize Soil VWC'!$F$2:$F$6000=AF$5),'2016 E Maize Soil VWC'!$G$2:$G$6000)</f>
        <v>#N/A</v>
      </c>
      <c r="AG268" s="1" t="e" cm="1">
        <f t="array" ref="AG268">_xlfn.XLOOKUP(1,('2016 E Maize Soil VWC'!$C$2:$C$6000=$AA268)*('2016 E Maize Soil VWC'!$E$2:$E$6000=$AB268)*('2016 E Maize Soil VWC'!$F$2:$F$6000=AG$5),'2016 E Maize Soil VWC'!$G$2:$G$6000)</f>
        <v>#N/A</v>
      </c>
      <c r="AH268" s="1" t="e" cm="1">
        <f t="array" ref="AH268">_xlfn.XLOOKUP(1,('2016 E Maize Soil VWC'!$C$2:$C$6000=$AA268)*('2016 E Maize Soil VWC'!$E$2:$E$6000=$AB268)*('2016 E Maize Soil VWC'!$F$2:$F$6000=AH$5),'2016 E Maize Soil VWC'!$G$2:$G$6000)</f>
        <v>#N/A</v>
      </c>
      <c r="AI268" s="1" t="e" cm="1">
        <f t="array" ref="AI268">_xlfn.XLOOKUP(1,('2016 E Maize Soil VWC'!$C$2:$C$6000=$AA268)*('2016 E Maize Soil VWC'!$E$2:$E$6000=$AB268)*('2016 E Maize Soil VWC'!$F$2:$F$6000=AI$5),'2016 E Maize Soil VWC'!$G$2:$G$6000)</f>
        <v>#N/A</v>
      </c>
      <c r="AJ268" s="1" t="e" cm="1">
        <f t="array" ref="AJ268">_xlfn.XLOOKUP(1,('2016 E Maize Soil VWC'!$C$2:$C$6000=$AA268)*('2016 E Maize Soil VWC'!$E$2:$E$6000=$AB268)*('2016 E Maize Soil VWC'!$F$2:$F$6000=AJ$5),'2016 E Maize Soil VWC'!$G$2:$G$6000)</f>
        <v>#N/A</v>
      </c>
      <c r="AK268" s="1" t="e" cm="1">
        <f t="array" ref="AK268">_xlfn.XLOOKUP(1,('2016 E Maize Soil VWC'!$C$2:$C$6000=$AA268)*('2016 E Maize Soil VWC'!$E$2:$E$6000=$AB268)*('2016 E Maize Soil VWC'!$F$2:$F$6000=AK$5),'2016 E Maize Soil VWC'!$G$2:$G$6000)</f>
        <v>#N/A</v>
      </c>
      <c r="AL268" s="1" t="e" cm="1">
        <f t="array" ref="AL268">_xlfn.XLOOKUP(1,('2016 E Maize Soil VWC'!$C$2:$C$6000=$AA268)*('2016 E Maize Soil VWC'!$E$2:$E$6000=$AB268)*('2016 E Maize Soil VWC'!$F$2:$F$6000=AL$5),'2016 E Maize Soil VWC'!$G$2:$G$6000)</f>
        <v>#N/A</v>
      </c>
      <c r="AM268" s="1" t="e" cm="1">
        <f t="array" ref="AM268">_xlfn.XLOOKUP(1,('2016 E Maize Soil VWC'!$C$2:$C$6000=$AA268)*('2016 E Maize Soil VWC'!$E$2:$E$6000=$AB268)*('2016 E Maize Soil VWC'!$F$2:$F$6000=AM$5),'2016 E Maize Soil VWC'!$G$2:$G$6000)</f>
        <v>#N/A</v>
      </c>
      <c r="AN268" s="1" t="e" cm="1">
        <f t="array" ref="AN268">_xlfn.XLOOKUP(1,('2016 E Maize Soil VWC'!$C$2:$C$6000=$AA268)*('2016 E Maize Soil VWC'!$E$2:$E$6000=$AB268)*('2016 E Maize Soil VWC'!$F$2:$F$6000=AN$5),'2016 E Maize Soil VWC'!$G$2:$G$6000)</f>
        <v>#N/A</v>
      </c>
      <c r="AO268" s="1" t="e" cm="1">
        <f t="array" ref="AO268">_xlfn.XLOOKUP(1,('2016 E Maize Soil VWC'!$C$2:$C$6000=$AA268)*('2016 E Maize Soil VWC'!$E$2:$E$6000=$AB268)*('2016 E Maize Soil VWC'!$F$2:$F$6000=AO$5),'2016 E Maize Soil VWC'!$G$2:$G$6000)</f>
        <v>#N/A</v>
      </c>
      <c r="AP268" s="1" t="e" cm="1">
        <f t="array" ref="AP268">_xlfn.XLOOKUP(1,('2016 E Maize Soil VWC'!$C$2:$C$6000=$AA268)*('2016 E Maize Soil VWC'!$E$2:$E$6000=$AB268)*('2016 E Maize Soil VWC'!$F$2:$F$6000=AP$5),'2016 E Maize Soil VWC'!$G$2:$G$6000)</f>
        <v>#N/A</v>
      </c>
      <c r="AQ268" s="1" t="e" cm="1">
        <f t="array" ref="AQ268">_xlfn.XLOOKUP(1,('2016 E Maize Soil VWC'!$C$2:$C$6000=$AA268)*('2016 E Maize Soil VWC'!$E$2:$E$6000=$AB268)*('2016 E Maize Soil VWC'!$F$2:$F$6000=AQ$5),'2016 E Maize Soil VWC'!$G$2:$G$6000)</f>
        <v>#N/A</v>
      </c>
      <c r="AR268" s="1" t="e" cm="1">
        <f t="array" ref="AR268">_xlfn.XLOOKUP(1,('2016 E Maize Soil VWC'!$C$2:$C$6000=$AA268)*('2016 E Maize Soil VWC'!$E$2:$E$6000=$AB268)*('2016 E Maize Soil VWC'!$F$2:$F$6000=AR$5),'2016 E Maize Soil VWC'!$G$2:$G$6000)</f>
        <v>#N/A</v>
      </c>
      <c r="AS268" s="1" t="e" cm="1">
        <f t="array" ref="AS268">_xlfn.XLOOKUP(1,('2016 E Maize Soil VWC'!$C$2:$C$6000=$AA268)*('2016 E Maize Soil VWC'!$E$2:$E$6000=$AB268)*('2016 E Maize Soil VWC'!$F$2:$F$6000=AS$5),'2016 E Maize Soil VWC'!$G$2:$G$6000)</f>
        <v>#N/A</v>
      </c>
      <c r="AT268" s="1" t="e" cm="1">
        <f t="array" ref="AT268">_xlfn.XLOOKUP(1,('2016 E Maize Soil VWC'!$C$2:$C$6000=$AA268)*('2016 E Maize Soil VWC'!$E$2:$E$6000=$AB268)*('2016 E Maize Soil VWC'!$F$2:$F$6000=AT$5),'2016 E Maize Soil VWC'!$G$2:$G$6000)</f>
        <v>#N/A</v>
      </c>
      <c r="AU268" s="1" t="e" cm="1">
        <f t="array" ref="AU268">_xlfn.XLOOKUP(1,('2016 E Maize Soil VWC'!$C$2:$C$6000=$AA268)*('2016 E Maize Soil VWC'!$E$2:$E$6000=$AB268)*('2016 E Maize Soil VWC'!$F$2:$F$6000=AU$5),'2016 E Maize Soil VWC'!$G$2:$G$6000)</f>
        <v>#N/A</v>
      </c>
      <c r="AV268" s="1" t="e" cm="1">
        <f t="array" ref="AV268">_xlfn.XLOOKUP(1,('2016 E Maize Soil VWC'!$C$2:$C$6000=$AA268)*('2016 E Maize Soil VWC'!$E$2:$E$6000=$AB268)*('2016 E Maize Soil VWC'!$F$2:$F$6000=AV$5),'2016 E Maize Soil VWC'!$G$2:$G$6000)</f>
        <v>#N/A</v>
      </c>
    </row>
    <row r="269" spans="25:64" x14ac:dyDescent="0.25">
      <c r="AA269" s="18">
        <f t="shared" si="43"/>
        <v>42369</v>
      </c>
      <c r="AB269" s="1">
        <f t="shared" si="44"/>
        <v>70</v>
      </c>
      <c r="AC269" s="1" t="e" cm="1">
        <f t="array" ref="AC269">_xlfn.XLOOKUP(1,('2016 E Maize Soil VWC'!$C$2:$C$6000=$AA269)*('2016 E Maize Soil VWC'!$E$2:$E$6000=$AB269)*('2016 E Maize Soil VWC'!$F$2:$F$6000=AC$5),'2016 E Maize Soil VWC'!$G$2:$G$6000)</f>
        <v>#N/A</v>
      </c>
      <c r="AD269" s="1" t="e" cm="1">
        <f t="array" ref="AD269">_xlfn.XLOOKUP(1,('2016 E Maize Soil VWC'!$C$2:$C$6000=$AA269)*('2016 E Maize Soil VWC'!$E$2:$E$6000=$AB269)*('2016 E Maize Soil VWC'!$F$2:$F$6000=AD$5),'2016 E Maize Soil VWC'!$G$2:$G$6000)</f>
        <v>#N/A</v>
      </c>
      <c r="AE269" s="1" t="e" cm="1">
        <f t="array" ref="AE269">_xlfn.XLOOKUP(1,('2016 E Maize Soil VWC'!$C$2:$C$6000=$AA269)*('2016 E Maize Soil VWC'!$E$2:$E$6000=$AB269)*('2016 E Maize Soil VWC'!$F$2:$F$6000=AE$5),'2016 E Maize Soil VWC'!$G$2:$G$6000)</f>
        <v>#N/A</v>
      </c>
      <c r="AF269" s="1" t="e" cm="1">
        <f t="array" ref="AF269">_xlfn.XLOOKUP(1,('2016 E Maize Soil VWC'!$C$2:$C$6000=$AA269)*('2016 E Maize Soil VWC'!$E$2:$E$6000=$AB269)*('2016 E Maize Soil VWC'!$F$2:$F$6000=AF$5),'2016 E Maize Soil VWC'!$G$2:$G$6000)</f>
        <v>#N/A</v>
      </c>
      <c r="AG269" s="1" t="e" cm="1">
        <f t="array" ref="AG269">_xlfn.XLOOKUP(1,('2016 E Maize Soil VWC'!$C$2:$C$6000=$AA269)*('2016 E Maize Soil VWC'!$E$2:$E$6000=$AB269)*('2016 E Maize Soil VWC'!$F$2:$F$6000=AG$5),'2016 E Maize Soil VWC'!$G$2:$G$6000)</f>
        <v>#N/A</v>
      </c>
      <c r="AH269" s="1" t="e" cm="1">
        <f t="array" ref="AH269">_xlfn.XLOOKUP(1,('2016 E Maize Soil VWC'!$C$2:$C$6000=$AA269)*('2016 E Maize Soil VWC'!$E$2:$E$6000=$AB269)*('2016 E Maize Soil VWC'!$F$2:$F$6000=AH$5),'2016 E Maize Soil VWC'!$G$2:$G$6000)</f>
        <v>#N/A</v>
      </c>
      <c r="AI269" s="1" t="e" cm="1">
        <f t="array" ref="AI269">_xlfn.XLOOKUP(1,('2016 E Maize Soil VWC'!$C$2:$C$6000=$AA269)*('2016 E Maize Soil VWC'!$E$2:$E$6000=$AB269)*('2016 E Maize Soil VWC'!$F$2:$F$6000=AI$5),'2016 E Maize Soil VWC'!$G$2:$G$6000)</f>
        <v>#N/A</v>
      </c>
      <c r="AJ269" s="1" t="e" cm="1">
        <f t="array" ref="AJ269">_xlfn.XLOOKUP(1,('2016 E Maize Soil VWC'!$C$2:$C$6000=$AA269)*('2016 E Maize Soil VWC'!$E$2:$E$6000=$AB269)*('2016 E Maize Soil VWC'!$F$2:$F$6000=AJ$5),'2016 E Maize Soil VWC'!$G$2:$G$6000)</f>
        <v>#N/A</v>
      </c>
      <c r="AK269" s="1" t="e" cm="1">
        <f t="array" ref="AK269">_xlfn.XLOOKUP(1,('2016 E Maize Soil VWC'!$C$2:$C$6000=$AA269)*('2016 E Maize Soil VWC'!$E$2:$E$6000=$AB269)*('2016 E Maize Soil VWC'!$F$2:$F$6000=AK$5),'2016 E Maize Soil VWC'!$G$2:$G$6000)</f>
        <v>#N/A</v>
      </c>
      <c r="AL269" s="1" t="e" cm="1">
        <f t="array" ref="AL269">_xlfn.XLOOKUP(1,('2016 E Maize Soil VWC'!$C$2:$C$6000=$AA269)*('2016 E Maize Soil VWC'!$E$2:$E$6000=$AB269)*('2016 E Maize Soil VWC'!$F$2:$F$6000=AL$5),'2016 E Maize Soil VWC'!$G$2:$G$6000)</f>
        <v>#N/A</v>
      </c>
      <c r="AM269" s="1" t="e" cm="1">
        <f t="array" ref="AM269">_xlfn.XLOOKUP(1,('2016 E Maize Soil VWC'!$C$2:$C$6000=$AA269)*('2016 E Maize Soil VWC'!$E$2:$E$6000=$AB269)*('2016 E Maize Soil VWC'!$F$2:$F$6000=AM$5),'2016 E Maize Soil VWC'!$G$2:$G$6000)</f>
        <v>#N/A</v>
      </c>
      <c r="AN269" s="1" t="e" cm="1">
        <f t="array" ref="AN269">_xlfn.XLOOKUP(1,('2016 E Maize Soil VWC'!$C$2:$C$6000=$AA269)*('2016 E Maize Soil VWC'!$E$2:$E$6000=$AB269)*('2016 E Maize Soil VWC'!$F$2:$F$6000=AN$5),'2016 E Maize Soil VWC'!$G$2:$G$6000)</f>
        <v>#N/A</v>
      </c>
      <c r="AO269" s="1" t="e" cm="1">
        <f t="array" ref="AO269">_xlfn.XLOOKUP(1,('2016 E Maize Soil VWC'!$C$2:$C$6000=$AA269)*('2016 E Maize Soil VWC'!$E$2:$E$6000=$AB269)*('2016 E Maize Soil VWC'!$F$2:$F$6000=AO$5),'2016 E Maize Soil VWC'!$G$2:$G$6000)</f>
        <v>#N/A</v>
      </c>
      <c r="AP269" s="1" t="e" cm="1">
        <f t="array" ref="AP269">_xlfn.XLOOKUP(1,('2016 E Maize Soil VWC'!$C$2:$C$6000=$AA269)*('2016 E Maize Soil VWC'!$E$2:$E$6000=$AB269)*('2016 E Maize Soil VWC'!$F$2:$F$6000=AP$5),'2016 E Maize Soil VWC'!$G$2:$G$6000)</f>
        <v>#N/A</v>
      </c>
      <c r="AQ269" s="1" t="e" cm="1">
        <f t="array" ref="AQ269">_xlfn.XLOOKUP(1,('2016 E Maize Soil VWC'!$C$2:$C$6000=$AA269)*('2016 E Maize Soil VWC'!$E$2:$E$6000=$AB269)*('2016 E Maize Soil VWC'!$F$2:$F$6000=AQ$5),'2016 E Maize Soil VWC'!$G$2:$G$6000)</f>
        <v>#N/A</v>
      </c>
      <c r="AR269" s="1" t="e" cm="1">
        <f t="array" ref="AR269">_xlfn.XLOOKUP(1,('2016 E Maize Soil VWC'!$C$2:$C$6000=$AA269)*('2016 E Maize Soil VWC'!$E$2:$E$6000=$AB269)*('2016 E Maize Soil VWC'!$F$2:$F$6000=AR$5),'2016 E Maize Soil VWC'!$G$2:$G$6000)</f>
        <v>#N/A</v>
      </c>
      <c r="AS269" s="1" t="e" cm="1">
        <f t="array" ref="AS269">_xlfn.XLOOKUP(1,('2016 E Maize Soil VWC'!$C$2:$C$6000=$AA269)*('2016 E Maize Soil VWC'!$E$2:$E$6000=$AB269)*('2016 E Maize Soil VWC'!$F$2:$F$6000=AS$5),'2016 E Maize Soil VWC'!$G$2:$G$6000)</f>
        <v>#N/A</v>
      </c>
      <c r="AT269" s="1" t="e" cm="1">
        <f t="array" ref="AT269">_xlfn.XLOOKUP(1,('2016 E Maize Soil VWC'!$C$2:$C$6000=$AA269)*('2016 E Maize Soil VWC'!$E$2:$E$6000=$AB269)*('2016 E Maize Soil VWC'!$F$2:$F$6000=AT$5),'2016 E Maize Soil VWC'!$G$2:$G$6000)</f>
        <v>#N/A</v>
      </c>
      <c r="AU269" s="1" t="e" cm="1">
        <f t="array" ref="AU269">_xlfn.XLOOKUP(1,('2016 E Maize Soil VWC'!$C$2:$C$6000=$AA269)*('2016 E Maize Soil VWC'!$E$2:$E$6000=$AB269)*('2016 E Maize Soil VWC'!$F$2:$F$6000=AU$5),'2016 E Maize Soil VWC'!$G$2:$G$6000)</f>
        <v>#N/A</v>
      </c>
      <c r="AV269" s="1" t="e" cm="1">
        <f t="array" ref="AV269">_xlfn.XLOOKUP(1,('2016 E Maize Soil VWC'!$C$2:$C$6000=$AA269)*('2016 E Maize Soil VWC'!$E$2:$E$6000=$AB269)*('2016 E Maize Soil VWC'!$F$2:$F$6000=AV$5),'2016 E Maize Soil VWC'!$G$2:$G$6000)</f>
        <v>#N/A</v>
      </c>
    </row>
    <row r="270" spans="25:64" x14ac:dyDescent="0.25">
      <c r="AA270" s="18">
        <f t="shared" si="43"/>
        <v>42369</v>
      </c>
      <c r="AB270" s="1">
        <f t="shared" si="44"/>
        <v>90</v>
      </c>
      <c r="AC270" s="1" t="e" cm="1">
        <f t="array" ref="AC270">_xlfn.XLOOKUP(1,('2016 E Maize Soil VWC'!$C$2:$C$6000=$AA270)*('2016 E Maize Soil VWC'!$E$2:$E$6000=$AB270)*('2016 E Maize Soil VWC'!$F$2:$F$6000=AC$5),'2016 E Maize Soil VWC'!$G$2:$G$6000)</f>
        <v>#N/A</v>
      </c>
      <c r="AD270" s="1" t="e" cm="1">
        <f t="array" ref="AD270">_xlfn.XLOOKUP(1,('2016 E Maize Soil VWC'!$C$2:$C$6000=$AA270)*('2016 E Maize Soil VWC'!$E$2:$E$6000=$AB270)*('2016 E Maize Soil VWC'!$F$2:$F$6000=AD$5),'2016 E Maize Soil VWC'!$G$2:$G$6000)</f>
        <v>#N/A</v>
      </c>
      <c r="AE270" s="1" t="e" cm="1">
        <f t="array" ref="AE270">_xlfn.XLOOKUP(1,('2016 E Maize Soil VWC'!$C$2:$C$6000=$AA270)*('2016 E Maize Soil VWC'!$E$2:$E$6000=$AB270)*('2016 E Maize Soil VWC'!$F$2:$F$6000=AE$5),'2016 E Maize Soil VWC'!$G$2:$G$6000)</f>
        <v>#N/A</v>
      </c>
      <c r="AF270" s="1" t="e" cm="1">
        <f t="array" ref="AF270">_xlfn.XLOOKUP(1,('2016 E Maize Soil VWC'!$C$2:$C$6000=$AA270)*('2016 E Maize Soil VWC'!$E$2:$E$6000=$AB270)*('2016 E Maize Soil VWC'!$F$2:$F$6000=AF$5),'2016 E Maize Soil VWC'!$G$2:$G$6000)</f>
        <v>#N/A</v>
      </c>
      <c r="AG270" s="1" t="e" cm="1">
        <f t="array" ref="AG270">_xlfn.XLOOKUP(1,('2016 E Maize Soil VWC'!$C$2:$C$6000=$AA270)*('2016 E Maize Soil VWC'!$E$2:$E$6000=$AB270)*('2016 E Maize Soil VWC'!$F$2:$F$6000=AG$5),'2016 E Maize Soil VWC'!$G$2:$G$6000)</f>
        <v>#N/A</v>
      </c>
      <c r="AH270" s="1" t="e" cm="1">
        <f t="array" ref="AH270">_xlfn.XLOOKUP(1,('2016 E Maize Soil VWC'!$C$2:$C$6000=$AA270)*('2016 E Maize Soil VWC'!$E$2:$E$6000=$AB270)*('2016 E Maize Soil VWC'!$F$2:$F$6000=AH$5),'2016 E Maize Soil VWC'!$G$2:$G$6000)</f>
        <v>#N/A</v>
      </c>
      <c r="AI270" s="1" t="e" cm="1">
        <f t="array" ref="AI270">_xlfn.XLOOKUP(1,('2016 E Maize Soil VWC'!$C$2:$C$6000=$AA270)*('2016 E Maize Soil VWC'!$E$2:$E$6000=$AB270)*('2016 E Maize Soil VWC'!$F$2:$F$6000=AI$5),'2016 E Maize Soil VWC'!$G$2:$G$6000)</f>
        <v>#N/A</v>
      </c>
      <c r="AJ270" s="1" t="e" cm="1">
        <f t="array" ref="AJ270">_xlfn.XLOOKUP(1,('2016 E Maize Soil VWC'!$C$2:$C$6000=$AA270)*('2016 E Maize Soil VWC'!$E$2:$E$6000=$AB270)*('2016 E Maize Soil VWC'!$F$2:$F$6000=AJ$5),'2016 E Maize Soil VWC'!$G$2:$G$6000)</f>
        <v>#N/A</v>
      </c>
      <c r="AK270" s="1" t="e" cm="1">
        <f t="array" ref="AK270">_xlfn.XLOOKUP(1,('2016 E Maize Soil VWC'!$C$2:$C$6000=$AA270)*('2016 E Maize Soil VWC'!$E$2:$E$6000=$AB270)*('2016 E Maize Soil VWC'!$F$2:$F$6000=AK$5),'2016 E Maize Soil VWC'!$G$2:$G$6000)</f>
        <v>#N/A</v>
      </c>
      <c r="AL270" s="1" t="e" cm="1">
        <f t="array" ref="AL270">_xlfn.XLOOKUP(1,('2016 E Maize Soil VWC'!$C$2:$C$6000=$AA270)*('2016 E Maize Soil VWC'!$E$2:$E$6000=$AB270)*('2016 E Maize Soil VWC'!$F$2:$F$6000=AL$5),'2016 E Maize Soil VWC'!$G$2:$G$6000)</f>
        <v>#N/A</v>
      </c>
      <c r="AM270" s="1" t="e" cm="1">
        <f t="array" ref="AM270">_xlfn.XLOOKUP(1,('2016 E Maize Soil VWC'!$C$2:$C$6000=$AA270)*('2016 E Maize Soil VWC'!$E$2:$E$6000=$AB270)*('2016 E Maize Soil VWC'!$F$2:$F$6000=AM$5),'2016 E Maize Soil VWC'!$G$2:$G$6000)</f>
        <v>#N/A</v>
      </c>
      <c r="AN270" s="1" t="e" cm="1">
        <f t="array" ref="AN270">_xlfn.XLOOKUP(1,('2016 E Maize Soil VWC'!$C$2:$C$6000=$AA270)*('2016 E Maize Soil VWC'!$E$2:$E$6000=$AB270)*('2016 E Maize Soil VWC'!$F$2:$F$6000=AN$5),'2016 E Maize Soil VWC'!$G$2:$G$6000)</f>
        <v>#N/A</v>
      </c>
      <c r="AO270" s="1" t="e" cm="1">
        <f t="array" ref="AO270">_xlfn.XLOOKUP(1,('2016 E Maize Soil VWC'!$C$2:$C$6000=$AA270)*('2016 E Maize Soil VWC'!$E$2:$E$6000=$AB270)*('2016 E Maize Soil VWC'!$F$2:$F$6000=AO$5),'2016 E Maize Soil VWC'!$G$2:$G$6000)</f>
        <v>#N/A</v>
      </c>
      <c r="AP270" s="1" t="e" cm="1">
        <f t="array" ref="AP270">_xlfn.XLOOKUP(1,('2016 E Maize Soil VWC'!$C$2:$C$6000=$AA270)*('2016 E Maize Soil VWC'!$E$2:$E$6000=$AB270)*('2016 E Maize Soil VWC'!$F$2:$F$6000=AP$5),'2016 E Maize Soil VWC'!$G$2:$G$6000)</f>
        <v>#N/A</v>
      </c>
      <c r="AQ270" s="1" t="e" cm="1">
        <f t="array" ref="AQ270">_xlfn.XLOOKUP(1,('2016 E Maize Soil VWC'!$C$2:$C$6000=$AA270)*('2016 E Maize Soil VWC'!$E$2:$E$6000=$AB270)*('2016 E Maize Soil VWC'!$F$2:$F$6000=AQ$5),'2016 E Maize Soil VWC'!$G$2:$G$6000)</f>
        <v>#N/A</v>
      </c>
      <c r="AR270" s="1" t="e" cm="1">
        <f t="array" ref="AR270">_xlfn.XLOOKUP(1,('2016 E Maize Soil VWC'!$C$2:$C$6000=$AA270)*('2016 E Maize Soil VWC'!$E$2:$E$6000=$AB270)*('2016 E Maize Soil VWC'!$F$2:$F$6000=AR$5),'2016 E Maize Soil VWC'!$G$2:$G$6000)</f>
        <v>#N/A</v>
      </c>
      <c r="AS270" s="1" t="e" cm="1">
        <f t="array" ref="AS270">_xlfn.XLOOKUP(1,('2016 E Maize Soil VWC'!$C$2:$C$6000=$AA270)*('2016 E Maize Soil VWC'!$E$2:$E$6000=$AB270)*('2016 E Maize Soil VWC'!$F$2:$F$6000=AS$5),'2016 E Maize Soil VWC'!$G$2:$G$6000)</f>
        <v>#N/A</v>
      </c>
      <c r="AT270" s="1" t="e" cm="1">
        <f t="array" ref="AT270">_xlfn.XLOOKUP(1,('2016 E Maize Soil VWC'!$C$2:$C$6000=$AA270)*('2016 E Maize Soil VWC'!$E$2:$E$6000=$AB270)*('2016 E Maize Soil VWC'!$F$2:$F$6000=AT$5),'2016 E Maize Soil VWC'!$G$2:$G$6000)</f>
        <v>#N/A</v>
      </c>
      <c r="AU270" s="1" t="e" cm="1">
        <f t="array" ref="AU270">_xlfn.XLOOKUP(1,('2016 E Maize Soil VWC'!$C$2:$C$6000=$AA270)*('2016 E Maize Soil VWC'!$E$2:$E$6000=$AB270)*('2016 E Maize Soil VWC'!$F$2:$F$6000=AU$5),'2016 E Maize Soil VWC'!$G$2:$G$6000)</f>
        <v>#N/A</v>
      </c>
      <c r="AV270" s="1" t="e" cm="1">
        <f t="array" ref="AV270">_xlfn.XLOOKUP(1,('2016 E Maize Soil VWC'!$C$2:$C$6000=$AA270)*('2016 E Maize Soil VWC'!$E$2:$E$6000=$AB270)*('2016 E Maize Soil VWC'!$F$2:$F$6000=AV$5),'2016 E Maize Soil VWC'!$G$2:$G$6000)</f>
        <v>#N/A</v>
      </c>
    </row>
    <row r="271" spans="25:64" x14ac:dyDescent="0.25">
      <c r="AA271" s="18">
        <f t="shared" si="43"/>
        <v>42369</v>
      </c>
      <c r="AB271" s="1">
        <f t="shared" si="44"/>
        <v>110</v>
      </c>
      <c r="AC271" s="1" t="e" cm="1">
        <f t="array" ref="AC271">_xlfn.XLOOKUP(1,('2016 E Maize Soil VWC'!$C$2:$C$6000=$AA271)*('2016 E Maize Soil VWC'!$E$2:$E$6000=$AB271)*('2016 E Maize Soil VWC'!$F$2:$F$6000=AC$5),'2016 E Maize Soil VWC'!$G$2:$G$6000)</f>
        <v>#N/A</v>
      </c>
      <c r="AD271" s="1" t="e" cm="1">
        <f t="array" ref="AD271">_xlfn.XLOOKUP(1,('2016 E Maize Soil VWC'!$C$2:$C$6000=$AA271)*('2016 E Maize Soil VWC'!$E$2:$E$6000=$AB271)*('2016 E Maize Soil VWC'!$F$2:$F$6000=AD$5),'2016 E Maize Soil VWC'!$G$2:$G$6000)</f>
        <v>#N/A</v>
      </c>
      <c r="AE271" s="1" t="e" cm="1">
        <f t="array" ref="AE271">_xlfn.XLOOKUP(1,('2016 E Maize Soil VWC'!$C$2:$C$6000=$AA271)*('2016 E Maize Soil VWC'!$E$2:$E$6000=$AB271)*('2016 E Maize Soil VWC'!$F$2:$F$6000=AE$5),'2016 E Maize Soil VWC'!$G$2:$G$6000)</f>
        <v>#N/A</v>
      </c>
      <c r="AF271" s="1" t="e" cm="1">
        <f t="array" ref="AF271">_xlfn.XLOOKUP(1,('2016 E Maize Soil VWC'!$C$2:$C$6000=$AA271)*('2016 E Maize Soil VWC'!$E$2:$E$6000=$AB271)*('2016 E Maize Soil VWC'!$F$2:$F$6000=AF$5),'2016 E Maize Soil VWC'!$G$2:$G$6000)</f>
        <v>#N/A</v>
      </c>
      <c r="AG271" s="1" t="e" cm="1">
        <f t="array" ref="AG271">_xlfn.XLOOKUP(1,('2016 E Maize Soil VWC'!$C$2:$C$6000=$AA271)*('2016 E Maize Soil VWC'!$E$2:$E$6000=$AB271)*('2016 E Maize Soil VWC'!$F$2:$F$6000=AG$5),'2016 E Maize Soil VWC'!$G$2:$G$6000)</f>
        <v>#N/A</v>
      </c>
      <c r="AH271" s="1" t="e" cm="1">
        <f t="array" ref="AH271">_xlfn.XLOOKUP(1,('2016 E Maize Soil VWC'!$C$2:$C$6000=$AA271)*('2016 E Maize Soil VWC'!$E$2:$E$6000=$AB271)*('2016 E Maize Soil VWC'!$F$2:$F$6000=AH$5),'2016 E Maize Soil VWC'!$G$2:$G$6000)</f>
        <v>#N/A</v>
      </c>
      <c r="AI271" s="1" t="e" cm="1">
        <f t="array" ref="AI271">_xlfn.XLOOKUP(1,('2016 E Maize Soil VWC'!$C$2:$C$6000=$AA271)*('2016 E Maize Soil VWC'!$E$2:$E$6000=$AB271)*('2016 E Maize Soil VWC'!$F$2:$F$6000=AI$5),'2016 E Maize Soil VWC'!$G$2:$G$6000)</f>
        <v>#N/A</v>
      </c>
      <c r="AJ271" s="1" t="e" cm="1">
        <f t="array" ref="AJ271">_xlfn.XLOOKUP(1,('2016 E Maize Soil VWC'!$C$2:$C$6000=$AA271)*('2016 E Maize Soil VWC'!$E$2:$E$6000=$AB271)*('2016 E Maize Soil VWC'!$F$2:$F$6000=AJ$5),'2016 E Maize Soil VWC'!$G$2:$G$6000)</f>
        <v>#N/A</v>
      </c>
      <c r="AK271" s="1" t="e" cm="1">
        <f t="array" ref="AK271">_xlfn.XLOOKUP(1,('2016 E Maize Soil VWC'!$C$2:$C$6000=$AA271)*('2016 E Maize Soil VWC'!$E$2:$E$6000=$AB271)*('2016 E Maize Soil VWC'!$F$2:$F$6000=AK$5),'2016 E Maize Soil VWC'!$G$2:$G$6000)</f>
        <v>#N/A</v>
      </c>
      <c r="AL271" s="1" t="e" cm="1">
        <f t="array" ref="AL271">_xlfn.XLOOKUP(1,('2016 E Maize Soil VWC'!$C$2:$C$6000=$AA271)*('2016 E Maize Soil VWC'!$E$2:$E$6000=$AB271)*('2016 E Maize Soil VWC'!$F$2:$F$6000=AL$5),'2016 E Maize Soil VWC'!$G$2:$G$6000)</f>
        <v>#N/A</v>
      </c>
      <c r="AM271" s="1" t="e" cm="1">
        <f t="array" ref="AM271">_xlfn.XLOOKUP(1,('2016 E Maize Soil VWC'!$C$2:$C$6000=$AA271)*('2016 E Maize Soil VWC'!$E$2:$E$6000=$AB271)*('2016 E Maize Soil VWC'!$F$2:$F$6000=AM$5),'2016 E Maize Soil VWC'!$G$2:$G$6000)</f>
        <v>#N/A</v>
      </c>
      <c r="AN271" s="1" t="e" cm="1">
        <f t="array" ref="AN271">_xlfn.XLOOKUP(1,('2016 E Maize Soil VWC'!$C$2:$C$6000=$AA271)*('2016 E Maize Soil VWC'!$E$2:$E$6000=$AB271)*('2016 E Maize Soil VWC'!$F$2:$F$6000=AN$5),'2016 E Maize Soil VWC'!$G$2:$G$6000)</f>
        <v>#N/A</v>
      </c>
      <c r="AO271" s="1" t="e" cm="1">
        <f t="array" ref="AO271">_xlfn.XLOOKUP(1,('2016 E Maize Soil VWC'!$C$2:$C$6000=$AA271)*('2016 E Maize Soil VWC'!$E$2:$E$6000=$AB271)*('2016 E Maize Soil VWC'!$F$2:$F$6000=AO$5),'2016 E Maize Soil VWC'!$G$2:$G$6000)</f>
        <v>#N/A</v>
      </c>
      <c r="AP271" s="1" t="e" cm="1">
        <f t="array" ref="AP271">_xlfn.XLOOKUP(1,('2016 E Maize Soil VWC'!$C$2:$C$6000=$AA271)*('2016 E Maize Soil VWC'!$E$2:$E$6000=$AB271)*('2016 E Maize Soil VWC'!$F$2:$F$6000=AP$5),'2016 E Maize Soil VWC'!$G$2:$G$6000)</f>
        <v>#N/A</v>
      </c>
      <c r="AQ271" s="1" t="e" cm="1">
        <f t="array" ref="AQ271">_xlfn.XLOOKUP(1,('2016 E Maize Soil VWC'!$C$2:$C$6000=$AA271)*('2016 E Maize Soil VWC'!$E$2:$E$6000=$AB271)*('2016 E Maize Soil VWC'!$F$2:$F$6000=AQ$5),'2016 E Maize Soil VWC'!$G$2:$G$6000)</f>
        <v>#N/A</v>
      </c>
      <c r="AR271" s="1" t="e" cm="1">
        <f t="array" ref="AR271">_xlfn.XLOOKUP(1,('2016 E Maize Soil VWC'!$C$2:$C$6000=$AA271)*('2016 E Maize Soil VWC'!$E$2:$E$6000=$AB271)*('2016 E Maize Soil VWC'!$F$2:$F$6000=AR$5),'2016 E Maize Soil VWC'!$G$2:$G$6000)</f>
        <v>#N/A</v>
      </c>
      <c r="AS271" s="1" t="e" cm="1">
        <f t="array" ref="AS271">_xlfn.XLOOKUP(1,('2016 E Maize Soil VWC'!$C$2:$C$6000=$AA271)*('2016 E Maize Soil VWC'!$E$2:$E$6000=$AB271)*('2016 E Maize Soil VWC'!$F$2:$F$6000=AS$5),'2016 E Maize Soil VWC'!$G$2:$G$6000)</f>
        <v>#N/A</v>
      </c>
      <c r="AT271" s="1" t="e" cm="1">
        <f t="array" ref="AT271">_xlfn.XLOOKUP(1,('2016 E Maize Soil VWC'!$C$2:$C$6000=$AA271)*('2016 E Maize Soil VWC'!$E$2:$E$6000=$AB271)*('2016 E Maize Soil VWC'!$F$2:$F$6000=AT$5),'2016 E Maize Soil VWC'!$G$2:$G$6000)</f>
        <v>#N/A</v>
      </c>
      <c r="AU271" s="1" t="e" cm="1">
        <f t="array" ref="AU271">_xlfn.XLOOKUP(1,('2016 E Maize Soil VWC'!$C$2:$C$6000=$AA271)*('2016 E Maize Soil VWC'!$E$2:$E$6000=$AB271)*('2016 E Maize Soil VWC'!$F$2:$F$6000=AU$5),'2016 E Maize Soil VWC'!$G$2:$G$6000)</f>
        <v>#N/A</v>
      </c>
      <c r="AV271" s="1" t="e" cm="1">
        <f t="array" ref="AV271">_xlfn.XLOOKUP(1,('2016 E Maize Soil VWC'!$C$2:$C$6000=$AA271)*('2016 E Maize Soil VWC'!$E$2:$E$6000=$AB271)*('2016 E Maize Soil VWC'!$F$2:$F$6000=AV$5),'2016 E Maize Soil VWC'!$G$2:$G$6000)</f>
        <v>#N/A</v>
      </c>
    </row>
    <row r="272" spans="25:64" x14ac:dyDescent="0.25">
      <c r="AA272" s="18">
        <f t="shared" si="43"/>
        <v>42369</v>
      </c>
      <c r="AB272" s="1">
        <f t="shared" si="44"/>
        <v>130</v>
      </c>
      <c r="AC272" s="1" t="e" cm="1">
        <f t="array" ref="AC272">_xlfn.XLOOKUP(1,('2016 E Maize Soil VWC'!$C$2:$C$6000=$AA272)*('2016 E Maize Soil VWC'!$E$2:$E$6000=$AB272)*('2016 E Maize Soil VWC'!$F$2:$F$6000=AC$5),'2016 E Maize Soil VWC'!$G$2:$G$6000)</f>
        <v>#N/A</v>
      </c>
      <c r="AD272" s="1" t="e" cm="1">
        <f t="array" ref="AD272">_xlfn.XLOOKUP(1,('2016 E Maize Soil VWC'!$C$2:$C$6000=$AA272)*('2016 E Maize Soil VWC'!$E$2:$E$6000=$AB272)*('2016 E Maize Soil VWC'!$F$2:$F$6000=AD$5),'2016 E Maize Soil VWC'!$G$2:$G$6000)</f>
        <v>#N/A</v>
      </c>
      <c r="AE272" s="1" t="e" cm="1">
        <f t="array" ref="AE272">_xlfn.XLOOKUP(1,('2016 E Maize Soil VWC'!$C$2:$C$6000=$AA272)*('2016 E Maize Soil VWC'!$E$2:$E$6000=$AB272)*('2016 E Maize Soil VWC'!$F$2:$F$6000=AE$5),'2016 E Maize Soil VWC'!$G$2:$G$6000)</f>
        <v>#N/A</v>
      </c>
      <c r="AF272" s="1" t="e" cm="1">
        <f t="array" ref="AF272">_xlfn.XLOOKUP(1,('2016 E Maize Soil VWC'!$C$2:$C$6000=$AA272)*('2016 E Maize Soil VWC'!$E$2:$E$6000=$AB272)*('2016 E Maize Soil VWC'!$F$2:$F$6000=AF$5),'2016 E Maize Soil VWC'!$G$2:$G$6000)</f>
        <v>#N/A</v>
      </c>
      <c r="AG272" s="1" t="e" cm="1">
        <f t="array" ref="AG272">_xlfn.XLOOKUP(1,('2016 E Maize Soil VWC'!$C$2:$C$6000=$AA272)*('2016 E Maize Soil VWC'!$E$2:$E$6000=$AB272)*('2016 E Maize Soil VWC'!$F$2:$F$6000=AG$5),'2016 E Maize Soil VWC'!$G$2:$G$6000)</f>
        <v>#N/A</v>
      </c>
      <c r="AH272" s="1" t="e" cm="1">
        <f t="array" ref="AH272">_xlfn.XLOOKUP(1,('2016 E Maize Soil VWC'!$C$2:$C$6000=$AA272)*('2016 E Maize Soil VWC'!$E$2:$E$6000=$AB272)*('2016 E Maize Soil VWC'!$F$2:$F$6000=AH$5),'2016 E Maize Soil VWC'!$G$2:$G$6000)</f>
        <v>#N/A</v>
      </c>
      <c r="AI272" s="1" t="e" cm="1">
        <f t="array" ref="AI272">_xlfn.XLOOKUP(1,('2016 E Maize Soil VWC'!$C$2:$C$6000=$AA272)*('2016 E Maize Soil VWC'!$E$2:$E$6000=$AB272)*('2016 E Maize Soil VWC'!$F$2:$F$6000=AI$5),'2016 E Maize Soil VWC'!$G$2:$G$6000)</f>
        <v>#N/A</v>
      </c>
      <c r="AJ272" s="1" t="e" cm="1">
        <f t="array" ref="AJ272">_xlfn.XLOOKUP(1,('2016 E Maize Soil VWC'!$C$2:$C$6000=$AA272)*('2016 E Maize Soil VWC'!$E$2:$E$6000=$AB272)*('2016 E Maize Soil VWC'!$F$2:$F$6000=AJ$5),'2016 E Maize Soil VWC'!$G$2:$G$6000)</f>
        <v>#N/A</v>
      </c>
      <c r="AK272" s="1" t="e" cm="1">
        <f t="array" ref="AK272">_xlfn.XLOOKUP(1,('2016 E Maize Soil VWC'!$C$2:$C$6000=$AA272)*('2016 E Maize Soil VWC'!$E$2:$E$6000=$AB272)*('2016 E Maize Soil VWC'!$F$2:$F$6000=AK$5),'2016 E Maize Soil VWC'!$G$2:$G$6000)</f>
        <v>#N/A</v>
      </c>
      <c r="AL272" s="1" t="e" cm="1">
        <f t="array" ref="AL272">_xlfn.XLOOKUP(1,('2016 E Maize Soil VWC'!$C$2:$C$6000=$AA272)*('2016 E Maize Soil VWC'!$E$2:$E$6000=$AB272)*('2016 E Maize Soil VWC'!$F$2:$F$6000=AL$5),'2016 E Maize Soil VWC'!$G$2:$G$6000)</f>
        <v>#N/A</v>
      </c>
      <c r="AM272" s="1" t="e" cm="1">
        <f t="array" ref="AM272">_xlfn.XLOOKUP(1,('2016 E Maize Soil VWC'!$C$2:$C$6000=$AA272)*('2016 E Maize Soil VWC'!$E$2:$E$6000=$AB272)*('2016 E Maize Soil VWC'!$F$2:$F$6000=AM$5),'2016 E Maize Soil VWC'!$G$2:$G$6000)</f>
        <v>#N/A</v>
      </c>
      <c r="AN272" s="1" t="e" cm="1">
        <f t="array" ref="AN272">_xlfn.XLOOKUP(1,('2016 E Maize Soil VWC'!$C$2:$C$6000=$AA272)*('2016 E Maize Soil VWC'!$E$2:$E$6000=$AB272)*('2016 E Maize Soil VWC'!$F$2:$F$6000=AN$5),'2016 E Maize Soil VWC'!$G$2:$G$6000)</f>
        <v>#N/A</v>
      </c>
      <c r="AO272" s="1" t="e" cm="1">
        <f t="array" ref="AO272">_xlfn.XLOOKUP(1,('2016 E Maize Soil VWC'!$C$2:$C$6000=$AA272)*('2016 E Maize Soil VWC'!$E$2:$E$6000=$AB272)*('2016 E Maize Soil VWC'!$F$2:$F$6000=AO$5),'2016 E Maize Soil VWC'!$G$2:$G$6000)</f>
        <v>#N/A</v>
      </c>
      <c r="AP272" s="1" t="e" cm="1">
        <f t="array" ref="AP272">_xlfn.XLOOKUP(1,('2016 E Maize Soil VWC'!$C$2:$C$6000=$AA272)*('2016 E Maize Soil VWC'!$E$2:$E$6000=$AB272)*('2016 E Maize Soil VWC'!$F$2:$F$6000=AP$5),'2016 E Maize Soil VWC'!$G$2:$G$6000)</f>
        <v>#N/A</v>
      </c>
      <c r="AQ272" s="1" t="e" cm="1">
        <f t="array" ref="AQ272">_xlfn.XLOOKUP(1,('2016 E Maize Soil VWC'!$C$2:$C$6000=$AA272)*('2016 E Maize Soil VWC'!$E$2:$E$6000=$AB272)*('2016 E Maize Soil VWC'!$F$2:$F$6000=AQ$5),'2016 E Maize Soil VWC'!$G$2:$G$6000)</f>
        <v>#N/A</v>
      </c>
      <c r="AR272" s="1" t="e" cm="1">
        <f t="array" ref="AR272">_xlfn.XLOOKUP(1,('2016 E Maize Soil VWC'!$C$2:$C$6000=$AA272)*('2016 E Maize Soil VWC'!$E$2:$E$6000=$AB272)*('2016 E Maize Soil VWC'!$F$2:$F$6000=AR$5),'2016 E Maize Soil VWC'!$G$2:$G$6000)</f>
        <v>#N/A</v>
      </c>
      <c r="AS272" s="1" t="e" cm="1">
        <f t="array" ref="AS272">_xlfn.XLOOKUP(1,('2016 E Maize Soil VWC'!$C$2:$C$6000=$AA272)*('2016 E Maize Soil VWC'!$E$2:$E$6000=$AB272)*('2016 E Maize Soil VWC'!$F$2:$F$6000=AS$5),'2016 E Maize Soil VWC'!$G$2:$G$6000)</f>
        <v>#N/A</v>
      </c>
      <c r="AT272" s="1" t="e" cm="1">
        <f t="array" ref="AT272">_xlfn.XLOOKUP(1,('2016 E Maize Soil VWC'!$C$2:$C$6000=$AA272)*('2016 E Maize Soil VWC'!$E$2:$E$6000=$AB272)*('2016 E Maize Soil VWC'!$F$2:$F$6000=AT$5),'2016 E Maize Soil VWC'!$G$2:$G$6000)</f>
        <v>#N/A</v>
      </c>
      <c r="AU272" s="1" t="e" cm="1">
        <f t="array" ref="AU272">_xlfn.XLOOKUP(1,('2016 E Maize Soil VWC'!$C$2:$C$6000=$AA272)*('2016 E Maize Soil VWC'!$E$2:$E$6000=$AB272)*('2016 E Maize Soil VWC'!$F$2:$F$6000=AU$5),'2016 E Maize Soil VWC'!$G$2:$G$6000)</f>
        <v>#N/A</v>
      </c>
      <c r="AV272" s="1" t="e" cm="1">
        <f t="array" ref="AV272">_xlfn.XLOOKUP(1,('2016 E Maize Soil VWC'!$C$2:$C$6000=$AA272)*('2016 E Maize Soil VWC'!$E$2:$E$6000=$AB272)*('2016 E Maize Soil VWC'!$F$2:$F$6000=AV$5),'2016 E Maize Soil VWC'!$G$2:$G$6000)</f>
        <v>#N/A</v>
      </c>
    </row>
    <row r="273" spans="25:64" x14ac:dyDescent="0.25">
      <c r="AA273" s="18">
        <f t="shared" si="43"/>
        <v>42369</v>
      </c>
      <c r="AB273" s="1">
        <f t="shared" si="44"/>
        <v>150</v>
      </c>
      <c r="AC273" s="1" t="e" cm="1">
        <f t="array" ref="AC273">_xlfn.XLOOKUP(1,('2016 E Maize Soil VWC'!$C$2:$C$6000=$AA273)*('2016 E Maize Soil VWC'!$E$2:$E$6000=$AB273)*('2016 E Maize Soil VWC'!$F$2:$F$6000=AC$5),'2016 E Maize Soil VWC'!$G$2:$G$6000)</f>
        <v>#N/A</v>
      </c>
      <c r="AD273" s="1" t="e" cm="1">
        <f t="array" ref="AD273">_xlfn.XLOOKUP(1,('2016 E Maize Soil VWC'!$C$2:$C$6000=$AA273)*('2016 E Maize Soil VWC'!$E$2:$E$6000=$AB273)*('2016 E Maize Soil VWC'!$F$2:$F$6000=AD$5),'2016 E Maize Soil VWC'!$G$2:$G$6000)</f>
        <v>#N/A</v>
      </c>
      <c r="AE273" s="1" t="e" cm="1">
        <f t="array" ref="AE273">_xlfn.XLOOKUP(1,('2016 E Maize Soil VWC'!$C$2:$C$6000=$AA273)*('2016 E Maize Soil VWC'!$E$2:$E$6000=$AB273)*('2016 E Maize Soil VWC'!$F$2:$F$6000=AE$5),'2016 E Maize Soil VWC'!$G$2:$G$6000)</f>
        <v>#N/A</v>
      </c>
      <c r="AF273" s="1" t="e" cm="1">
        <f t="array" ref="AF273">_xlfn.XLOOKUP(1,('2016 E Maize Soil VWC'!$C$2:$C$6000=$AA273)*('2016 E Maize Soil VWC'!$E$2:$E$6000=$AB273)*('2016 E Maize Soil VWC'!$F$2:$F$6000=AF$5),'2016 E Maize Soil VWC'!$G$2:$G$6000)</f>
        <v>#N/A</v>
      </c>
      <c r="AG273" s="1" t="e" cm="1">
        <f t="array" ref="AG273">_xlfn.XLOOKUP(1,('2016 E Maize Soil VWC'!$C$2:$C$6000=$AA273)*('2016 E Maize Soil VWC'!$E$2:$E$6000=$AB273)*('2016 E Maize Soil VWC'!$F$2:$F$6000=AG$5),'2016 E Maize Soil VWC'!$G$2:$G$6000)</f>
        <v>#N/A</v>
      </c>
      <c r="AH273" s="1" t="e" cm="1">
        <f t="array" ref="AH273">_xlfn.XLOOKUP(1,('2016 E Maize Soil VWC'!$C$2:$C$6000=$AA273)*('2016 E Maize Soil VWC'!$E$2:$E$6000=$AB273)*('2016 E Maize Soil VWC'!$F$2:$F$6000=AH$5),'2016 E Maize Soil VWC'!$G$2:$G$6000)</f>
        <v>#N/A</v>
      </c>
      <c r="AI273" s="1" t="e" cm="1">
        <f t="array" ref="AI273">_xlfn.XLOOKUP(1,('2016 E Maize Soil VWC'!$C$2:$C$6000=$AA273)*('2016 E Maize Soil VWC'!$E$2:$E$6000=$AB273)*('2016 E Maize Soil VWC'!$F$2:$F$6000=AI$5),'2016 E Maize Soil VWC'!$G$2:$G$6000)</f>
        <v>#N/A</v>
      </c>
      <c r="AJ273" s="1" t="e" cm="1">
        <f t="array" ref="AJ273">_xlfn.XLOOKUP(1,('2016 E Maize Soil VWC'!$C$2:$C$6000=$AA273)*('2016 E Maize Soil VWC'!$E$2:$E$6000=$AB273)*('2016 E Maize Soil VWC'!$F$2:$F$6000=AJ$5),'2016 E Maize Soil VWC'!$G$2:$G$6000)</f>
        <v>#N/A</v>
      </c>
      <c r="AK273" s="1" t="e" cm="1">
        <f t="array" ref="AK273">_xlfn.XLOOKUP(1,('2016 E Maize Soil VWC'!$C$2:$C$6000=$AA273)*('2016 E Maize Soil VWC'!$E$2:$E$6000=$AB273)*('2016 E Maize Soil VWC'!$F$2:$F$6000=AK$5),'2016 E Maize Soil VWC'!$G$2:$G$6000)</f>
        <v>#N/A</v>
      </c>
      <c r="AL273" s="1" t="e" cm="1">
        <f t="array" ref="AL273">_xlfn.XLOOKUP(1,('2016 E Maize Soil VWC'!$C$2:$C$6000=$AA273)*('2016 E Maize Soil VWC'!$E$2:$E$6000=$AB273)*('2016 E Maize Soil VWC'!$F$2:$F$6000=AL$5),'2016 E Maize Soil VWC'!$G$2:$G$6000)</f>
        <v>#N/A</v>
      </c>
      <c r="AM273" s="1" t="e" cm="1">
        <f t="array" ref="AM273">_xlfn.XLOOKUP(1,('2016 E Maize Soil VWC'!$C$2:$C$6000=$AA273)*('2016 E Maize Soil VWC'!$E$2:$E$6000=$AB273)*('2016 E Maize Soil VWC'!$F$2:$F$6000=AM$5),'2016 E Maize Soil VWC'!$G$2:$G$6000)</f>
        <v>#N/A</v>
      </c>
      <c r="AN273" s="1" t="e" cm="1">
        <f t="array" ref="AN273">_xlfn.XLOOKUP(1,('2016 E Maize Soil VWC'!$C$2:$C$6000=$AA273)*('2016 E Maize Soil VWC'!$E$2:$E$6000=$AB273)*('2016 E Maize Soil VWC'!$F$2:$F$6000=AN$5),'2016 E Maize Soil VWC'!$G$2:$G$6000)</f>
        <v>#N/A</v>
      </c>
      <c r="AO273" s="1" t="e" cm="1">
        <f t="array" ref="AO273">_xlfn.XLOOKUP(1,('2016 E Maize Soil VWC'!$C$2:$C$6000=$AA273)*('2016 E Maize Soil VWC'!$E$2:$E$6000=$AB273)*('2016 E Maize Soil VWC'!$F$2:$F$6000=AO$5),'2016 E Maize Soil VWC'!$G$2:$G$6000)</f>
        <v>#N/A</v>
      </c>
      <c r="AP273" s="1" t="e" cm="1">
        <f t="array" ref="AP273">_xlfn.XLOOKUP(1,('2016 E Maize Soil VWC'!$C$2:$C$6000=$AA273)*('2016 E Maize Soil VWC'!$E$2:$E$6000=$AB273)*('2016 E Maize Soil VWC'!$F$2:$F$6000=AP$5),'2016 E Maize Soil VWC'!$G$2:$G$6000)</f>
        <v>#N/A</v>
      </c>
      <c r="AQ273" s="1" t="e" cm="1">
        <f t="array" ref="AQ273">_xlfn.XLOOKUP(1,('2016 E Maize Soil VWC'!$C$2:$C$6000=$AA273)*('2016 E Maize Soil VWC'!$E$2:$E$6000=$AB273)*('2016 E Maize Soil VWC'!$F$2:$F$6000=AQ$5),'2016 E Maize Soil VWC'!$G$2:$G$6000)</f>
        <v>#N/A</v>
      </c>
      <c r="AR273" s="1" t="e" cm="1">
        <f t="array" ref="AR273">_xlfn.XLOOKUP(1,('2016 E Maize Soil VWC'!$C$2:$C$6000=$AA273)*('2016 E Maize Soil VWC'!$E$2:$E$6000=$AB273)*('2016 E Maize Soil VWC'!$F$2:$F$6000=AR$5),'2016 E Maize Soil VWC'!$G$2:$G$6000)</f>
        <v>#N/A</v>
      </c>
      <c r="AS273" s="1" t="e" cm="1">
        <f t="array" ref="AS273">_xlfn.XLOOKUP(1,('2016 E Maize Soil VWC'!$C$2:$C$6000=$AA273)*('2016 E Maize Soil VWC'!$E$2:$E$6000=$AB273)*('2016 E Maize Soil VWC'!$F$2:$F$6000=AS$5),'2016 E Maize Soil VWC'!$G$2:$G$6000)</f>
        <v>#N/A</v>
      </c>
      <c r="AT273" s="1" t="e" cm="1">
        <f t="array" ref="AT273">_xlfn.XLOOKUP(1,('2016 E Maize Soil VWC'!$C$2:$C$6000=$AA273)*('2016 E Maize Soil VWC'!$E$2:$E$6000=$AB273)*('2016 E Maize Soil VWC'!$F$2:$F$6000=AT$5),'2016 E Maize Soil VWC'!$G$2:$G$6000)</f>
        <v>#N/A</v>
      </c>
      <c r="AU273" s="1" t="e" cm="1">
        <f t="array" ref="AU273">_xlfn.XLOOKUP(1,('2016 E Maize Soil VWC'!$C$2:$C$6000=$AA273)*('2016 E Maize Soil VWC'!$E$2:$E$6000=$AB273)*('2016 E Maize Soil VWC'!$F$2:$F$6000=AU$5),'2016 E Maize Soil VWC'!$G$2:$G$6000)</f>
        <v>#N/A</v>
      </c>
      <c r="AV273" s="1" t="e" cm="1">
        <f t="array" ref="AV273">_xlfn.XLOOKUP(1,('2016 E Maize Soil VWC'!$C$2:$C$6000=$AA273)*('2016 E Maize Soil VWC'!$E$2:$E$6000=$AB273)*('2016 E Maize Soil VWC'!$F$2:$F$6000=AV$5),'2016 E Maize Soil VWC'!$G$2:$G$6000)</f>
        <v>#N/A</v>
      </c>
    </row>
    <row r="274" spans="25:64" x14ac:dyDescent="0.25">
      <c r="AA274" s="18">
        <f t="shared" si="43"/>
        <v>42369</v>
      </c>
      <c r="AB274" s="1">
        <f t="shared" si="44"/>
        <v>170</v>
      </c>
      <c r="AC274" s="1" t="e" cm="1">
        <f t="array" ref="AC274">_xlfn.XLOOKUP(1,('2016 E Maize Soil VWC'!$C$2:$C$6000=$AA274)*('2016 E Maize Soil VWC'!$E$2:$E$6000=$AB274)*('2016 E Maize Soil VWC'!$F$2:$F$6000=AC$5),'2016 E Maize Soil VWC'!$G$2:$G$6000)</f>
        <v>#N/A</v>
      </c>
      <c r="AD274" s="1" t="e" cm="1">
        <f t="array" ref="AD274">_xlfn.XLOOKUP(1,('2016 E Maize Soil VWC'!$C$2:$C$6000=$AA274)*('2016 E Maize Soil VWC'!$E$2:$E$6000=$AB274)*('2016 E Maize Soil VWC'!$F$2:$F$6000=AD$5),'2016 E Maize Soil VWC'!$G$2:$G$6000)</f>
        <v>#N/A</v>
      </c>
      <c r="AE274" s="1" t="e" cm="1">
        <f t="array" ref="AE274">_xlfn.XLOOKUP(1,('2016 E Maize Soil VWC'!$C$2:$C$6000=$AA274)*('2016 E Maize Soil VWC'!$E$2:$E$6000=$AB274)*('2016 E Maize Soil VWC'!$F$2:$F$6000=AE$5),'2016 E Maize Soil VWC'!$G$2:$G$6000)</f>
        <v>#N/A</v>
      </c>
      <c r="AF274" s="1" t="e" cm="1">
        <f t="array" ref="AF274">_xlfn.XLOOKUP(1,('2016 E Maize Soil VWC'!$C$2:$C$6000=$AA274)*('2016 E Maize Soil VWC'!$E$2:$E$6000=$AB274)*('2016 E Maize Soil VWC'!$F$2:$F$6000=AF$5),'2016 E Maize Soil VWC'!$G$2:$G$6000)</f>
        <v>#N/A</v>
      </c>
      <c r="AG274" s="1" t="e" cm="1">
        <f t="array" ref="AG274">_xlfn.XLOOKUP(1,('2016 E Maize Soil VWC'!$C$2:$C$6000=$AA274)*('2016 E Maize Soil VWC'!$E$2:$E$6000=$AB274)*('2016 E Maize Soil VWC'!$F$2:$F$6000=AG$5),'2016 E Maize Soil VWC'!$G$2:$G$6000)</f>
        <v>#N/A</v>
      </c>
      <c r="AH274" s="1" t="e" cm="1">
        <f t="array" ref="AH274">_xlfn.XLOOKUP(1,('2016 E Maize Soil VWC'!$C$2:$C$6000=$AA274)*('2016 E Maize Soil VWC'!$E$2:$E$6000=$AB274)*('2016 E Maize Soil VWC'!$F$2:$F$6000=AH$5),'2016 E Maize Soil VWC'!$G$2:$G$6000)</f>
        <v>#N/A</v>
      </c>
      <c r="AI274" s="1" t="e" cm="1">
        <f t="array" ref="AI274">_xlfn.XLOOKUP(1,('2016 E Maize Soil VWC'!$C$2:$C$6000=$AA274)*('2016 E Maize Soil VWC'!$E$2:$E$6000=$AB274)*('2016 E Maize Soil VWC'!$F$2:$F$6000=AI$5),'2016 E Maize Soil VWC'!$G$2:$G$6000)</f>
        <v>#N/A</v>
      </c>
      <c r="AJ274" s="1" t="e" cm="1">
        <f t="array" ref="AJ274">_xlfn.XLOOKUP(1,('2016 E Maize Soil VWC'!$C$2:$C$6000=$AA274)*('2016 E Maize Soil VWC'!$E$2:$E$6000=$AB274)*('2016 E Maize Soil VWC'!$F$2:$F$6000=AJ$5),'2016 E Maize Soil VWC'!$G$2:$G$6000)</f>
        <v>#N/A</v>
      </c>
      <c r="AK274" s="1" t="e" cm="1">
        <f t="array" ref="AK274">_xlfn.XLOOKUP(1,('2016 E Maize Soil VWC'!$C$2:$C$6000=$AA274)*('2016 E Maize Soil VWC'!$E$2:$E$6000=$AB274)*('2016 E Maize Soil VWC'!$F$2:$F$6000=AK$5),'2016 E Maize Soil VWC'!$G$2:$G$6000)</f>
        <v>#N/A</v>
      </c>
      <c r="AL274" s="1" t="e" cm="1">
        <f t="array" ref="AL274">_xlfn.XLOOKUP(1,('2016 E Maize Soil VWC'!$C$2:$C$6000=$AA274)*('2016 E Maize Soil VWC'!$E$2:$E$6000=$AB274)*('2016 E Maize Soil VWC'!$F$2:$F$6000=AL$5),'2016 E Maize Soil VWC'!$G$2:$G$6000)</f>
        <v>#N/A</v>
      </c>
      <c r="AM274" s="1" t="e" cm="1">
        <f t="array" ref="AM274">_xlfn.XLOOKUP(1,('2016 E Maize Soil VWC'!$C$2:$C$6000=$AA274)*('2016 E Maize Soil VWC'!$E$2:$E$6000=$AB274)*('2016 E Maize Soil VWC'!$F$2:$F$6000=AM$5),'2016 E Maize Soil VWC'!$G$2:$G$6000)</f>
        <v>#N/A</v>
      </c>
      <c r="AN274" s="1" t="e" cm="1">
        <f t="array" ref="AN274">_xlfn.XLOOKUP(1,('2016 E Maize Soil VWC'!$C$2:$C$6000=$AA274)*('2016 E Maize Soil VWC'!$E$2:$E$6000=$AB274)*('2016 E Maize Soil VWC'!$F$2:$F$6000=AN$5),'2016 E Maize Soil VWC'!$G$2:$G$6000)</f>
        <v>#N/A</v>
      </c>
      <c r="AO274" s="1" t="e" cm="1">
        <f t="array" ref="AO274">_xlfn.XLOOKUP(1,('2016 E Maize Soil VWC'!$C$2:$C$6000=$AA274)*('2016 E Maize Soil VWC'!$E$2:$E$6000=$AB274)*('2016 E Maize Soil VWC'!$F$2:$F$6000=AO$5),'2016 E Maize Soil VWC'!$G$2:$G$6000)</f>
        <v>#N/A</v>
      </c>
      <c r="AP274" s="1" t="e" cm="1">
        <f t="array" ref="AP274">_xlfn.XLOOKUP(1,('2016 E Maize Soil VWC'!$C$2:$C$6000=$AA274)*('2016 E Maize Soil VWC'!$E$2:$E$6000=$AB274)*('2016 E Maize Soil VWC'!$F$2:$F$6000=AP$5),'2016 E Maize Soil VWC'!$G$2:$G$6000)</f>
        <v>#N/A</v>
      </c>
      <c r="AQ274" s="1" t="e" cm="1">
        <f t="array" ref="AQ274">_xlfn.XLOOKUP(1,('2016 E Maize Soil VWC'!$C$2:$C$6000=$AA274)*('2016 E Maize Soil VWC'!$E$2:$E$6000=$AB274)*('2016 E Maize Soil VWC'!$F$2:$F$6000=AQ$5),'2016 E Maize Soil VWC'!$G$2:$G$6000)</f>
        <v>#N/A</v>
      </c>
      <c r="AR274" s="1" t="e" cm="1">
        <f t="array" ref="AR274">_xlfn.XLOOKUP(1,('2016 E Maize Soil VWC'!$C$2:$C$6000=$AA274)*('2016 E Maize Soil VWC'!$E$2:$E$6000=$AB274)*('2016 E Maize Soil VWC'!$F$2:$F$6000=AR$5),'2016 E Maize Soil VWC'!$G$2:$G$6000)</f>
        <v>#N/A</v>
      </c>
      <c r="AS274" s="1" t="e" cm="1">
        <f t="array" ref="AS274">_xlfn.XLOOKUP(1,('2016 E Maize Soil VWC'!$C$2:$C$6000=$AA274)*('2016 E Maize Soil VWC'!$E$2:$E$6000=$AB274)*('2016 E Maize Soil VWC'!$F$2:$F$6000=AS$5),'2016 E Maize Soil VWC'!$G$2:$G$6000)</f>
        <v>#N/A</v>
      </c>
      <c r="AT274" s="1" t="e" cm="1">
        <f t="array" ref="AT274">_xlfn.XLOOKUP(1,('2016 E Maize Soil VWC'!$C$2:$C$6000=$AA274)*('2016 E Maize Soil VWC'!$E$2:$E$6000=$AB274)*('2016 E Maize Soil VWC'!$F$2:$F$6000=AT$5),'2016 E Maize Soil VWC'!$G$2:$G$6000)</f>
        <v>#N/A</v>
      </c>
      <c r="AU274" s="1" t="e" cm="1">
        <f t="array" ref="AU274">_xlfn.XLOOKUP(1,('2016 E Maize Soil VWC'!$C$2:$C$6000=$AA274)*('2016 E Maize Soil VWC'!$E$2:$E$6000=$AB274)*('2016 E Maize Soil VWC'!$F$2:$F$6000=AU$5),'2016 E Maize Soil VWC'!$G$2:$G$6000)</f>
        <v>#N/A</v>
      </c>
      <c r="AV274" s="1" t="e" cm="1">
        <f t="array" ref="AV274">_xlfn.XLOOKUP(1,('2016 E Maize Soil VWC'!$C$2:$C$6000=$AA274)*('2016 E Maize Soil VWC'!$E$2:$E$6000=$AB274)*('2016 E Maize Soil VWC'!$F$2:$F$6000=AV$5),'2016 E Maize Soil VWC'!$G$2:$G$6000)</f>
        <v>#N/A</v>
      </c>
    </row>
    <row r="275" spans="25:64" x14ac:dyDescent="0.25">
      <c r="AA275" s="18">
        <f t="shared" si="43"/>
        <v>42369</v>
      </c>
      <c r="AB275" s="1">
        <f t="shared" si="44"/>
        <v>190</v>
      </c>
      <c r="AC275" s="1" t="e" cm="1">
        <f t="array" ref="AC275">_xlfn.XLOOKUP(1,('2016 E Maize Soil VWC'!$C$2:$C$6000=$AA275)*('2016 E Maize Soil VWC'!$E$2:$E$6000=$AB275)*('2016 E Maize Soil VWC'!$F$2:$F$6000=AC$5),'2016 E Maize Soil VWC'!$G$2:$G$6000)</f>
        <v>#N/A</v>
      </c>
      <c r="AD275" s="1" t="e" cm="1">
        <f t="array" ref="AD275">_xlfn.XLOOKUP(1,('2016 E Maize Soil VWC'!$C$2:$C$6000=$AA275)*('2016 E Maize Soil VWC'!$E$2:$E$6000=$AB275)*('2016 E Maize Soil VWC'!$F$2:$F$6000=AD$5),'2016 E Maize Soil VWC'!$G$2:$G$6000)</f>
        <v>#N/A</v>
      </c>
      <c r="AE275" s="1" t="e" cm="1">
        <f t="array" ref="AE275">_xlfn.XLOOKUP(1,('2016 E Maize Soil VWC'!$C$2:$C$6000=$AA275)*('2016 E Maize Soil VWC'!$E$2:$E$6000=$AB275)*('2016 E Maize Soil VWC'!$F$2:$F$6000=AE$5),'2016 E Maize Soil VWC'!$G$2:$G$6000)</f>
        <v>#N/A</v>
      </c>
      <c r="AF275" s="1" t="e" cm="1">
        <f t="array" ref="AF275">_xlfn.XLOOKUP(1,('2016 E Maize Soil VWC'!$C$2:$C$6000=$AA275)*('2016 E Maize Soil VWC'!$E$2:$E$6000=$AB275)*('2016 E Maize Soil VWC'!$F$2:$F$6000=AF$5),'2016 E Maize Soil VWC'!$G$2:$G$6000)</f>
        <v>#N/A</v>
      </c>
      <c r="AG275" s="1" t="e" cm="1">
        <f t="array" ref="AG275">_xlfn.XLOOKUP(1,('2016 E Maize Soil VWC'!$C$2:$C$6000=$AA275)*('2016 E Maize Soil VWC'!$E$2:$E$6000=$AB275)*('2016 E Maize Soil VWC'!$F$2:$F$6000=AG$5),'2016 E Maize Soil VWC'!$G$2:$G$6000)</f>
        <v>#N/A</v>
      </c>
      <c r="AH275" s="1" t="e" cm="1">
        <f t="array" ref="AH275">_xlfn.XLOOKUP(1,('2016 E Maize Soil VWC'!$C$2:$C$6000=$AA275)*('2016 E Maize Soil VWC'!$E$2:$E$6000=$AB275)*('2016 E Maize Soil VWC'!$F$2:$F$6000=AH$5),'2016 E Maize Soil VWC'!$G$2:$G$6000)</f>
        <v>#N/A</v>
      </c>
      <c r="AI275" s="1" t="e" cm="1">
        <f t="array" ref="AI275">_xlfn.XLOOKUP(1,('2016 E Maize Soil VWC'!$C$2:$C$6000=$AA275)*('2016 E Maize Soil VWC'!$E$2:$E$6000=$AB275)*('2016 E Maize Soil VWC'!$F$2:$F$6000=AI$5),'2016 E Maize Soil VWC'!$G$2:$G$6000)</f>
        <v>#N/A</v>
      </c>
      <c r="AJ275" s="1" t="e" cm="1">
        <f t="array" ref="AJ275">_xlfn.XLOOKUP(1,('2016 E Maize Soil VWC'!$C$2:$C$6000=$AA275)*('2016 E Maize Soil VWC'!$E$2:$E$6000=$AB275)*('2016 E Maize Soil VWC'!$F$2:$F$6000=AJ$5),'2016 E Maize Soil VWC'!$G$2:$G$6000)</f>
        <v>#N/A</v>
      </c>
      <c r="AK275" s="1" t="e" cm="1">
        <f t="array" ref="AK275">_xlfn.XLOOKUP(1,('2016 E Maize Soil VWC'!$C$2:$C$6000=$AA275)*('2016 E Maize Soil VWC'!$E$2:$E$6000=$AB275)*('2016 E Maize Soil VWC'!$F$2:$F$6000=AK$5),'2016 E Maize Soil VWC'!$G$2:$G$6000)</f>
        <v>#N/A</v>
      </c>
      <c r="AL275" s="1" t="e" cm="1">
        <f t="array" ref="AL275">_xlfn.XLOOKUP(1,('2016 E Maize Soil VWC'!$C$2:$C$6000=$AA275)*('2016 E Maize Soil VWC'!$E$2:$E$6000=$AB275)*('2016 E Maize Soil VWC'!$F$2:$F$6000=AL$5),'2016 E Maize Soil VWC'!$G$2:$G$6000)</f>
        <v>#N/A</v>
      </c>
      <c r="AM275" s="1" t="e" cm="1">
        <f t="array" ref="AM275">_xlfn.XLOOKUP(1,('2016 E Maize Soil VWC'!$C$2:$C$6000=$AA275)*('2016 E Maize Soil VWC'!$E$2:$E$6000=$AB275)*('2016 E Maize Soil VWC'!$F$2:$F$6000=AM$5),'2016 E Maize Soil VWC'!$G$2:$G$6000)</f>
        <v>#N/A</v>
      </c>
      <c r="AN275" s="1" t="e" cm="1">
        <f t="array" ref="AN275">_xlfn.XLOOKUP(1,('2016 E Maize Soil VWC'!$C$2:$C$6000=$AA275)*('2016 E Maize Soil VWC'!$E$2:$E$6000=$AB275)*('2016 E Maize Soil VWC'!$F$2:$F$6000=AN$5),'2016 E Maize Soil VWC'!$G$2:$G$6000)</f>
        <v>#N/A</v>
      </c>
      <c r="AO275" s="1" t="e" cm="1">
        <f t="array" ref="AO275">_xlfn.XLOOKUP(1,('2016 E Maize Soil VWC'!$C$2:$C$6000=$AA275)*('2016 E Maize Soil VWC'!$E$2:$E$6000=$AB275)*('2016 E Maize Soil VWC'!$F$2:$F$6000=AO$5),'2016 E Maize Soil VWC'!$G$2:$G$6000)</f>
        <v>#N/A</v>
      </c>
      <c r="AP275" s="1" t="e" cm="1">
        <f t="array" ref="AP275">_xlfn.XLOOKUP(1,('2016 E Maize Soil VWC'!$C$2:$C$6000=$AA275)*('2016 E Maize Soil VWC'!$E$2:$E$6000=$AB275)*('2016 E Maize Soil VWC'!$F$2:$F$6000=AP$5),'2016 E Maize Soil VWC'!$G$2:$G$6000)</f>
        <v>#N/A</v>
      </c>
      <c r="AQ275" s="1" t="e" cm="1">
        <f t="array" ref="AQ275">_xlfn.XLOOKUP(1,('2016 E Maize Soil VWC'!$C$2:$C$6000=$AA275)*('2016 E Maize Soil VWC'!$E$2:$E$6000=$AB275)*('2016 E Maize Soil VWC'!$F$2:$F$6000=AQ$5),'2016 E Maize Soil VWC'!$G$2:$G$6000)</f>
        <v>#N/A</v>
      </c>
      <c r="AR275" s="1" t="e" cm="1">
        <f t="array" ref="AR275">_xlfn.XLOOKUP(1,('2016 E Maize Soil VWC'!$C$2:$C$6000=$AA275)*('2016 E Maize Soil VWC'!$E$2:$E$6000=$AB275)*('2016 E Maize Soil VWC'!$F$2:$F$6000=AR$5),'2016 E Maize Soil VWC'!$G$2:$G$6000)</f>
        <v>#N/A</v>
      </c>
      <c r="AS275" s="1" t="e" cm="1">
        <f t="array" ref="AS275">_xlfn.XLOOKUP(1,('2016 E Maize Soil VWC'!$C$2:$C$6000=$AA275)*('2016 E Maize Soil VWC'!$E$2:$E$6000=$AB275)*('2016 E Maize Soil VWC'!$F$2:$F$6000=AS$5),'2016 E Maize Soil VWC'!$G$2:$G$6000)</f>
        <v>#N/A</v>
      </c>
      <c r="AT275" s="1" t="e" cm="1">
        <f t="array" ref="AT275">_xlfn.XLOOKUP(1,('2016 E Maize Soil VWC'!$C$2:$C$6000=$AA275)*('2016 E Maize Soil VWC'!$E$2:$E$6000=$AB275)*('2016 E Maize Soil VWC'!$F$2:$F$6000=AT$5),'2016 E Maize Soil VWC'!$G$2:$G$6000)</f>
        <v>#N/A</v>
      </c>
      <c r="AU275" s="1" t="e" cm="1">
        <f t="array" ref="AU275">_xlfn.XLOOKUP(1,('2016 E Maize Soil VWC'!$C$2:$C$6000=$AA275)*('2016 E Maize Soil VWC'!$E$2:$E$6000=$AB275)*('2016 E Maize Soil VWC'!$F$2:$F$6000=AU$5),'2016 E Maize Soil VWC'!$G$2:$G$6000)</f>
        <v>#N/A</v>
      </c>
      <c r="AV275" s="1" t="e" cm="1">
        <f t="array" ref="AV275">_xlfn.XLOOKUP(1,('2016 E Maize Soil VWC'!$C$2:$C$6000=$AA275)*('2016 E Maize Soil VWC'!$E$2:$E$6000=$AB275)*('2016 E Maize Soil VWC'!$F$2:$F$6000=AV$5),'2016 E Maize Soil VWC'!$G$2:$G$6000)</f>
        <v>#N/A</v>
      </c>
    </row>
    <row r="276" spans="25:64" x14ac:dyDescent="0.25">
      <c r="AA276" s="18">
        <f t="shared" si="43"/>
        <v>42369</v>
      </c>
      <c r="AB276" s="1">
        <f t="shared" si="44"/>
        <v>210</v>
      </c>
      <c r="AC276" s="1" t="e" cm="1">
        <f t="array" ref="AC276">_xlfn.XLOOKUP(1,('2016 E Maize Soil VWC'!$C$2:$C$6000=$AA276)*('2016 E Maize Soil VWC'!$E$2:$E$6000=$AB276)*('2016 E Maize Soil VWC'!$F$2:$F$6000=AC$5),'2016 E Maize Soil VWC'!$G$2:$G$6000)</f>
        <v>#N/A</v>
      </c>
      <c r="AD276" s="1" t="e" cm="1">
        <f t="array" ref="AD276">_xlfn.XLOOKUP(1,('2016 E Maize Soil VWC'!$C$2:$C$6000=$AA276)*('2016 E Maize Soil VWC'!$E$2:$E$6000=$AB276)*('2016 E Maize Soil VWC'!$F$2:$F$6000=AD$5),'2016 E Maize Soil VWC'!$G$2:$G$6000)</f>
        <v>#N/A</v>
      </c>
      <c r="AE276" s="1" t="e" cm="1">
        <f t="array" ref="AE276">_xlfn.XLOOKUP(1,('2016 E Maize Soil VWC'!$C$2:$C$6000=$AA276)*('2016 E Maize Soil VWC'!$E$2:$E$6000=$AB276)*('2016 E Maize Soil VWC'!$F$2:$F$6000=AE$5),'2016 E Maize Soil VWC'!$G$2:$G$6000)</f>
        <v>#N/A</v>
      </c>
      <c r="AF276" s="1" t="e" cm="1">
        <f t="array" ref="AF276">_xlfn.XLOOKUP(1,('2016 E Maize Soil VWC'!$C$2:$C$6000=$AA276)*('2016 E Maize Soil VWC'!$E$2:$E$6000=$AB276)*('2016 E Maize Soil VWC'!$F$2:$F$6000=AF$5),'2016 E Maize Soil VWC'!$G$2:$G$6000)</f>
        <v>#N/A</v>
      </c>
      <c r="AG276" s="1" t="e" cm="1">
        <f t="array" ref="AG276">_xlfn.XLOOKUP(1,('2016 E Maize Soil VWC'!$C$2:$C$6000=$AA276)*('2016 E Maize Soil VWC'!$E$2:$E$6000=$AB276)*('2016 E Maize Soil VWC'!$F$2:$F$6000=AG$5),'2016 E Maize Soil VWC'!$G$2:$G$6000)</f>
        <v>#N/A</v>
      </c>
      <c r="AH276" s="1" t="e" cm="1">
        <f t="array" ref="AH276">_xlfn.XLOOKUP(1,('2016 E Maize Soil VWC'!$C$2:$C$6000=$AA276)*('2016 E Maize Soil VWC'!$E$2:$E$6000=$AB276)*('2016 E Maize Soil VWC'!$F$2:$F$6000=AH$5),'2016 E Maize Soil VWC'!$G$2:$G$6000)</f>
        <v>#N/A</v>
      </c>
      <c r="AI276" s="1" t="e" cm="1">
        <f t="array" ref="AI276">_xlfn.XLOOKUP(1,('2016 E Maize Soil VWC'!$C$2:$C$6000=$AA276)*('2016 E Maize Soil VWC'!$E$2:$E$6000=$AB276)*('2016 E Maize Soil VWC'!$F$2:$F$6000=AI$5),'2016 E Maize Soil VWC'!$G$2:$G$6000)</f>
        <v>#N/A</v>
      </c>
      <c r="AJ276" s="1" t="e" cm="1">
        <f t="array" ref="AJ276">_xlfn.XLOOKUP(1,('2016 E Maize Soil VWC'!$C$2:$C$6000=$AA276)*('2016 E Maize Soil VWC'!$E$2:$E$6000=$AB276)*('2016 E Maize Soil VWC'!$F$2:$F$6000=AJ$5),'2016 E Maize Soil VWC'!$G$2:$G$6000)</f>
        <v>#N/A</v>
      </c>
      <c r="AK276" s="1" t="e" cm="1">
        <f t="array" ref="AK276">_xlfn.XLOOKUP(1,('2016 E Maize Soil VWC'!$C$2:$C$6000=$AA276)*('2016 E Maize Soil VWC'!$E$2:$E$6000=$AB276)*('2016 E Maize Soil VWC'!$F$2:$F$6000=AK$5),'2016 E Maize Soil VWC'!$G$2:$G$6000)</f>
        <v>#N/A</v>
      </c>
      <c r="AL276" s="1" t="e" cm="1">
        <f t="array" ref="AL276">_xlfn.XLOOKUP(1,('2016 E Maize Soil VWC'!$C$2:$C$6000=$AA276)*('2016 E Maize Soil VWC'!$E$2:$E$6000=$AB276)*('2016 E Maize Soil VWC'!$F$2:$F$6000=AL$5),'2016 E Maize Soil VWC'!$G$2:$G$6000)</f>
        <v>#N/A</v>
      </c>
      <c r="AM276" s="1" t="e" cm="1">
        <f t="array" ref="AM276">_xlfn.XLOOKUP(1,('2016 E Maize Soil VWC'!$C$2:$C$6000=$AA276)*('2016 E Maize Soil VWC'!$E$2:$E$6000=$AB276)*('2016 E Maize Soil VWC'!$F$2:$F$6000=AM$5),'2016 E Maize Soil VWC'!$G$2:$G$6000)</f>
        <v>#N/A</v>
      </c>
      <c r="AN276" s="1" t="e" cm="1">
        <f t="array" ref="AN276">_xlfn.XLOOKUP(1,('2016 E Maize Soil VWC'!$C$2:$C$6000=$AA276)*('2016 E Maize Soil VWC'!$E$2:$E$6000=$AB276)*('2016 E Maize Soil VWC'!$F$2:$F$6000=AN$5),'2016 E Maize Soil VWC'!$G$2:$G$6000)</f>
        <v>#N/A</v>
      </c>
      <c r="AO276" s="1" t="e" cm="1">
        <f t="array" ref="AO276">_xlfn.XLOOKUP(1,('2016 E Maize Soil VWC'!$C$2:$C$6000=$AA276)*('2016 E Maize Soil VWC'!$E$2:$E$6000=$AB276)*('2016 E Maize Soil VWC'!$F$2:$F$6000=AO$5),'2016 E Maize Soil VWC'!$G$2:$G$6000)</f>
        <v>#N/A</v>
      </c>
      <c r="AP276" s="1" t="e" cm="1">
        <f t="array" ref="AP276">_xlfn.XLOOKUP(1,('2016 E Maize Soil VWC'!$C$2:$C$6000=$AA276)*('2016 E Maize Soil VWC'!$E$2:$E$6000=$AB276)*('2016 E Maize Soil VWC'!$F$2:$F$6000=AP$5),'2016 E Maize Soil VWC'!$G$2:$G$6000)</f>
        <v>#N/A</v>
      </c>
      <c r="AQ276" s="1" t="e" cm="1">
        <f t="array" ref="AQ276">_xlfn.XLOOKUP(1,('2016 E Maize Soil VWC'!$C$2:$C$6000=$AA276)*('2016 E Maize Soil VWC'!$E$2:$E$6000=$AB276)*('2016 E Maize Soil VWC'!$F$2:$F$6000=AQ$5),'2016 E Maize Soil VWC'!$G$2:$G$6000)</f>
        <v>#N/A</v>
      </c>
      <c r="AR276" s="1" t="e" cm="1">
        <f t="array" ref="AR276">_xlfn.XLOOKUP(1,('2016 E Maize Soil VWC'!$C$2:$C$6000=$AA276)*('2016 E Maize Soil VWC'!$E$2:$E$6000=$AB276)*('2016 E Maize Soil VWC'!$F$2:$F$6000=AR$5),'2016 E Maize Soil VWC'!$G$2:$G$6000)</f>
        <v>#N/A</v>
      </c>
      <c r="AS276" s="1" t="e" cm="1">
        <f t="array" ref="AS276">_xlfn.XLOOKUP(1,('2016 E Maize Soil VWC'!$C$2:$C$6000=$AA276)*('2016 E Maize Soil VWC'!$E$2:$E$6000=$AB276)*('2016 E Maize Soil VWC'!$F$2:$F$6000=AS$5),'2016 E Maize Soil VWC'!$G$2:$G$6000)</f>
        <v>#N/A</v>
      </c>
      <c r="AT276" s="1" t="e" cm="1">
        <f t="array" ref="AT276">_xlfn.XLOOKUP(1,('2016 E Maize Soil VWC'!$C$2:$C$6000=$AA276)*('2016 E Maize Soil VWC'!$E$2:$E$6000=$AB276)*('2016 E Maize Soil VWC'!$F$2:$F$6000=AT$5),'2016 E Maize Soil VWC'!$G$2:$G$6000)</f>
        <v>#N/A</v>
      </c>
      <c r="AU276" s="1" t="e" cm="1">
        <f t="array" ref="AU276">_xlfn.XLOOKUP(1,('2016 E Maize Soil VWC'!$C$2:$C$6000=$AA276)*('2016 E Maize Soil VWC'!$E$2:$E$6000=$AB276)*('2016 E Maize Soil VWC'!$F$2:$F$6000=AU$5),'2016 E Maize Soil VWC'!$G$2:$G$6000)</f>
        <v>#N/A</v>
      </c>
      <c r="AV276" s="1" t="e" cm="1">
        <f t="array" ref="AV276">_xlfn.XLOOKUP(1,('2016 E Maize Soil VWC'!$C$2:$C$6000=$AA276)*('2016 E Maize Soil VWC'!$E$2:$E$6000=$AB276)*('2016 E Maize Soil VWC'!$F$2:$F$6000=AV$5),'2016 E Maize Soil VWC'!$G$2:$G$6000)</f>
        <v>#N/A</v>
      </c>
    </row>
    <row r="277" spans="25:64" x14ac:dyDescent="0.25">
      <c r="AA277" s="18">
        <f t="shared" si="43"/>
        <v>42369</v>
      </c>
      <c r="AB277" s="1">
        <f t="shared" si="44"/>
        <v>230</v>
      </c>
      <c r="AC277" s="1" t="e" cm="1">
        <f t="array" ref="AC277">_xlfn.XLOOKUP(1,('2016 E Maize Soil VWC'!$C$2:$C$6000=$AA277)*('2016 E Maize Soil VWC'!$E$2:$E$6000=$AB277)*('2016 E Maize Soil VWC'!$F$2:$F$6000=AC$5),'2016 E Maize Soil VWC'!$G$2:$G$6000)</f>
        <v>#N/A</v>
      </c>
      <c r="AD277" s="1" t="e" cm="1">
        <f t="array" ref="AD277">_xlfn.XLOOKUP(1,('2016 E Maize Soil VWC'!$C$2:$C$6000=$AA277)*('2016 E Maize Soil VWC'!$E$2:$E$6000=$AB277)*('2016 E Maize Soil VWC'!$F$2:$F$6000=AD$5),'2016 E Maize Soil VWC'!$G$2:$G$6000)</f>
        <v>#N/A</v>
      </c>
      <c r="AE277" s="1" t="e" cm="1">
        <f t="array" ref="AE277">_xlfn.XLOOKUP(1,('2016 E Maize Soil VWC'!$C$2:$C$6000=$AA277)*('2016 E Maize Soil VWC'!$E$2:$E$6000=$AB277)*('2016 E Maize Soil VWC'!$F$2:$F$6000=AE$5),'2016 E Maize Soil VWC'!$G$2:$G$6000)</f>
        <v>#N/A</v>
      </c>
      <c r="AF277" s="1" t="e" cm="1">
        <f t="array" ref="AF277">_xlfn.XLOOKUP(1,('2016 E Maize Soil VWC'!$C$2:$C$6000=$AA277)*('2016 E Maize Soil VWC'!$E$2:$E$6000=$AB277)*('2016 E Maize Soil VWC'!$F$2:$F$6000=AF$5),'2016 E Maize Soil VWC'!$G$2:$G$6000)</f>
        <v>#N/A</v>
      </c>
      <c r="AG277" s="1" t="e" cm="1">
        <f t="array" ref="AG277">_xlfn.XLOOKUP(1,('2016 E Maize Soil VWC'!$C$2:$C$6000=$AA277)*('2016 E Maize Soil VWC'!$E$2:$E$6000=$AB277)*('2016 E Maize Soil VWC'!$F$2:$F$6000=AG$5),'2016 E Maize Soil VWC'!$G$2:$G$6000)</f>
        <v>#N/A</v>
      </c>
      <c r="AH277" s="1" t="e" cm="1">
        <f t="array" ref="AH277">_xlfn.XLOOKUP(1,('2016 E Maize Soil VWC'!$C$2:$C$6000=$AA277)*('2016 E Maize Soil VWC'!$E$2:$E$6000=$AB277)*('2016 E Maize Soil VWC'!$F$2:$F$6000=AH$5),'2016 E Maize Soil VWC'!$G$2:$G$6000)</f>
        <v>#N/A</v>
      </c>
      <c r="AI277" s="1" t="e" cm="1">
        <f t="array" ref="AI277">_xlfn.XLOOKUP(1,('2016 E Maize Soil VWC'!$C$2:$C$6000=$AA277)*('2016 E Maize Soil VWC'!$E$2:$E$6000=$AB277)*('2016 E Maize Soil VWC'!$F$2:$F$6000=AI$5),'2016 E Maize Soil VWC'!$G$2:$G$6000)</f>
        <v>#N/A</v>
      </c>
      <c r="AJ277" s="1" t="e" cm="1">
        <f t="array" ref="AJ277">_xlfn.XLOOKUP(1,('2016 E Maize Soil VWC'!$C$2:$C$6000=$AA277)*('2016 E Maize Soil VWC'!$E$2:$E$6000=$AB277)*('2016 E Maize Soil VWC'!$F$2:$F$6000=AJ$5),'2016 E Maize Soil VWC'!$G$2:$G$6000)</f>
        <v>#N/A</v>
      </c>
      <c r="AK277" s="1" t="e" cm="1">
        <f t="array" ref="AK277">_xlfn.XLOOKUP(1,('2016 E Maize Soil VWC'!$C$2:$C$6000=$AA277)*('2016 E Maize Soil VWC'!$E$2:$E$6000=$AB277)*('2016 E Maize Soil VWC'!$F$2:$F$6000=AK$5),'2016 E Maize Soil VWC'!$G$2:$G$6000)</f>
        <v>#N/A</v>
      </c>
      <c r="AL277" s="1" t="e" cm="1">
        <f t="array" ref="AL277">_xlfn.XLOOKUP(1,('2016 E Maize Soil VWC'!$C$2:$C$6000=$AA277)*('2016 E Maize Soil VWC'!$E$2:$E$6000=$AB277)*('2016 E Maize Soil VWC'!$F$2:$F$6000=AL$5),'2016 E Maize Soil VWC'!$G$2:$G$6000)</f>
        <v>#N/A</v>
      </c>
      <c r="AM277" s="1" t="e" cm="1">
        <f t="array" ref="AM277">_xlfn.XLOOKUP(1,('2016 E Maize Soil VWC'!$C$2:$C$6000=$AA277)*('2016 E Maize Soil VWC'!$E$2:$E$6000=$AB277)*('2016 E Maize Soil VWC'!$F$2:$F$6000=AM$5),'2016 E Maize Soil VWC'!$G$2:$G$6000)</f>
        <v>#N/A</v>
      </c>
      <c r="AN277" s="1" t="e" cm="1">
        <f t="array" ref="AN277">_xlfn.XLOOKUP(1,('2016 E Maize Soil VWC'!$C$2:$C$6000=$AA277)*('2016 E Maize Soil VWC'!$E$2:$E$6000=$AB277)*('2016 E Maize Soil VWC'!$F$2:$F$6000=AN$5),'2016 E Maize Soil VWC'!$G$2:$G$6000)</f>
        <v>#N/A</v>
      </c>
      <c r="AO277" s="1" t="e" cm="1">
        <f t="array" ref="AO277">_xlfn.XLOOKUP(1,('2016 E Maize Soil VWC'!$C$2:$C$6000=$AA277)*('2016 E Maize Soil VWC'!$E$2:$E$6000=$AB277)*('2016 E Maize Soil VWC'!$F$2:$F$6000=AO$5),'2016 E Maize Soil VWC'!$G$2:$G$6000)</f>
        <v>#N/A</v>
      </c>
      <c r="AP277" s="1" t="e" cm="1">
        <f t="array" ref="AP277">_xlfn.XLOOKUP(1,('2016 E Maize Soil VWC'!$C$2:$C$6000=$AA277)*('2016 E Maize Soil VWC'!$E$2:$E$6000=$AB277)*('2016 E Maize Soil VWC'!$F$2:$F$6000=AP$5),'2016 E Maize Soil VWC'!$G$2:$G$6000)</f>
        <v>#N/A</v>
      </c>
      <c r="AQ277" s="1" t="e" cm="1">
        <f t="array" ref="AQ277">_xlfn.XLOOKUP(1,('2016 E Maize Soil VWC'!$C$2:$C$6000=$AA277)*('2016 E Maize Soil VWC'!$E$2:$E$6000=$AB277)*('2016 E Maize Soil VWC'!$F$2:$F$6000=AQ$5),'2016 E Maize Soil VWC'!$G$2:$G$6000)</f>
        <v>#N/A</v>
      </c>
      <c r="AR277" s="1" t="e" cm="1">
        <f t="array" ref="AR277">_xlfn.XLOOKUP(1,('2016 E Maize Soil VWC'!$C$2:$C$6000=$AA277)*('2016 E Maize Soil VWC'!$E$2:$E$6000=$AB277)*('2016 E Maize Soil VWC'!$F$2:$F$6000=AR$5),'2016 E Maize Soil VWC'!$G$2:$G$6000)</f>
        <v>#N/A</v>
      </c>
      <c r="AS277" s="1" t="e" cm="1">
        <f t="array" ref="AS277">_xlfn.XLOOKUP(1,('2016 E Maize Soil VWC'!$C$2:$C$6000=$AA277)*('2016 E Maize Soil VWC'!$E$2:$E$6000=$AB277)*('2016 E Maize Soil VWC'!$F$2:$F$6000=AS$5),'2016 E Maize Soil VWC'!$G$2:$G$6000)</f>
        <v>#N/A</v>
      </c>
      <c r="AT277" s="1" t="e" cm="1">
        <f t="array" ref="AT277">_xlfn.XLOOKUP(1,('2016 E Maize Soil VWC'!$C$2:$C$6000=$AA277)*('2016 E Maize Soil VWC'!$E$2:$E$6000=$AB277)*('2016 E Maize Soil VWC'!$F$2:$F$6000=AT$5),'2016 E Maize Soil VWC'!$G$2:$G$6000)</f>
        <v>#N/A</v>
      </c>
      <c r="AU277" s="1" t="e" cm="1">
        <f t="array" ref="AU277">_xlfn.XLOOKUP(1,('2016 E Maize Soil VWC'!$C$2:$C$6000=$AA277)*('2016 E Maize Soil VWC'!$E$2:$E$6000=$AB277)*('2016 E Maize Soil VWC'!$F$2:$F$6000=AU$5),'2016 E Maize Soil VWC'!$G$2:$G$6000)</f>
        <v>#N/A</v>
      </c>
      <c r="AV277" s="1" t="e" cm="1">
        <f t="array" ref="AV277">_xlfn.XLOOKUP(1,('2016 E Maize Soil VWC'!$C$2:$C$6000=$AA277)*('2016 E Maize Soil VWC'!$E$2:$E$6000=$AB277)*('2016 E Maize Soil VWC'!$F$2:$F$6000=AV$5),'2016 E Maize Soil VWC'!$G$2:$G$6000)</f>
        <v>#N/A</v>
      </c>
    </row>
    <row r="279" spans="25:64" x14ac:dyDescent="0.25">
      <c r="Y279" s="1">
        <v>2016</v>
      </c>
      <c r="Z279" s="1">
        <v>0</v>
      </c>
      <c r="AA279" s="18">
        <f>DATE(Y279,1,Z279)</f>
        <v>42369</v>
      </c>
      <c r="AB279" s="1">
        <v>10</v>
      </c>
      <c r="AC279" s="1" t="e" cm="1">
        <f t="array" ref="AC279">_xlfn.XLOOKUP(1,('2016 E Maize Soil VWC'!$C$2:$C$6000=$AA279)*('2016 E Maize Soil VWC'!$E$2:$E$6000=$AB279)*('2016 E Maize Soil VWC'!$F$2:$F$6000=AC$5),'2016 E Maize Soil VWC'!$G$2:$G$6000)</f>
        <v>#N/A</v>
      </c>
      <c r="AD279" s="1" t="e" cm="1">
        <f t="array" ref="AD279">_xlfn.XLOOKUP(1,('2016 E Maize Soil VWC'!$C$2:$C$6000=$AA279)*('2016 E Maize Soil VWC'!$E$2:$E$6000=$AB279)*('2016 E Maize Soil VWC'!$F$2:$F$6000=AD$5),'2016 E Maize Soil VWC'!$G$2:$G$6000)</f>
        <v>#N/A</v>
      </c>
      <c r="AE279" s="1" t="e" cm="1">
        <f t="array" ref="AE279">_xlfn.XLOOKUP(1,('2016 E Maize Soil VWC'!$C$2:$C$6000=$AA279)*('2016 E Maize Soil VWC'!$E$2:$E$6000=$AB279)*('2016 E Maize Soil VWC'!$F$2:$F$6000=AE$5),'2016 E Maize Soil VWC'!$G$2:$G$6000)</f>
        <v>#N/A</v>
      </c>
      <c r="AF279" s="1" t="e" cm="1">
        <f t="array" ref="AF279">_xlfn.XLOOKUP(1,('2016 E Maize Soil VWC'!$C$2:$C$6000=$AA279)*('2016 E Maize Soil VWC'!$E$2:$E$6000=$AB279)*('2016 E Maize Soil VWC'!$F$2:$F$6000=AF$5),'2016 E Maize Soil VWC'!$G$2:$G$6000)</f>
        <v>#N/A</v>
      </c>
      <c r="AG279" s="1" t="e" cm="1">
        <f t="array" ref="AG279">_xlfn.XLOOKUP(1,('2016 E Maize Soil VWC'!$C$2:$C$6000=$AA279)*('2016 E Maize Soil VWC'!$E$2:$E$6000=$AB279)*('2016 E Maize Soil VWC'!$F$2:$F$6000=AG$5),'2016 E Maize Soil VWC'!$G$2:$G$6000)</f>
        <v>#N/A</v>
      </c>
      <c r="AH279" s="1" t="e" cm="1">
        <f t="array" ref="AH279">_xlfn.XLOOKUP(1,('2016 E Maize Soil VWC'!$C$2:$C$6000=$AA279)*('2016 E Maize Soil VWC'!$E$2:$E$6000=$AB279)*('2016 E Maize Soil VWC'!$F$2:$F$6000=AH$5),'2016 E Maize Soil VWC'!$G$2:$G$6000)</f>
        <v>#N/A</v>
      </c>
      <c r="AI279" s="1" t="e" cm="1">
        <f t="array" ref="AI279">_xlfn.XLOOKUP(1,('2016 E Maize Soil VWC'!$C$2:$C$6000=$AA279)*('2016 E Maize Soil VWC'!$E$2:$E$6000=$AB279)*('2016 E Maize Soil VWC'!$F$2:$F$6000=AI$5),'2016 E Maize Soil VWC'!$G$2:$G$6000)</f>
        <v>#N/A</v>
      </c>
      <c r="AJ279" s="1" t="e" cm="1">
        <f t="array" ref="AJ279">_xlfn.XLOOKUP(1,('2016 E Maize Soil VWC'!$C$2:$C$6000=$AA279)*('2016 E Maize Soil VWC'!$E$2:$E$6000=$AB279)*('2016 E Maize Soil VWC'!$F$2:$F$6000=AJ$5),'2016 E Maize Soil VWC'!$G$2:$G$6000)</f>
        <v>#N/A</v>
      </c>
      <c r="AK279" s="1" t="e" cm="1">
        <f t="array" ref="AK279">_xlfn.XLOOKUP(1,('2016 E Maize Soil VWC'!$C$2:$C$6000=$AA279)*('2016 E Maize Soil VWC'!$E$2:$E$6000=$AB279)*('2016 E Maize Soil VWC'!$F$2:$F$6000=AK$5),'2016 E Maize Soil VWC'!$G$2:$G$6000)</f>
        <v>#N/A</v>
      </c>
      <c r="AL279" s="1" t="e" cm="1">
        <f t="array" ref="AL279">_xlfn.XLOOKUP(1,('2016 E Maize Soil VWC'!$C$2:$C$6000=$AA279)*('2016 E Maize Soil VWC'!$E$2:$E$6000=$AB279)*('2016 E Maize Soil VWC'!$F$2:$F$6000=AL$5),'2016 E Maize Soil VWC'!$G$2:$G$6000)</f>
        <v>#N/A</v>
      </c>
      <c r="AM279" s="1" t="e" cm="1">
        <f t="array" ref="AM279">_xlfn.XLOOKUP(1,('2016 E Maize Soil VWC'!$C$2:$C$6000=$AA279)*('2016 E Maize Soil VWC'!$E$2:$E$6000=$AB279)*('2016 E Maize Soil VWC'!$F$2:$F$6000=AM$5),'2016 E Maize Soil VWC'!$G$2:$G$6000)</f>
        <v>#N/A</v>
      </c>
      <c r="AN279" s="1" t="e" cm="1">
        <f t="array" ref="AN279">_xlfn.XLOOKUP(1,('2016 E Maize Soil VWC'!$C$2:$C$6000=$AA279)*('2016 E Maize Soil VWC'!$E$2:$E$6000=$AB279)*('2016 E Maize Soil VWC'!$F$2:$F$6000=AN$5),'2016 E Maize Soil VWC'!$G$2:$G$6000)</f>
        <v>#N/A</v>
      </c>
      <c r="AO279" s="1" t="e" cm="1">
        <f t="array" ref="AO279">_xlfn.XLOOKUP(1,('2016 E Maize Soil VWC'!$C$2:$C$6000=$AA279)*('2016 E Maize Soil VWC'!$E$2:$E$6000=$AB279)*('2016 E Maize Soil VWC'!$F$2:$F$6000=AO$5),'2016 E Maize Soil VWC'!$G$2:$G$6000)</f>
        <v>#N/A</v>
      </c>
      <c r="AP279" s="1" t="e" cm="1">
        <f t="array" ref="AP279">_xlfn.XLOOKUP(1,('2016 E Maize Soil VWC'!$C$2:$C$6000=$AA279)*('2016 E Maize Soil VWC'!$E$2:$E$6000=$AB279)*('2016 E Maize Soil VWC'!$F$2:$F$6000=AP$5),'2016 E Maize Soil VWC'!$G$2:$G$6000)</f>
        <v>#N/A</v>
      </c>
      <c r="AQ279" s="1" t="e" cm="1">
        <f t="array" ref="AQ279">_xlfn.XLOOKUP(1,('2016 E Maize Soil VWC'!$C$2:$C$6000=$AA279)*('2016 E Maize Soil VWC'!$E$2:$E$6000=$AB279)*('2016 E Maize Soil VWC'!$F$2:$F$6000=AQ$5),'2016 E Maize Soil VWC'!$G$2:$G$6000)</f>
        <v>#N/A</v>
      </c>
      <c r="AR279" s="1" t="e" cm="1">
        <f t="array" ref="AR279">_xlfn.XLOOKUP(1,('2016 E Maize Soil VWC'!$C$2:$C$6000=$AA279)*('2016 E Maize Soil VWC'!$E$2:$E$6000=$AB279)*('2016 E Maize Soil VWC'!$F$2:$F$6000=AR$5),'2016 E Maize Soil VWC'!$G$2:$G$6000)</f>
        <v>#N/A</v>
      </c>
      <c r="AS279" s="1" t="e" cm="1">
        <f t="array" ref="AS279">_xlfn.XLOOKUP(1,('2016 E Maize Soil VWC'!$C$2:$C$6000=$AA279)*('2016 E Maize Soil VWC'!$E$2:$E$6000=$AB279)*('2016 E Maize Soil VWC'!$F$2:$F$6000=AS$5),'2016 E Maize Soil VWC'!$G$2:$G$6000)</f>
        <v>#N/A</v>
      </c>
      <c r="AT279" s="1" t="e" cm="1">
        <f t="array" ref="AT279">_xlfn.XLOOKUP(1,('2016 E Maize Soil VWC'!$C$2:$C$6000=$AA279)*('2016 E Maize Soil VWC'!$E$2:$E$6000=$AB279)*('2016 E Maize Soil VWC'!$F$2:$F$6000=AT$5),'2016 E Maize Soil VWC'!$G$2:$G$6000)</f>
        <v>#N/A</v>
      </c>
      <c r="AU279" s="1" t="e" cm="1">
        <f t="array" ref="AU279">_xlfn.XLOOKUP(1,('2016 E Maize Soil VWC'!$C$2:$C$6000=$AA279)*('2016 E Maize Soil VWC'!$E$2:$E$6000=$AB279)*('2016 E Maize Soil VWC'!$F$2:$F$6000=AU$5),'2016 E Maize Soil VWC'!$G$2:$G$6000)</f>
        <v>#N/A</v>
      </c>
      <c r="AV279" s="1" t="e" cm="1">
        <f t="array" ref="AV279">_xlfn.XLOOKUP(1,('2016 E Maize Soil VWC'!$C$2:$C$6000=$AA279)*('2016 E Maize Soil VWC'!$E$2:$E$6000=$AB279)*('2016 E Maize Soil VWC'!$F$2:$F$6000=AV$5),'2016 E Maize Soil VWC'!$G$2:$G$6000)</f>
        <v>#N/A</v>
      </c>
      <c r="AW279" s="1">
        <f>Z279</f>
        <v>0</v>
      </c>
      <c r="AX279" s="15">
        <f>AA279</f>
        <v>42369</v>
      </c>
      <c r="AY279" s="1" t="e">
        <f>1400*AVERAGE(AG279:AH285)+100*AVERAGE(AG286:AH286)</f>
        <v>#N/A</v>
      </c>
      <c r="AZ279" s="1" t="e">
        <f>1400*AVERAGE(AC279:AF285,AI279:AL285)+100*AVERAGE(AC286:AF286,AI286:AL286)</f>
        <v>#N/A</v>
      </c>
      <c r="BA279" s="1" t="e">
        <f>1400*AVERAGE(AQ279:AR285)+100*AVERAGE(AQ286:AR286)</f>
        <v>#N/A</v>
      </c>
      <c r="BB279" s="1" t="e">
        <f>1400*AVERAGE(AM279:AP285,AS279:AV285)+100*AVERAGE(AM286:AP286,AS286:AV286)</f>
        <v>#N/A</v>
      </c>
      <c r="BC279" s="1" t="e">
        <f>AVERAGE(AC279:AD290)*2400</f>
        <v>#N/A</v>
      </c>
      <c r="BD279" s="1" t="e">
        <f>AVERAGE(AE279:AF290)*2400</f>
        <v>#N/A</v>
      </c>
      <c r="BE279" s="1" t="e">
        <f>AVERAGE(AG279:AH288)*2000</f>
        <v>#N/A</v>
      </c>
      <c r="BF279" s="1" t="e">
        <f>AVERAGE(AI279:AJ290)*2400</f>
        <v>#N/A</v>
      </c>
      <c r="BG279" s="1" t="e">
        <f>AVERAGE(AK279:AL290)*2400</f>
        <v>#N/A</v>
      </c>
      <c r="BH279" s="1" t="e">
        <f>AVERAGE(AM279:AN290)*2400</f>
        <v>#N/A</v>
      </c>
      <c r="BI279" s="1" t="e">
        <f>AVERAGE(AO279:AP290)*2400</f>
        <v>#N/A</v>
      </c>
      <c r="BJ279" s="1" t="e">
        <f>AVERAGE(AQ279:AR288)*2000</f>
        <v>#N/A</v>
      </c>
      <c r="BK279" s="1" t="e">
        <f>AVERAGE(AS279:AT290)*2400</f>
        <v>#N/A</v>
      </c>
      <c r="BL279" s="1" t="e">
        <f>AVERAGE(AU279:AV290)*2400</f>
        <v>#N/A</v>
      </c>
    </row>
    <row r="280" spans="25:64" x14ac:dyDescent="0.25">
      <c r="AA280" s="18">
        <f t="shared" ref="AA280:AA290" si="45">AA279</f>
        <v>42369</v>
      </c>
      <c r="AB280" s="1">
        <f t="shared" ref="AB280:AB290" si="46">AB279+20</f>
        <v>30</v>
      </c>
      <c r="AC280" s="1" t="e" cm="1">
        <f t="array" ref="AC280">_xlfn.XLOOKUP(1,('2016 E Maize Soil VWC'!$C$2:$C$6000=$AA280)*('2016 E Maize Soil VWC'!$E$2:$E$6000=$AB280)*('2016 E Maize Soil VWC'!$F$2:$F$6000=AC$5),'2016 E Maize Soil VWC'!$G$2:$G$6000)</f>
        <v>#N/A</v>
      </c>
      <c r="AD280" s="1" t="e" cm="1">
        <f t="array" ref="AD280">_xlfn.XLOOKUP(1,('2016 E Maize Soil VWC'!$C$2:$C$6000=$AA280)*('2016 E Maize Soil VWC'!$E$2:$E$6000=$AB280)*('2016 E Maize Soil VWC'!$F$2:$F$6000=AD$5),'2016 E Maize Soil VWC'!$G$2:$G$6000)</f>
        <v>#N/A</v>
      </c>
      <c r="AE280" s="1" t="e" cm="1">
        <f t="array" ref="AE280">_xlfn.XLOOKUP(1,('2016 E Maize Soil VWC'!$C$2:$C$6000=$AA280)*('2016 E Maize Soil VWC'!$E$2:$E$6000=$AB280)*('2016 E Maize Soil VWC'!$F$2:$F$6000=AE$5),'2016 E Maize Soil VWC'!$G$2:$G$6000)</f>
        <v>#N/A</v>
      </c>
      <c r="AF280" s="1" t="e" cm="1">
        <f t="array" ref="AF280">_xlfn.XLOOKUP(1,('2016 E Maize Soil VWC'!$C$2:$C$6000=$AA280)*('2016 E Maize Soil VWC'!$E$2:$E$6000=$AB280)*('2016 E Maize Soil VWC'!$F$2:$F$6000=AF$5),'2016 E Maize Soil VWC'!$G$2:$G$6000)</f>
        <v>#N/A</v>
      </c>
      <c r="AG280" s="1" t="e" cm="1">
        <f t="array" ref="AG280">_xlfn.XLOOKUP(1,('2016 E Maize Soil VWC'!$C$2:$C$6000=$AA280)*('2016 E Maize Soil VWC'!$E$2:$E$6000=$AB280)*('2016 E Maize Soil VWC'!$F$2:$F$6000=AG$5),'2016 E Maize Soil VWC'!$G$2:$G$6000)</f>
        <v>#N/A</v>
      </c>
      <c r="AH280" s="1" t="e" cm="1">
        <f t="array" ref="AH280">_xlfn.XLOOKUP(1,('2016 E Maize Soil VWC'!$C$2:$C$6000=$AA280)*('2016 E Maize Soil VWC'!$E$2:$E$6000=$AB280)*('2016 E Maize Soil VWC'!$F$2:$F$6000=AH$5),'2016 E Maize Soil VWC'!$G$2:$G$6000)</f>
        <v>#N/A</v>
      </c>
      <c r="AI280" s="1" t="e" cm="1">
        <f t="array" ref="AI280">_xlfn.XLOOKUP(1,('2016 E Maize Soil VWC'!$C$2:$C$6000=$AA280)*('2016 E Maize Soil VWC'!$E$2:$E$6000=$AB280)*('2016 E Maize Soil VWC'!$F$2:$F$6000=AI$5),'2016 E Maize Soil VWC'!$G$2:$G$6000)</f>
        <v>#N/A</v>
      </c>
      <c r="AJ280" s="1" t="e" cm="1">
        <f t="array" ref="AJ280">_xlfn.XLOOKUP(1,('2016 E Maize Soil VWC'!$C$2:$C$6000=$AA280)*('2016 E Maize Soil VWC'!$E$2:$E$6000=$AB280)*('2016 E Maize Soil VWC'!$F$2:$F$6000=AJ$5),'2016 E Maize Soil VWC'!$G$2:$G$6000)</f>
        <v>#N/A</v>
      </c>
      <c r="AK280" s="1" t="e" cm="1">
        <f t="array" ref="AK280">_xlfn.XLOOKUP(1,('2016 E Maize Soil VWC'!$C$2:$C$6000=$AA280)*('2016 E Maize Soil VWC'!$E$2:$E$6000=$AB280)*('2016 E Maize Soil VWC'!$F$2:$F$6000=AK$5),'2016 E Maize Soil VWC'!$G$2:$G$6000)</f>
        <v>#N/A</v>
      </c>
      <c r="AL280" s="1" t="e" cm="1">
        <f t="array" ref="AL280">_xlfn.XLOOKUP(1,('2016 E Maize Soil VWC'!$C$2:$C$6000=$AA280)*('2016 E Maize Soil VWC'!$E$2:$E$6000=$AB280)*('2016 E Maize Soil VWC'!$F$2:$F$6000=AL$5),'2016 E Maize Soil VWC'!$G$2:$G$6000)</f>
        <v>#N/A</v>
      </c>
      <c r="AM280" s="1" t="e" cm="1">
        <f t="array" ref="AM280">_xlfn.XLOOKUP(1,('2016 E Maize Soil VWC'!$C$2:$C$6000=$AA280)*('2016 E Maize Soil VWC'!$E$2:$E$6000=$AB280)*('2016 E Maize Soil VWC'!$F$2:$F$6000=AM$5),'2016 E Maize Soil VWC'!$G$2:$G$6000)</f>
        <v>#N/A</v>
      </c>
      <c r="AN280" s="1" t="e" cm="1">
        <f t="array" ref="AN280">_xlfn.XLOOKUP(1,('2016 E Maize Soil VWC'!$C$2:$C$6000=$AA280)*('2016 E Maize Soil VWC'!$E$2:$E$6000=$AB280)*('2016 E Maize Soil VWC'!$F$2:$F$6000=AN$5),'2016 E Maize Soil VWC'!$G$2:$G$6000)</f>
        <v>#N/A</v>
      </c>
      <c r="AO280" s="1" t="e" cm="1">
        <f t="array" ref="AO280">_xlfn.XLOOKUP(1,('2016 E Maize Soil VWC'!$C$2:$C$6000=$AA280)*('2016 E Maize Soil VWC'!$E$2:$E$6000=$AB280)*('2016 E Maize Soil VWC'!$F$2:$F$6000=AO$5),'2016 E Maize Soil VWC'!$G$2:$G$6000)</f>
        <v>#N/A</v>
      </c>
      <c r="AP280" s="1" t="e" cm="1">
        <f t="array" ref="AP280">_xlfn.XLOOKUP(1,('2016 E Maize Soil VWC'!$C$2:$C$6000=$AA280)*('2016 E Maize Soil VWC'!$E$2:$E$6000=$AB280)*('2016 E Maize Soil VWC'!$F$2:$F$6000=AP$5),'2016 E Maize Soil VWC'!$G$2:$G$6000)</f>
        <v>#N/A</v>
      </c>
      <c r="AQ280" s="1" t="e" cm="1">
        <f t="array" ref="AQ280">_xlfn.XLOOKUP(1,('2016 E Maize Soil VWC'!$C$2:$C$6000=$AA280)*('2016 E Maize Soil VWC'!$E$2:$E$6000=$AB280)*('2016 E Maize Soil VWC'!$F$2:$F$6000=AQ$5),'2016 E Maize Soil VWC'!$G$2:$G$6000)</f>
        <v>#N/A</v>
      </c>
      <c r="AR280" s="1" t="e" cm="1">
        <f t="array" ref="AR280">_xlfn.XLOOKUP(1,('2016 E Maize Soil VWC'!$C$2:$C$6000=$AA280)*('2016 E Maize Soil VWC'!$E$2:$E$6000=$AB280)*('2016 E Maize Soil VWC'!$F$2:$F$6000=AR$5),'2016 E Maize Soil VWC'!$G$2:$G$6000)</f>
        <v>#N/A</v>
      </c>
      <c r="AS280" s="1" t="e" cm="1">
        <f t="array" ref="AS280">_xlfn.XLOOKUP(1,('2016 E Maize Soil VWC'!$C$2:$C$6000=$AA280)*('2016 E Maize Soil VWC'!$E$2:$E$6000=$AB280)*('2016 E Maize Soil VWC'!$F$2:$F$6000=AS$5),'2016 E Maize Soil VWC'!$G$2:$G$6000)</f>
        <v>#N/A</v>
      </c>
      <c r="AT280" s="1" t="e" cm="1">
        <f t="array" ref="AT280">_xlfn.XLOOKUP(1,('2016 E Maize Soil VWC'!$C$2:$C$6000=$AA280)*('2016 E Maize Soil VWC'!$E$2:$E$6000=$AB280)*('2016 E Maize Soil VWC'!$F$2:$F$6000=AT$5),'2016 E Maize Soil VWC'!$G$2:$G$6000)</f>
        <v>#N/A</v>
      </c>
      <c r="AU280" s="1" t="e" cm="1">
        <f t="array" ref="AU280">_xlfn.XLOOKUP(1,('2016 E Maize Soil VWC'!$C$2:$C$6000=$AA280)*('2016 E Maize Soil VWC'!$E$2:$E$6000=$AB280)*('2016 E Maize Soil VWC'!$F$2:$F$6000=AU$5),'2016 E Maize Soil VWC'!$G$2:$G$6000)</f>
        <v>#N/A</v>
      </c>
      <c r="AV280" s="1" t="e" cm="1">
        <f t="array" ref="AV280">_xlfn.XLOOKUP(1,('2016 E Maize Soil VWC'!$C$2:$C$6000=$AA280)*('2016 E Maize Soil VWC'!$E$2:$E$6000=$AB280)*('2016 E Maize Soil VWC'!$F$2:$F$6000=AV$5),'2016 E Maize Soil VWC'!$G$2:$G$6000)</f>
        <v>#N/A</v>
      </c>
    </row>
    <row r="281" spans="25:64" x14ac:dyDescent="0.25">
      <c r="AA281" s="18">
        <f t="shared" si="45"/>
        <v>42369</v>
      </c>
      <c r="AB281" s="1">
        <f t="shared" si="46"/>
        <v>50</v>
      </c>
      <c r="AC281" s="1" t="e" cm="1">
        <f t="array" ref="AC281">_xlfn.XLOOKUP(1,('2016 E Maize Soil VWC'!$C$2:$C$6000=$AA281)*('2016 E Maize Soil VWC'!$E$2:$E$6000=$AB281)*('2016 E Maize Soil VWC'!$F$2:$F$6000=AC$5),'2016 E Maize Soil VWC'!$G$2:$G$6000)</f>
        <v>#N/A</v>
      </c>
      <c r="AD281" s="1" t="e" cm="1">
        <f t="array" ref="AD281">_xlfn.XLOOKUP(1,('2016 E Maize Soil VWC'!$C$2:$C$6000=$AA281)*('2016 E Maize Soil VWC'!$E$2:$E$6000=$AB281)*('2016 E Maize Soil VWC'!$F$2:$F$6000=AD$5),'2016 E Maize Soil VWC'!$G$2:$G$6000)</f>
        <v>#N/A</v>
      </c>
      <c r="AE281" s="1" t="e" cm="1">
        <f t="array" ref="AE281">_xlfn.XLOOKUP(1,('2016 E Maize Soil VWC'!$C$2:$C$6000=$AA281)*('2016 E Maize Soil VWC'!$E$2:$E$6000=$AB281)*('2016 E Maize Soil VWC'!$F$2:$F$6000=AE$5),'2016 E Maize Soil VWC'!$G$2:$G$6000)</f>
        <v>#N/A</v>
      </c>
      <c r="AF281" s="1" t="e" cm="1">
        <f t="array" ref="AF281">_xlfn.XLOOKUP(1,('2016 E Maize Soil VWC'!$C$2:$C$6000=$AA281)*('2016 E Maize Soil VWC'!$E$2:$E$6000=$AB281)*('2016 E Maize Soil VWC'!$F$2:$F$6000=AF$5),'2016 E Maize Soil VWC'!$G$2:$G$6000)</f>
        <v>#N/A</v>
      </c>
      <c r="AG281" s="1" t="e" cm="1">
        <f t="array" ref="AG281">_xlfn.XLOOKUP(1,('2016 E Maize Soil VWC'!$C$2:$C$6000=$AA281)*('2016 E Maize Soil VWC'!$E$2:$E$6000=$AB281)*('2016 E Maize Soil VWC'!$F$2:$F$6000=AG$5),'2016 E Maize Soil VWC'!$G$2:$G$6000)</f>
        <v>#N/A</v>
      </c>
      <c r="AH281" s="1" t="e" cm="1">
        <f t="array" ref="AH281">_xlfn.XLOOKUP(1,('2016 E Maize Soil VWC'!$C$2:$C$6000=$AA281)*('2016 E Maize Soil VWC'!$E$2:$E$6000=$AB281)*('2016 E Maize Soil VWC'!$F$2:$F$6000=AH$5),'2016 E Maize Soil VWC'!$G$2:$G$6000)</f>
        <v>#N/A</v>
      </c>
      <c r="AI281" s="1" t="e" cm="1">
        <f t="array" ref="AI281">_xlfn.XLOOKUP(1,('2016 E Maize Soil VWC'!$C$2:$C$6000=$AA281)*('2016 E Maize Soil VWC'!$E$2:$E$6000=$AB281)*('2016 E Maize Soil VWC'!$F$2:$F$6000=AI$5),'2016 E Maize Soil VWC'!$G$2:$G$6000)</f>
        <v>#N/A</v>
      </c>
      <c r="AJ281" s="1" t="e" cm="1">
        <f t="array" ref="AJ281">_xlfn.XLOOKUP(1,('2016 E Maize Soil VWC'!$C$2:$C$6000=$AA281)*('2016 E Maize Soil VWC'!$E$2:$E$6000=$AB281)*('2016 E Maize Soil VWC'!$F$2:$F$6000=AJ$5),'2016 E Maize Soil VWC'!$G$2:$G$6000)</f>
        <v>#N/A</v>
      </c>
      <c r="AK281" s="1" t="e" cm="1">
        <f t="array" ref="AK281">_xlfn.XLOOKUP(1,('2016 E Maize Soil VWC'!$C$2:$C$6000=$AA281)*('2016 E Maize Soil VWC'!$E$2:$E$6000=$AB281)*('2016 E Maize Soil VWC'!$F$2:$F$6000=AK$5),'2016 E Maize Soil VWC'!$G$2:$G$6000)</f>
        <v>#N/A</v>
      </c>
      <c r="AL281" s="1" t="e" cm="1">
        <f t="array" ref="AL281">_xlfn.XLOOKUP(1,('2016 E Maize Soil VWC'!$C$2:$C$6000=$AA281)*('2016 E Maize Soil VWC'!$E$2:$E$6000=$AB281)*('2016 E Maize Soil VWC'!$F$2:$F$6000=AL$5),'2016 E Maize Soil VWC'!$G$2:$G$6000)</f>
        <v>#N/A</v>
      </c>
      <c r="AM281" s="1" t="e" cm="1">
        <f t="array" ref="AM281">_xlfn.XLOOKUP(1,('2016 E Maize Soil VWC'!$C$2:$C$6000=$AA281)*('2016 E Maize Soil VWC'!$E$2:$E$6000=$AB281)*('2016 E Maize Soil VWC'!$F$2:$F$6000=AM$5),'2016 E Maize Soil VWC'!$G$2:$G$6000)</f>
        <v>#N/A</v>
      </c>
      <c r="AN281" s="1" t="e" cm="1">
        <f t="array" ref="AN281">_xlfn.XLOOKUP(1,('2016 E Maize Soil VWC'!$C$2:$C$6000=$AA281)*('2016 E Maize Soil VWC'!$E$2:$E$6000=$AB281)*('2016 E Maize Soil VWC'!$F$2:$F$6000=AN$5),'2016 E Maize Soil VWC'!$G$2:$G$6000)</f>
        <v>#N/A</v>
      </c>
      <c r="AO281" s="1" t="e" cm="1">
        <f t="array" ref="AO281">_xlfn.XLOOKUP(1,('2016 E Maize Soil VWC'!$C$2:$C$6000=$AA281)*('2016 E Maize Soil VWC'!$E$2:$E$6000=$AB281)*('2016 E Maize Soil VWC'!$F$2:$F$6000=AO$5),'2016 E Maize Soil VWC'!$G$2:$G$6000)</f>
        <v>#N/A</v>
      </c>
      <c r="AP281" s="1" t="e" cm="1">
        <f t="array" ref="AP281">_xlfn.XLOOKUP(1,('2016 E Maize Soil VWC'!$C$2:$C$6000=$AA281)*('2016 E Maize Soil VWC'!$E$2:$E$6000=$AB281)*('2016 E Maize Soil VWC'!$F$2:$F$6000=AP$5),'2016 E Maize Soil VWC'!$G$2:$G$6000)</f>
        <v>#N/A</v>
      </c>
      <c r="AQ281" s="1" t="e" cm="1">
        <f t="array" ref="AQ281">_xlfn.XLOOKUP(1,('2016 E Maize Soil VWC'!$C$2:$C$6000=$AA281)*('2016 E Maize Soil VWC'!$E$2:$E$6000=$AB281)*('2016 E Maize Soil VWC'!$F$2:$F$6000=AQ$5),'2016 E Maize Soil VWC'!$G$2:$G$6000)</f>
        <v>#N/A</v>
      </c>
      <c r="AR281" s="1" t="e" cm="1">
        <f t="array" ref="AR281">_xlfn.XLOOKUP(1,('2016 E Maize Soil VWC'!$C$2:$C$6000=$AA281)*('2016 E Maize Soil VWC'!$E$2:$E$6000=$AB281)*('2016 E Maize Soil VWC'!$F$2:$F$6000=AR$5),'2016 E Maize Soil VWC'!$G$2:$G$6000)</f>
        <v>#N/A</v>
      </c>
      <c r="AS281" s="1" t="e" cm="1">
        <f t="array" ref="AS281">_xlfn.XLOOKUP(1,('2016 E Maize Soil VWC'!$C$2:$C$6000=$AA281)*('2016 E Maize Soil VWC'!$E$2:$E$6000=$AB281)*('2016 E Maize Soil VWC'!$F$2:$F$6000=AS$5),'2016 E Maize Soil VWC'!$G$2:$G$6000)</f>
        <v>#N/A</v>
      </c>
      <c r="AT281" s="1" t="e" cm="1">
        <f t="array" ref="AT281">_xlfn.XLOOKUP(1,('2016 E Maize Soil VWC'!$C$2:$C$6000=$AA281)*('2016 E Maize Soil VWC'!$E$2:$E$6000=$AB281)*('2016 E Maize Soil VWC'!$F$2:$F$6000=AT$5),'2016 E Maize Soil VWC'!$G$2:$G$6000)</f>
        <v>#N/A</v>
      </c>
      <c r="AU281" s="1" t="e" cm="1">
        <f t="array" ref="AU281">_xlfn.XLOOKUP(1,('2016 E Maize Soil VWC'!$C$2:$C$6000=$AA281)*('2016 E Maize Soil VWC'!$E$2:$E$6000=$AB281)*('2016 E Maize Soil VWC'!$F$2:$F$6000=AU$5),'2016 E Maize Soil VWC'!$G$2:$G$6000)</f>
        <v>#N/A</v>
      </c>
      <c r="AV281" s="1" t="e" cm="1">
        <f t="array" ref="AV281">_xlfn.XLOOKUP(1,('2016 E Maize Soil VWC'!$C$2:$C$6000=$AA281)*('2016 E Maize Soil VWC'!$E$2:$E$6000=$AB281)*('2016 E Maize Soil VWC'!$F$2:$F$6000=AV$5),'2016 E Maize Soil VWC'!$G$2:$G$6000)</f>
        <v>#N/A</v>
      </c>
    </row>
    <row r="282" spans="25:64" x14ac:dyDescent="0.25">
      <c r="AA282" s="18">
        <f t="shared" si="45"/>
        <v>42369</v>
      </c>
      <c r="AB282" s="1">
        <f t="shared" si="46"/>
        <v>70</v>
      </c>
      <c r="AC282" s="1" t="e" cm="1">
        <f t="array" ref="AC282">_xlfn.XLOOKUP(1,('2016 E Maize Soil VWC'!$C$2:$C$6000=$AA282)*('2016 E Maize Soil VWC'!$E$2:$E$6000=$AB282)*('2016 E Maize Soil VWC'!$F$2:$F$6000=AC$5),'2016 E Maize Soil VWC'!$G$2:$G$6000)</f>
        <v>#N/A</v>
      </c>
      <c r="AD282" s="1" t="e" cm="1">
        <f t="array" ref="AD282">_xlfn.XLOOKUP(1,('2016 E Maize Soil VWC'!$C$2:$C$6000=$AA282)*('2016 E Maize Soil VWC'!$E$2:$E$6000=$AB282)*('2016 E Maize Soil VWC'!$F$2:$F$6000=AD$5),'2016 E Maize Soil VWC'!$G$2:$G$6000)</f>
        <v>#N/A</v>
      </c>
      <c r="AE282" s="1" t="e" cm="1">
        <f t="array" ref="AE282">_xlfn.XLOOKUP(1,('2016 E Maize Soil VWC'!$C$2:$C$6000=$AA282)*('2016 E Maize Soil VWC'!$E$2:$E$6000=$AB282)*('2016 E Maize Soil VWC'!$F$2:$F$6000=AE$5),'2016 E Maize Soil VWC'!$G$2:$G$6000)</f>
        <v>#N/A</v>
      </c>
      <c r="AF282" s="1" t="e" cm="1">
        <f t="array" ref="AF282">_xlfn.XLOOKUP(1,('2016 E Maize Soil VWC'!$C$2:$C$6000=$AA282)*('2016 E Maize Soil VWC'!$E$2:$E$6000=$AB282)*('2016 E Maize Soil VWC'!$F$2:$F$6000=AF$5),'2016 E Maize Soil VWC'!$G$2:$G$6000)</f>
        <v>#N/A</v>
      </c>
      <c r="AG282" s="1" t="e" cm="1">
        <f t="array" ref="AG282">_xlfn.XLOOKUP(1,('2016 E Maize Soil VWC'!$C$2:$C$6000=$AA282)*('2016 E Maize Soil VWC'!$E$2:$E$6000=$AB282)*('2016 E Maize Soil VWC'!$F$2:$F$6000=AG$5),'2016 E Maize Soil VWC'!$G$2:$G$6000)</f>
        <v>#N/A</v>
      </c>
      <c r="AH282" s="1" t="e" cm="1">
        <f t="array" ref="AH282">_xlfn.XLOOKUP(1,('2016 E Maize Soil VWC'!$C$2:$C$6000=$AA282)*('2016 E Maize Soil VWC'!$E$2:$E$6000=$AB282)*('2016 E Maize Soil VWC'!$F$2:$F$6000=AH$5),'2016 E Maize Soil VWC'!$G$2:$G$6000)</f>
        <v>#N/A</v>
      </c>
      <c r="AI282" s="1" t="e" cm="1">
        <f t="array" ref="AI282">_xlfn.XLOOKUP(1,('2016 E Maize Soil VWC'!$C$2:$C$6000=$AA282)*('2016 E Maize Soil VWC'!$E$2:$E$6000=$AB282)*('2016 E Maize Soil VWC'!$F$2:$F$6000=AI$5),'2016 E Maize Soil VWC'!$G$2:$G$6000)</f>
        <v>#N/A</v>
      </c>
      <c r="AJ282" s="1" t="e" cm="1">
        <f t="array" ref="AJ282">_xlfn.XLOOKUP(1,('2016 E Maize Soil VWC'!$C$2:$C$6000=$AA282)*('2016 E Maize Soil VWC'!$E$2:$E$6000=$AB282)*('2016 E Maize Soil VWC'!$F$2:$F$6000=AJ$5),'2016 E Maize Soil VWC'!$G$2:$G$6000)</f>
        <v>#N/A</v>
      </c>
      <c r="AK282" s="1" t="e" cm="1">
        <f t="array" ref="AK282">_xlfn.XLOOKUP(1,('2016 E Maize Soil VWC'!$C$2:$C$6000=$AA282)*('2016 E Maize Soil VWC'!$E$2:$E$6000=$AB282)*('2016 E Maize Soil VWC'!$F$2:$F$6000=AK$5),'2016 E Maize Soil VWC'!$G$2:$G$6000)</f>
        <v>#N/A</v>
      </c>
      <c r="AL282" s="1" t="e" cm="1">
        <f t="array" ref="AL282">_xlfn.XLOOKUP(1,('2016 E Maize Soil VWC'!$C$2:$C$6000=$AA282)*('2016 E Maize Soil VWC'!$E$2:$E$6000=$AB282)*('2016 E Maize Soil VWC'!$F$2:$F$6000=AL$5),'2016 E Maize Soil VWC'!$G$2:$G$6000)</f>
        <v>#N/A</v>
      </c>
      <c r="AM282" s="1" t="e" cm="1">
        <f t="array" ref="AM282">_xlfn.XLOOKUP(1,('2016 E Maize Soil VWC'!$C$2:$C$6000=$AA282)*('2016 E Maize Soil VWC'!$E$2:$E$6000=$AB282)*('2016 E Maize Soil VWC'!$F$2:$F$6000=AM$5),'2016 E Maize Soil VWC'!$G$2:$G$6000)</f>
        <v>#N/A</v>
      </c>
      <c r="AN282" s="1" t="e" cm="1">
        <f t="array" ref="AN282">_xlfn.XLOOKUP(1,('2016 E Maize Soil VWC'!$C$2:$C$6000=$AA282)*('2016 E Maize Soil VWC'!$E$2:$E$6000=$AB282)*('2016 E Maize Soil VWC'!$F$2:$F$6000=AN$5),'2016 E Maize Soil VWC'!$G$2:$G$6000)</f>
        <v>#N/A</v>
      </c>
      <c r="AO282" s="1" t="e" cm="1">
        <f t="array" ref="AO282">_xlfn.XLOOKUP(1,('2016 E Maize Soil VWC'!$C$2:$C$6000=$AA282)*('2016 E Maize Soil VWC'!$E$2:$E$6000=$AB282)*('2016 E Maize Soil VWC'!$F$2:$F$6000=AO$5),'2016 E Maize Soil VWC'!$G$2:$G$6000)</f>
        <v>#N/A</v>
      </c>
      <c r="AP282" s="1" t="e" cm="1">
        <f t="array" ref="AP282">_xlfn.XLOOKUP(1,('2016 E Maize Soil VWC'!$C$2:$C$6000=$AA282)*('2016 E Maize Soil VWC'!$E$2:$E$6000=$AB282)*('2016 E Maize Soil VWC'!$F$2:$F$6000=AP$5),'2016 E Maize Soil VWC'!$G$2:$G$6000)</f>
        <v>#N/A</v>
      </c>
      <c r="AQ282" s="1" t="e" cm="1">
        <f t="array" ref="AQ282">_xlfn.XLOOKUP(1,('2016 E Maize Soil VWC'!$C$2:$C$6000=$AA282)*('2016 E Maize Soil VWC'!$E$2:$E$6000=$AB282)*('2016 E Maize Soil VWC'!$F$2:$F$6000=AQ$5),'2016 E Maize Soil VWC'!$G$2:$G$6000)</f>
        <v>#N/A</v>
      </c>
      <c r="AR282" s="1" t="e" cm="1">
        <f t="array" ref="AR282">_xlfn.XLOOKUP(1,('2016 E Maize Soil VWC'!$C$2:$C$6000=$AA282)*('2016 E Maize Soil VWC'!$E$2:$E$6000=$AB282)*('2016 E Maize Soil VWC'!$F$2:$F$6000=AR$5),'2016 E Maize Soil VWC'!$G$2:$G$6000)</f>
        <v>#N/A</v>
      </c>
      <c r="AS282" s="1" t="e" cm="1">
        <f t="array" ref="AS282">_xlfn.XLOOKUP(1,('2016 E Maize Soil VWC'!$C$2:$C$6000=$AA282)*('2016 E Maize Soil VWC'!$E$2:$E$6000=$AB282)*('2016 E Maize Soil VWC'!$F$2:$F$6000=AS$5),'2016 E Maize Soil VWC'!$G$2:$G$6000)</f>
        <v>#N/A</v>
      </c>
      <c r="AT282" s="1" t="e" cm="1">
        <f t="array" ref="AT282">_xlfn.XLOOKUP(1,('2016 E Maize Soil VWC'!$C$2:$C$6000=$AA282)*('2016 E Maize Soil VWC'!$E$2:$E$6000=$AB282)*('2016 E Maize Soil VWC'!$F$2:$F$6000=AT$5),'2016 E Maize Soil VWC'!$G$2:$G$6000)</f>
        <v>#N/A</v>
      </c>
      <c r="AU282" s="1" t="e" cm="1">
        <f t="array" ref="AU282">_xlfn.XLOOKUP(1,('2016 E Maize Soil VWC'!$C$2:$C$6000=$AA282)*('2016 E Maize Soil VWC'!$E$2:$E$6000=$AB282)*('2016 E Maize Soil VWC'!$F$2:$F$6000=AU$5),'2016 E Maize Soil VWC'!$G$2:$G$6000)</f>
        <v>#N/A</v>
      </c>
      <c r="AV282" s="1" t="e" cm="1">
        <f t="array" ref="AV282">_xlfn.XLOOKUP(1,('2016 E Maize Soil VWC'!$C$2:$C$6000=$AA282)*('2016 E Maize Soil VWC'!$E$2:$E$6000=$AB282)*('2016 E Maize Soil VWC'!$F$2:$F$6000=AV$5),'2016 E Maize Soil VWC'!$G$2:$G$6000)</f>
        <v>#N/A</v>
      </c>
    </row>
    <row r="283" spans="25:64" x14ac:dyDescent="0.25">
      <c r="AA283" s="18">
        <f t="shared" si="45"/>
        <v>42369</v>
      </c>
      <c r="AB283" s="1">
        <f t="shared" si="46"/>
        <v>90</v>
      </c>
      <c r="AC283" s="1" t="e" cm="1">
        <f t="array" ref="AC283">_xlfn.XLOOKUP(1,('2016 E Maize Soil VWC'!$C$2:$C$6000=$AA283)*('2016 E Maize Soil VWC'!$E$2:$E$6000=$AB283)*('2016 E Maize Soil VWC'!$F$2:$F$6000=AC$5),'2016 E Maize Soil VWC'!$G$2:$G$6000)</f>
        <v>#N/A</v>
      </c>
      <c r="AD283" s="1" t="e" cm="1">
        <f t="array" ref="AD283">_xlfn.XLOOKUP(1,('2016 E Maize Soil VWC'!$C$2:$C$6000=$AA283)*('2016 E Maize Soil VWC'!$E$2:$E$6000=$AB283)*('2016 E Maize Soil VWC'!$F$2:$F$6000=AD$5),'2016 E Maize Soil VWC'!$G$2:$G$6000)</f>
        <v>#N/A</v>
      </c>
      <c r="AE283" s="1" t="e" cm="1">
        <f t="array" ref="AE283">_xlfn.XLOOKUP(1,('2016 E Maize Soil VWC'!$C$2:$C$6000=$AA283)*('2016 E Maize Soil VWC'!$E$2:$E$6000=$AB283)*('2016 E Maize Soil VWC'!$F$2:$F$6000=AE$5),'2016 E Maize Soil VWC'!$G$2:$G$6000)</f>
        <v>#N/A</v>
      </c>
      <c r="AF283" s="1" t="e" cm="1">
        <f t="array" ref="AF283">_xlfn.XLOOKUP(1,('2016 E Maize Soil VWC'!$C$2:$C$6000=$AA283)*('2016 E Maize Soil VWC'!$E$2:$E$6000=$AB283)*('2016 E Maize Soil VWC'!$F$2:$F$6000=AF$5),'2016 E Maize Soil VWC'!$G$2:$G$6000)</f>
        <v>#N/A</v>
      </c>
      <c r="AG283" s="1" t="e" cm="1">
        <f t="array" ref="AG283">_xlfn.XLOOKUP(1,('2016 E Maize Soil VWC'!$C$2:$C$6000=$AA283)*('2016 E Maize Soil VWC'!$E$2:$E$6000=$AB283)*('2016 E Maize Soil VWC'!$F$2:$F$6000=AG$5),'2016 E Maize Soil VWC'!$G$2:$G$6000)</f>
        <v>#N/A</v>
      </c>
      <c r="AH283" s="1" t="e" cm="1">
        <f t="array" ref="AH283">_xlfn.XLOOKUP(1,('2016 E Maize Soil VWC'!$C$2:$C$6000=$AA283)*('2016 E Maize Soil VWC'!$E$2:$E$6000=$AB283)*('2016 E Maize Soil VWC'!$F$2:$F$6000=AH$5),'2016 E Maize Soil VWC'!$G$2:$G$6000)</f>
        <v>#N/A</v>
      </c>
      <c r="AI283" s="1" t="e" cm="1">
        <f t="array" ref="AI283">_xlfn.XLOOKUP(1,('2016 E Maize Soil VWC'!$C$2:$C$6000=$AA283)*('2016 E Maize Soil VWC'!$E$2:$E$6000=$AB283)*('2016 E Maize Soil VWC'!$F$2:$F$6000=AI$5),'2016 E Maize Soil VWC'!$G$2:$G$6000)</f>
        <v>#N/A</v>
      </c>
      <c r="AJ283" s="1" t="e" cm="1">
        <f t="array" ref="AJ283">_xlfn.XLOOKUP(1,('2016 E Maize Soil VWC'!$C$2:$C$6000=$AA283)*('2016 E Maize Soil VWC'!$E$2:$E$6000=$AB283)*('2016 E Maize Soil VWC'!$F$2:$F$6000=AJ$5),'2016 E Maize Soil VWC'!$G$2:$G$6000)</f>
        <v>#N/A</v>
      </c>
      <c r="AK283" s="1" t="e" cm="1">
        <f t="array" ref="AK283">_xlfn.XLOOKUP(1,('2016 E Maize Soil VWC'!$C$2:$C$6000=$AA283)*('2016 E Maize Soil VWC'!$E$2:$E$6000=$AB283)*('2016 E Maize Soil VWC'!$F$2:$F$6000=AK$5),'2016 E Maize Soil VWC'!$G$2:$G$6000)</f>
        <v>#N/A</v>
      </c>
      <c r="AL283" s="1" t="e" cm="1">
        <f t="array" ref="AL283">_xlfn.XLOOKUP(1,('2016 E Maize Soil VWC'!$C$2:$C$6000=$AA283)*('2016 E Maize Soil VWC'!$E$2:$E$6000=$AB283)*('2016 E Maize Soil VWC'!$F$2:$F$6000=AL$5),'2016 E Maize Soil VWC'!$G$2:$G$6000)</f>
        <v>#N/A</v>
      </c>
      <c r="AM283" s="1" t="e" cm="1">
        <f t="array" ref="AM283">_xlfn.XLOOKUP(1,('2016 E Maize Soil VWC'!$C$2:$C$6000=$AA283)*('2016 E Maize Soil VWC'!$E$2:$E$6000=$AB283)*('2016 E Maize Soil VWC'!$F$2:$F$6000=AM$5),'2016 E Maize Soil VWC'!$G$2:$G$6000)</f>
        <v>#N/A</v>
      </c>
      <c r="AN283" s="1" t="e" cm="1">
        <f t="array" ref="AN283">_xlfn.XLOOKUP(1,('2016 E Maize Soil VWC'!$C$2:$C$6000=$AA283)*('2016 E Maize Soil VWC'!$E$2:$E$6000=$AB283)*('2016 E Maize Soil VWC'!$F$2:$F$6000=AN$5),'2016 E Maize Soil VWC'!$G$2:$G$6000)</f>
        <v>#N/A</v>
      </c>
      <c r="AO283" s="1" t="e" cm="1">
        <f t="array" ref="AO283">_xlfn.XLOOKUP(1,('2016 E Maize Soil VWC'!$C$2:$C$6000=$AA283)*('2016 E Maize Soil VWC'!$E$2:$E$6000=$AB283)*('2016 E Maize Soil VWC'!$F$2:$F$6000=AO$5),'2016 E Maize Soil VWC'!$G$2:$G$6000)</f>
        <v>#N/A</v>
      </c>
      <c r="AP283" s="1" t="e" cm="1">
        <f t="array" ref="AP283">_xlfn.XLOOKUP(1,('2016 E Maize Soil VWC'!$C$2:$C$6000=$AA283)*('2016 E Maize Soil VWC'!$E$2:$E$6000=$AB283)*('2016 E Maize Soil VWC'!$F$2:$F$6000=AP$5),'2016 E Maize Soil VWC'!$G$2:$G$6000)</f>
        <v>#N/A</v>
      </c>
      <c r="AQ283" s="1" t="e" cm="1">
        <f t="array" ref="AQ283">_xlfn.XLOOKUP(1,('2016 E Maize Soil VWC'!$C$2:$C$6000=$AA283)*('2016 E Maize Soil VWC'!$E$2:$E$6000=$AB283)*('2016 E Maize Soil VWC'!$F$2:$F$6000=AQ$5),'2016 E Maize Soil VWC'!$G$2:$G$6000)</f>
        <v>#N/A</v>
      </c>
      <c r="AR283" s="1" t="e" cm="1">
        <f t="array" ref="AR283">_xlfn.XLOOKUP(1,('2016 E Maize Soil VWC'!$C$2:$C$6000=$AA283)*('2016 E Maize Soil VWC'!$E$2:$E$6000=$AB283)*('2016 E Maize Soil VWC'!$F$2:$F$6000=AR$5),'2016 E Maize Soil VWC'!$G$2:$G$6000)</f>
        <v>#N/A</v>
      </c>
      <c r="AS283" s="1" t="e" cm="1">
        <f t="array" ref="AS283">_xlfn.XLOOKUP(1,('2016 E Maize Soil VWC'!$C$2:$C$6000=$AA283)*('2016 E Maize Soil VWC'!$E$2:$E$6000=$AB283)*('2016 E Maize Soil VWC'!$F$2:$F$6000=AS$5),'2016 E Maize Soil VWC'!$G$2:$G$6000)</f>
        <v>#N/A</v>
      </c>
      <c r="AT283" s="1" t="e" cm="1">
        <f t="array" ref="AT283">_xlfn.XLOOKUP(1,('2016 E Maize Soil VWC'!$C$2:$C$6000=$AA283)*('2016 E Maize Soil VWC'!$E$2:$E$6000=$AB283)*('2016 E Maize Soil VWC'!$F$2:$F$6000=AT$5),'2016 E Maize Soil VWC'!$G$2:$G$6000)</f>
        <v>#N/A</v>
      </c>
      <c r="AU283" s="1" t="e" cm="1">
        <f t="array" ref="AU283">_xlfn.XLOOKUP(1,('2016 E Maize Soil VWC'!$C$2:$C$6000=$AA283)*('2016 E Maize Soil VWC'!$E$2:$E$6000=$AB283)*('2016 E Maize Soil VWC'!$F$2:$F$6000=AU$5),'2016 E Maize Soil VWC'!$G$2:$G$6000)</f>
        <v>#N/A</v>
      </c>
      <c r="AV283" s="1" t="e" cm="1">
        <f t="array" ref="AV283">_xlfn.XLOOKUP(1,('2016 E Maize Soil VWC'!$C$2:$C$6000=$AA283)*('2016 E Maize Soil VWC'!$E$2:$E$6000=$AB283)*('2016 E Maize Soil VWC'!$F$2:$F$6000=AV$5),'2016 E Maize Soil VWC'!$G$2:$G$6000)</f>
        <v>#N/A</v>
      </c>
    </row>
    <row r="284" spans="25:64" x14ac:dyDescent="0.25">
      <c r="AA284" s="18">
        <f t="shared" si="45"/>
        <v>42369</v>
      </c>
      <c r="AB284" s="1">
        <f t="shared" si="46"/>
        <v>110</v>
      </c>
      <c r="AC284" s="1" t="e" cm="1">
        <f t="array" ref="AC284">_xlfn.XLOOKUP(1,('2016 E Maize Soil VWC'!$C$2:$C$6000=$AA284)*('2016 E Maize Soil VWC'!$E$2:$E$6000=$AB284)*('2016 E Maize Soil VWC'!$F$2:$F$6000=AC$5),'2016 E Maize Soil VWC'!$G$2:$G$6000)</f>
        <v>#N/A</v>
      </c>
      <c r="AD284" s="1" t="e" cm="1">
        <f t="array" ref="AD284">_xlfn.XLOOKUP(1,('2016 E Maize Soil VWC'!$C$2:$C$6000=$AA284)*('2016 E Maize Soil VWC'!$E$2:$E$6000=$AB284)*('2016 E Maize Soil VWC'!$F$2:$F$6000=AD$5),'2016 E Maize Soil VWC'!$G$2:$G$6000)</f>
        <v>#N/A</v>
      </c>
      <c r="AE284" s="1" t="e" cm="1">
        <f t="array" ref="AE284">_xlfn.XLOOKUP(1,('2016 E Maize Soil VWC'!$C$2:$C$6000=$AA284)*('2016 E Maize Soil VWC'!$E$2:$E$6000=$AB284)*('2016 E Maize Soil VWC'!$F$2:$F$6000=AE$5),'2016 E Maize Soil VWC'!$G$2:$G$6000)</f>
        <v>#N/A</v>
      </c>
      <c r="AF284" s="1" t="e" cm="1">
        <f t="array" ref="AF284">_xlfn.XLOOKUP(1,('2016 E Maize Soil VWC'!$C$2:$C$6000=$AA284)*('2016 E Maize Soil VWC'!$E$2:$E$6000=$AB284)*('2016 E Maize Soil VWC'!$F$2:$F$6000=AF$5),'2016 E Maize Soil VWC'!$G$2:$G$6000)</f>
        <v>#N/A</v>
      </c>
      <c r="AG284" s="1" t="e" cm="1">
        <f t="array" ref="AG284">_xlfn.XLOOKUP(1,('2016 E Maize Soil VWC'!$C$2:$C$6000=$AA284)*('2016 E Maize Soil VWC'!$E$2:$E$6000=$AB284)*('2016 E Maize Soil VWC'!$F$2:$F$6000=AG$5),'2016 E Maize Soil VWC'!$G$2:$G$6000)</f>
        <v>#N/A</v>
      </c>
      <c r="AH284" s="1" t="e" cm="1">
        <f t="array" ref="AH284">_xlfn.XLOOKUP(1,('2016 E Maize Soil VWC'!$C$2:$C$6000=$AA284)*('2016 E Maize Soil VWC'!$E$2:$E$6000=$AB284)*('2016 E Maize Soil VWC'!$F$2:$F$6000=AH$5),'2016 E Maize Soil VWC'!$G$2:$G$6000)</f>
        <v>#N/A</v>
      </c>
      <c r="AI284" s="1" t="e" cm="1">
        <f t="array" ref="AI284">_xlfn.XLOOKUP(1,('2016 E Maize Soil VWC'!$C$2:$C$6000=$AA284)*('2016 E Maize Soil VWC'!$E$2:$E$6000=$AB284)*('2016 E Maize Soil VWC'!$F$2:$F$6000=AI$5),'2016 E Maize Soil VWC'!$G$2:$G$6000)</f>
        <v>#N/A</v>
      </c>
      <c r="AJ284" s="1" t="e" cm="1">
        <f t="array" ref="AJ284">_xlfn.XLOOKUP(1,('2016 E Maize Soil VWC'!$C$2:$C$6000=$AA284)*('2016 E Maize Soil VWC'!$E$2:$E$6000=$AB284)*('2016 E Maize Soil VWC'!$F$2:$F$6000=AJ$5),'2016 E Maize Soil VWC'!$G$2:$G$6000)</f>
        <v>#N/A</v>
      </c>
      <c r="AK284" s="1" t="e" cm="1">
        <f t="array" ref="AK284">_xlfn.XLOOKUP(1,('2016 E Maize Soil VWC'!$C$2:$C$6000=$AA284)*('2016 E Maize Soil VWC'!$E$2:$E$6000=$AB284)*('2016 E Maize Soil VWC'!$F$2:$F$6000=AK$5),'2016 E Maize Soil VWC'!$G$2:$G$6000)</f>
        <v>#N/A</v>
      </c>
      <c r="AL284" s="1" t="e" cm="1">
        <f t="array" ref="AL284">_xlfn.XLOOKUP(1,('2016 E Maize Soil VWC'!$C$2:$C$6000=$AA284)*('2016 E Maize Soil VWC'!$E$2:$E$6000=$AB284)*('2016 E Maize Soil VWC'!$F$2:$F$6000=AL$5),'2016 E Maize Soil VWC'!$G$2:$G$6000)</f>
        <v>#N/A</v>
      </c>
      <c r="AM284" s="1" t="e" cm="1">
        <f t="array" ref="AM284">_xlfn.XLOOKUP(1,('2016 E Maize Soil VWC'!$C$2:$C$6000=$AA284)*('2016 E Maize Soil VWC'!$E$2:$E$6000=$AB284)*('2016 E Maize Soil VWC'!$F$2:$F$6000=AM$5),'2016 E Maize Soil VWC'!$G$2:$G$6000)</f>
        <v>#N/A</v>
      </c>
      <c r="AN284" s="1" t="e" cm="1">
        <f t="array" ref="AN284">_xlfn.XLOOKUP(1,('2016 E Maize Soil VWC'!$C$2:$C$6000=$AA284)*('2016 E Maize Soil VWC'!$E$2:$E$6000=$AB284)*('2016 E Maize Soil VWC'!$F$2:$F$6000=AN$5),'2016 E Maize Soil VWC'!$G$2:$G$6000)</f>
        <v>#N/A</v>
      </c>
      <c r="AO284" s="1" t="e" cm="1">
        <f t="array" ref="AO284">_xlfn.XLOOKUP(1,('2016 E Maize Soil VWC'!$C$2:$C$6000=$AA284)*('2016 E Maize Soil VWC'!$E$2:$E$6000=$AB284)*('2016 E Maize Soil VWC'!$F$2:$F$6000=AO$5),'2016 E Maize Soil VWC'!$G$2:$G$6000)</f>
        <v>#N/A</v>
      </c>
      <c r="AP284" s="1" t="e" cm="1">
        <f t="array" ref="AP284">_xlfn.XLOOKUP(1,('2016 E Maize Soil VWC'!$C$2:$C$6000=$AA284)*('2016 E Maize Soil VWC'!$E$2:$E$6000=$AB284)*('2016 E Maize Soil VWC'!$F$2:$F$6000=AP$5),'2016 E Maize Soil VWC'!$G$2:$G$6000)</f>
        <v>#N/A</v>
      </c>
      <c r="AQ284" s="1" t="e" cm="1">
        <f t="array" ref="AQ284">_xlfn.XLOOKUP(1,('2016 E Maize Soil VWC'!$C$2:$C$6000=$AA284)*('2016 E Maize Soil VWC'!$E$2:$E$6000=$AB284)*('2016 E Maize Soil VWC'!$F$2:$F$6000=AQ$5),'2016 E Maize Soil VWC'!$G$2:$G$6000)</f>
        <v>#N/A</v>
      </c>
      <c r="AR284" s="1" t="e" cm="1">
        <f t="array" ref="AR284">_xlfn.XLOOKUP(1,('2016 E Maize Soil VWC'!$C$2:$C$6000=$AA284)*('2016 E Maize Soil VWC'!$E$2:$E$6000=$AB284)*('2016 E Maize Soil VWC'!$F$2:$F$6000=AR$5),'2016 E Maize Soil VWC'!$G$2:$G$6000)</f>
        <v>#N/A</v>
      </c>
      <c r="AS284" s="1" t="e" cm="1">
        <f t="array" ref="AS284">_xlfn.XLOOKUP(1,('2016 E Maize Soil VWC'!$C$2:$C$6000=$AA284)*('2016 E Maize Soil VWC'!$E$2:$E$6000=$AB284)*('2016 E Maize Soil VWC'!$F$2:$F$6000=AS$5),'2016 E Maize Soil VWC'!$G$2:$G$6000)</f>
        <v>#N/A</v>
      </c>
      <c r="AT284" s="1" t="e" cm="1">
        <f t="array" ref="AT284">_xlfn.XLOOKUP(1,('2016 E Maize Soil VWC'!$C$2:$C$6000=$AA284)*('2016 E Maize Soil VWC'!$E$2:$E$6000=$AB284)*('2016 E Maize Soil VWC'!$F$2:$F$6000=AT$5),'2016 E Maize Soil VWC'!$G$2:$G$6000)</f>
        <v>#N/A</v>
      </c>
      <c r="AU284" s="1" t="e" cm="1">
        <f t="array" ref="AU284">_xlfn.XLOOKUP(1,('2016 E Maize Soil VWC'!$C$2:$C$6000=$AA284)*('2016 E Maize Soil VWC'!$E$2:$E$6000=$AB284)*('2016 E Maize Soil VWC'!$F$2:$F$6000=AU$5),'2016 E Maize Soil VWC'!$G$2:$G$6000)</f>
        <v>#N/A</v>
      </c>
      <c r="AV284" s="1" t="e" cm="1">
        <f t="array" ref="AV284">_xlfn.XLOOKUP(1,('2016 E Maize Soil VWC'!$C$2:$C$6000=$AA284)*('2016 E Maize Soil VWC'!$E$2:$E$6000=$AB284)*('2016 E Maize Soil VWC'!$F$2:$F$6000=AV$5),'2016 E Maize Soil VWC'!$G$2:$G$6000)</f>
        <v>#N/A</v>
      </c>
    </row>
    <row r="285" spans="25:64" x14ac:dyDescent="0.25">
      <c r="AA285" s="18">
        <f t="shared" si="45"/>
        <v>42369</v>
      </c>
      <c r="AB285" s="1">
        <f t="shared" si="46"/>
        <v>130</v>
      </c>
      <c r="AC285" s="1" t="e" cm="1">
        <f t="array" ref="AC285">_xlfn.XLOOKUP(1,('2016 E Maize Soil VWC'!$C$2:$C$6000=$AA285)*('2016 E Maize Soil VWC'!$E$2:$E$6000=$AB285)*('2016 E Maize Soil VWC'!$F$2:$F$6000=AC$5),'2016 E Maize Soil VWC'!$G$2:$G$6000)</f>
        <v>#N/A</v>
      </c>
      <c r="AD285" s="1" t="e" cm="1">
        <f t="array" ref="AD285">_xlfn.XLOOKUP(1,('2016 E Maize Soil VWC'!$C$2:$C$6000=$AA285)*('2016 E Maize Soil VWC'!$E$2:$E$6000=$AB285)*('2016 E Maize Soil VWC'!$F$2:$F$6000=AD$5),'2016 E Maize Soil VWC'!$G$2:$G$6000)</f>
        <v>#N/A</v>
      </c>
      <c r="AE285" s="1" t="e" cm="1">
        <f t="array" ref="AE285">_xlfn.XLOOKUP(1,('2016 E Maize Soil VWC'!$C$2:$C$6000=$AA285)*('2016 E Maize Soil VWC'!$E$2:$E$6000=$AB285)*('2016 E Maize Soil VWC'!$F$2:$F$6000=AE$5),'2016 E Maize Soil VWC'!$G$2:$G$6000)</f>
        <v>#N/A</v>
      </c>
      <c r="AF285" s="1" t="e" cm="1">
        <f t="array" ref="AF285">_xlfn.XLOOKUP(1,('2016 E Maize Soil VWC'!$C$2:$C$6000=$AA285)*('2016 E Maize Soil VWC'!$E$2:$E$6000=$AB285)*('2016 E Maize Soil VWC'!$F$2:$F$6000=AF$5),'2016 E Maize Soil VWC'!$G$2:$G$6000)</f>
        <v>#N/A</v>
      </c>
      <c r="AG285" s="1" t="e" cm="1">
        <f t="array" ref="AG285">_xlfn.XLOOKUP(1,('2016 E Maize Soil VWC'!$C$2:$C$6000=$AA285)*('2016 E Maize Soil VWC'!$E$2:$E$6000=$AB285)*('2016 E Maize Soil VWC'!$F$2:$F$6000=AG$5),'2016 E Maize Soil VWC'!$G$2:$G$6000)</f>
        <v>#N/A</v>
      </c>
      <c r="AH285" s="1" t="e" cm="1">
        <f t="array" ref="AH285">_xlfn.XLOOKUP(1,('2016 E Maize Soil VWC'!$C$2:$C$6000=$AA285)*('2016 E Maize Soil VWC'!$E$2:$E$6000=$AB285)*('2016 E Maize Soil VWC'!$F$2:$F$6000=AH$5),'2016 E Maize Soil VWC'!$G$2:$G$6000)</f>
        <v>#N/A</v>
      </c>
      <c r="AI285" s="1" t="e" cm="1">
        <f t="array" ref="AI285">_xlfn.XLOOKUP(1,('2016 E Maize Soil VWC'!$C$2:$C$6000=$AA285)*('2016 E Maize Soil VWC'!$E$2:$E$6000=$AB285)*('2016 E Maize Soil VWC'!$F$2:$F$6000=AI$5),'2016 E Maize Soil VWC'!$G$2:$G$6000)</f>
        <v>#N/A</v>
      </c>
      <c r="AJ285" s="1" t="e" cm="1">
        <f t="array" ref="AJ285">_xlfn.XLOOKUP(1,('2016 E Maize Soil VWC'!$C$2:$C$6000=$AA285)*('2016 E Maize Soil VWC'!$E$2:$E$6000=$AB285)*('2016 E Maize Soil VWC'!$F$2:$F$6000=AJ$5),'2016 E Maize Soil VWC'!$G$2:$G$6000)</f>
        <v>#N/A</v>
      </c>
      <c r="AK285" s="1" t="e" cm="1">
        <f t="array" ref="AK285">_xlfn.XLOOKUP(1,('2016 E Maize Soil VWC'!$C$2:$C$6000=$AA285)*('2016 E Maize Soil VWC'!$E$2:$E$6000=$AB285)*('2016 E Maize Soil VWC'!$F$2:$F$6000=AK$5),'2016 E Maize Soil VWC'!$G$2:$G$6000)</f>
        <v>#N/A</v>
      </c>
      <c r="AL285" s="1" t="e" cm="1">
        <f t="array" ref="AL285">_xlfn.XLOOKUP(1,('2016 E Maize Soil VWC'!$C$2:$C$6000=$AA285)*('2016 E Maize Soil VWC'!$E$2:$E$6000=$AB285)*('2016 E Maize Soil VWC'!$F$2:$F$6000=AL$5),'2016 E Maize Soil VWC'!$G$2:$G$6000)</f>
        <v>#N/A</v>
      </c>
      <c r="AM285" s="1" t="e" cm="1">
        <f t="array" ref="AM285">_xlfn.XLOOKUP(1,('2016 E Maize Soil VWC'!$C$2:$C$6000=$AA285)*('2016 E Maize Soil VWC'!$E$2:$E$6000=$AB285)*('2016 E Maize Soil VWC'!$F$2:$F$6000=AM$5),'2016 E Maize Soil VWC'!$G$2:$G$6000)</f>
        <v>#N/A</v>
      </c>
      <c r="AN285" s="1" t="e" cm="1">
        <f t="array" ref="AN285">_xlfn.XLOOKUP(1,('2016 E Maize Soil VWC'!$C$2:$C$6000=$AA285)*('2016 E Maize Soil VWC'!$E$2:$E$6000=$AB285)*('2016 E Maize Soil VWC'!$F$2:$F$6000=AN$5),'2016 E Maize Soil VWC'!$G$2:$G$6000)</f>
        <v>#N/A</v>
      </c>
      <c r="AO285" s="1" t="e" cm="1">
        <f t="array" ref="AO285">_xlfn.XLOOKUP(1,('2016 E Maize Soil VWC'!$C$2:$C$6000=$AA285)*('2016 E Maize Soil VWC'!$E$2:$E$6000=$AB285)*('2016 E Maize Soil VWC'!$F$2:$F$6000=AO$5),'2016 E Maize Soil VWC'!$G$2:$G$6000)</f>
        <v>#N/A</v>
      </c>
      <c r="AP285" s="1" t="e" cm="1">
        <f t="array" ref="AP285">_xlfn.XLOOKUP(1,('2016 E Maize Soil VWC'!$C$2:$C$6000=$AA285)*('2016 E Maize Soil VWC'!$E$2:$E$6000=$AB285)*('2016 E Maize Soil VWC'!$F$2:$F$6000=AP$5),'2016 E Maize Soil VWC'!$G$2:$G$6000)</f>
        <v>#N/A</v>
      </c>
      <c r="AQ285" s="1" t="e" cm="1">
        <f t="array" ref="AQ285">_xlfn.XLOOKUP(1,('2016 E Maize Soil VWC'!$C$2:$C$6000=$AA285)*('2016 E Maize Soil VWC'!$E$2:$E$6000=$AB285)*('2016 E Maize Soil VWC'!$F$2:$F$6000=AQ$5),'2016 E Maize Soil VWC'!$G$2:$G$6000)</f>
        <v>#N/A</v>
      </c>
      <c r="AR285" s="1" t="e" cm="1">
        <f t="array" ref="AR285">_xlfn.XLOOKUP(1,('2016 E Maize Soil VWC'!$C$2:$C$6000=$AA285)*('2016 E Maize Soil VWC'!$E$2:$E$6000=$AB285)*('2016 E Maize Soil VWC'!$F$2:$F$6000=AR$5),'2016 E Maize Soil VWC'!$G$2:$G$6000)</f>
        <v>#N/A</v>
      </c>
      <c r="AS285" s="1" t="e" cm="1">
        <f t="array" ref="AS285">_xlfn.XLOOKUP(1,('2016 E Maize Soil VWC'!$C$2:$C$6000=$AA285)*('2016 E Maize Soil VWC'!$E$2:$E$6000=$AB285)*('2016 E Maize Soil VWC'!$F$2:$F$6000=AS$5),'2016 E Maize Soil VWC'!$G$2:$G$6000)</f>
        <v>#N/A</v>
      </c>
      <c r="AT285" s="1" t="e" cm="1">
        <f t="array" ref="AT285">_xlfn.XLOOKUP(1,('2016 E Maize Soil VWC'!$C$2:$C$6000=$AA285)*('2016 E Maize Soil VWC'!$E$2:$E$6000=$AB285)*('2016 E Maize Soil VWC'!$F$2:$F$6000=AT$5),'2016 E Maize Soil VWC'!$G$2:$G$6000)</f>
        <v>#N/A</v>
      </c>
      <c r="AU285" s="1" t="e" cm="1">
        <f t="array" ref="AU285">_xlfn.XLOOKUP(1,('2016 E Maize Soil VWC'!$C$2:$C$6000=$AA285)*('2016 E Maize Soil VWC'!$E$2:$E$6000=$AB285)*('2016 E Maize Soil VWC'!$F$2:$F$6000=AU$5),'2016 E Maize Soil VWC'!$G$2:$G$6000)</f>
        <v>#N/A</v>
      </c>
      <c r="AV285" s="1" t="e" cm="1">
        <f t="array" ref="AV285">_xlfn.XLOOKUP(1,('2016 E Maize Soil VWC'!$C$2:$C$6000=$AA285)*('2016 E Maize Soil VWC'!$E$2:$E$6000=$AB285)*('2016 E Maize Soil VWC'!$F$2:$F$6000=AV$5),'2016 E Maize Soil VWC'!$G$2:$G$6000)</f>
        <v>#N/A</v>
      </c>
    </row>
    <row r="286" spans="25:64" x14ac:dyDescent="0.25">
      <c r="AA286" s="18">
        <f t="shared" si="45"/>
        <v>42369</v>
      </c>
      <c r="AB286" s="1">
        <f t="shared" si="46"/>
        <v>150</v>
      </c>
      <c r="AC286" s="1" t="e" cm="1">
        <f t="array" ref="AC286">_xlfn.XLOOKUP(1,('2016 E Maize Soil VWC'!$C$2:$C$6000=$AA286)*('2016 E Maize Soil VWC'!$E$2:$E$6000=$AB286)*('2016 E Maize Soil VWC'!$F$2:$F$6000=AC$5),'2016 E Maize Soil VWC'!$G$2:$G$6000)</f>
        <v>#N/A</v>
      </c>
      <c r="AD286" s="1" t="e" cm="1">
        <f t="array" ref="AD286">_xlfn.XLOOKUP(1,('2016 E Maize Soil VWC'!$C$2:$C$6000=$AA286)*('2016 E Maize Soil VWC'!$E$2:$E$6000=$AB286)*('2016 E Maize Soil VWC'!$F$2:$F$6000=AD$5),'2016 E Maize Soil VWC'!$G$2:$G$6000)</f>
        <v>#N/A</v>
      </c>
      <c r="AE286" s="1" t="e" cm="1">
        <f t="array" ref="AE286">_xlfn.XLOOKUP(1,('2016 E Maize Soil VWC'!$C$2:$C$6000=$AA286)*('2016 E Maize Soil VWC'!$E$2:$E$6000=$AB286)*('2016 E Maize Soil VWC'!$F$2:$F$6000=AE$5),'2016 E Maize Soil VWC'!$G$2:$G$6000)</f>
        <v>#N/A</v>
      </c>
      <c r="AF286" s="1" t="e" cm="1">
        <f t="array" ref="AF286">_xlfn.XLOOKUP(1,('2016 E Maize Soil VWC'!$C$2:$C$6000=$AA286)*('2016 E Maize Soil VWC'!$E$2:$E$6000=$AB286)*('2016 E Maize Soil VWC'!$F$2:$F$6000=AF$5),'2016 E Maize Soil VWC'!$G$2:$G$6000)</f>
        <v>#N/A</v>
      </c>
      <c r="AG286" s="1" t="e" cm="1">
        <f t="array" ref="AG286">_xlfn.XLOOKUP(1,('2016 E Maize Soil VWC'!$C$2:$C$6000=$AA286)*('2016 E Maize Soil VWC'!$E$2:$E$6000=$AB286)*('2016 E Maize Soil VWC'!$F$2:$F$6000=AG$5),'2016 E Maize Soil VWC'!$G$2:$G$6000)</f>
        <v>#N/A</v>
      </c>
      <c r="AH286" s="1" t="e" cm="1">
        <f t="array" ref="AH286">_xlfn.XLOOKUP(1,('2016 E Maize Soil VWC'!$C$2:$C$6000=$AA286)*('2016 E Maize Soil VWC'!$E$2:$E$6000=$AB286)*('2016 E Maize Soil VWC'!$F$2:$F$6000=AH$5),'2016 E Maize Soil VWC'!$G$2:$G$6000)</f>
        <v>#N/A</v>
      </c>
      <c r="AI286" s="1" t="e" cm="1">
        <f t="array" ref="AI286">_xlfn.XLOOKUP(1,('2016 E Maize Soil VWC'!$C$2:$C$6000=$AA286)*('2016 E Maize Soil VWC'!$E$2:$E$6000=$AB286)*('2016 E Maize Soil VWC'!$F$2:$F$6000=AI$5),'2016 E Maize Soil VWC'!$G$2:$G$6000)</f>
        <v>#N/A</v>
      </c>
      <c r="AJ286" s="1" t="e" cm="1">
        <f t="array" ref="AJ286">_xlfn.XLOOKUP(1,('2016 E Maize Soil VWC'!$C$2:$C$6000=$AA286)*('2016 E Maize Soil VWC'!$E$2:$E$6000=$AB286)*('2016 E Maize Soil VWC'!$F$2:$F$6000=AJ$5),'2016 E Maize Soil VWC'!$G$2:$G$6000)</f>
        <v>#N/A</v>
      </c>
      <c r="AK286" s="1" t="e" cm="1">
        <f t="array" ref="AK286">_xlfn.XLOOKUP(1,('2016 E Maize Soil VWC'!$C$2:$C$6000=$AA286)*('2016 E Maize Soil VWC'!$E$2:$E$6000=$AB286)*('2016 E Maize Soil VWC'!$F$2:$F$6000=AK$5),'2016 E Maize Soil VWC'!$G$2:$G$6000)</f>
        <v>#N/A</v>
      </c>
      <c r="AL286" s="1" t="e" cm="1">
        <f t="array" ref="AL286">_xlfn.XLOOKUP(1,('2016 E Maize Soil VWC'!$C$2:$C$6000=$AA286)*('2016 E Maize Soil VWC'!$E$2:$E$6000=$AB286)*('2016 E Maize Soil VWC'!$F$2:$F$6000=AL$5),'2016 E Maize Soil VWC'!$G$2:$G$6000)</f>
        <v>#N/A</v>
      </c>
      <c r="AM286" s="1" t="e" cm="1">
        <f t="array" ref="AM286">_xlfn.XLOOKUP(1,('2016 E Maize Soil VWC'!$C$2:$C$6000=$AA286)*('2016 E Maize Soil VWC'!$E$2:$E$6000=$AB286)*('2016 E Maize Soil VWC'!$F$2:$F$6000=AM$5),'2016 E Maize Soil VWC'!$G$2:$G$6000)</f>
        <v>#N/A</v>
      </c>
      <c r="AN286" s="1" t="e" cm="1">
        <f t="array" ref="AN286">_xlfn.XLOOKUP(1,('2016 E Maize Soil VWC'!$C$2:$C$6000=$AA286)*('2016 E Maize Soil VWC'!$E$2:$E$6000=$AB286)*('2016 E Maize Soil VWC'!$F$2:$F$6000=AN$5),'2016 E Maize Soil VWC'!$G$2:$G$6000)</f>
        <v>#N/A</v>
      </c>
      <c r="AO286" s="1" t="e" cm="1">
        <f t="array" ref="AO286">_xlfn.XLOOKUP(1,('2016 E Maize Soil VWC'!$C$2:$C$6000=$AA286)*('2016 E Maize Soil VWC'!$E$2:$E$6000=$AB286)*('2016 E Maize Soil VWC'!$F$2:$F$6000=AO$5),'2016 E Maize Soil VWC'!$G$2:$G$6000)</f>
        <v>#N/A</v>
      </c>
      <c r="AP286" s="1" t="e" cm="1">
        <f t="array" ref="AP286">_xlfn.XLOOKUP(1,('2016 E Maize Soil VWC'!$C$2:$C$6000=$AA286)*('2016 E Maize Soil VWC'!$E$2:$E$6000=$AB286)*('2016 E Maize Soil VWC'!$F$2:$F$6000=AP$5),'2016 E Maize Soil VWC'!$G$2:$G$6000)</f>
        <v>#N/A</v>
      </c>
      <c r="AQ286" s="1" t="e" cm="1">
        <f t="array" ref="AQ286">_xlfn.XLOOKUP(1,('2016 E Maize Soil VWC'!$C$2:$C$6000=$AA286)*('2016 E Maize Soil VWC'!$E$2:$E$6000=$AB286)*('2016 E Maize Soil VWC'!$F$2:$F$6000=AQ$5),'2016 E Maize Soil VWC'!$G$2:$G$6000)</f>
        <v>#N/A</v>
      </c>
      <c r="AR286" s="1" t="e" cm="1">
        <f t="array" ref="AR286">_xlfn.XLOOKUP(1,('2016 E Maize Soil VWC'!$C$2:$C$6000=$AA286)*('2016 E Maize Soil VWC'!$E$2:$E$6000=$AB286)*('2016 E Maize Soil VWC'!$F$2:$F$6000=AR$5),'2016 E Maize Soil VWC'!$G$2:$G$6000)</f>
        <v>#N/A</v>
      </c>
      <c r="AS286" s="1" t="e" cm="1">
        <f t="array" ref="AS286">_xlfn.XLOOKUP(1,('2016 E Maize Soil VWC'!$C$2:$C$6000=$AA286)*('2016 E Maize Soil VWC'!$E$2:$E$6000=$AB286)*('2016 E Maize Soil VWC'!$F$2:$F$6000=AS$5),'2016 E Maize Soil VWC'!$G$2:$G$6000)</f>
        <v>#N/A</v>
      </c>
      <c r="AT286" s="1" t="e" cm="1">
        <f t="array" ref="AT286">_xlfn.XLOOKUP(1,('2016 E Maize Soil VWC'!$C$2:$C$6000=$AA286)*('2016 E Maize Soil VWC'!$E$2:$E$6000=$AB286)*('2016 E Maize Soil VWC'!$F$2:$F$6000=AT$5),'2016 E Maize Soil VWC'!$G$2:$G$6000)</f>
        <v>#N/A</v>
      </c>
      <c r="AU286" s="1" t="e" cm="1">
        <f t="array" ref="AU286">_xlfn.XLOOKUP(1,('2016 E Maize Soil VWC'!$C$2:$C$6000=$AA286)*('2016 E Maize Soil VWC'!$E$2:$E$6000=$AB286)*('2016 E Maize Soil VWC'!$F$2:$F$6000=AU$5),'2016 E Maize Soil VWC'!$G$2:$G$6000)</f>
        <v>#N/A</v>
      </c>
      <c r="AV286" s="1" t="e" cm="1">
        <f t="array" ref="AV286">_xlfn.XLOOKUP(1,('2016 E Maize Soil VWC'!$C$2:$C$6000=$AA286)*('2016 E Maize Soil VWC'!$E$2:$E$6000=$AB286)*('2016 E Maize Soil VWC'!$F$2:$F$6000=AV$5),'2016 E Maize Soil VWC'!$G$2:$G$6000)</f>
        <v>#N/A</v>
      </c>
    </row>
    <row r="287" spans="25:64" x14ac:dyDescent="0.25">
      <c r="AA287" s="18">
        <f t="shared" si="45"/>
        <v>42369</v>
      </c>
      <c r="AB287" s="1">
        <f t="shared" si="46"/>
        <v>170</v>
      </c>
      <c r="AC287" s="1" t="e" cm="1">
        <f t="array" ref="AC287">_xlfn.XLOOKUP(1,('2016 E Maize Soil VWC'!$C$2:$C$6000=$AA287)*('2016 E Maize Soil VWC'!$E$2:$E$6000=$AB287)*('2016 E Maize Soil VWC'!$F$2:$F$6000=AC$5),'2016 E Maize Soil VWC'!$G$2:$G$6000)</f>
        <v>#N/A</v>
      </c>
      <c r="AD287" s="1" t="e" cm="1">
        <f t="array" ref="AD287">_xlfn.XLOOKUP(1,('2016 E Maize Soil VWC'!$C$2:$C$6000=$AA287)*('2016 E Maize Soil VWC'!$E$2:$E$6000=$AB287)*('2016 E Maize Soil VWC'!$F$2:$F$6000=AD$5),'2016 E Maize Soil VWC'!$G$2:$G$6000)</f>
        <v>#N/A</v>
      </c>
      <c r="AE287" s="1" t="e" cm="1">
        <f t="array" ref="AE287">_xlfn.XLOOKUP(1,('2016 E Maize Soil VWC'!$C$2:$C$6000=$AA287)*('2016 E Maize Soil VWC'!$E$2:$E$6000=$AB287)*('2016 E Maize Soil VWC'!$F$2:$F$6000=AE$5),'2016 E Maize Soil VWC'!$G$2:$G$6000)</f>
        <v>#N/A</v>
      </c>
      <c r="AF287" s="1" t="e" cm="1">
        <f t="array" ref="AF287">_xlfn.XLOOKUP(1,('2016 E Maize Soil VWC'!$C$2:$C$6000=$AA287)*('2016 E Maize Soil VWC'!$E$2:$E$6000=$AB287)*('2016 E Maize Soil VWC'!$F$2:$F$6000=AF$5),'2016 E Maize Soil VWC'!$G$2:$G$6000)</f>
        <v>#N/A</v>
      </c>
      <c r="AG287" s="1" t="e" cm="1">
        <f t="array" ref="AG287">_xlfn.XLOOKUP(1,('2016 E Maize Soil VWC'!$C$2:$C$6000=$AA287)*('2016 E Maize Soil VWC'!$E$2:$E$6000=$AB287)*('2016 E Maize Soil VWC'!$F$2:$F$6000=AG$5),'2016 E Maize Soil VWC'!$G$2:$G$6000)</f>
        <v>#N/A</v>
      </c>
      <c r="AH287" s="1" t="e" cm="1">
        <f t="array" ref="AH287">_xlfn.XLOOKUP(1,('2016 E Maize Soil VWC'!$C$2:$C$6000=$AA287)*('2016 E Maize Soil VWC'!$E$2:$E$6000=$AB287)*('2016 E Maize Soil VWC'!$F$2:$F$6000=AH$5),'2016 E Maize Soil VWC'!$G$2:$G$6000)</f>
        <v>#N/A</v>
      </c>
      <c r="AI287" s="1" t="e" cm="1">
        <f t="array" ref="AI287">_xlfn.XLOOKUP(1,('2016 E Maize Soil VWC'!$C$2:$C$6000=$AA287)*('2016 E Maize Soil VWC'!$E$2:$E$6000=$AB287)*('2016 E Maize Soil VWC'!$F$2:$F$6000=AI$5),'2016 E Maize Soil VWC'!$G$2:$G$6000)</f>
        <v>#N/A</v>
      </c>
      <c r="AJ287" s="1" t="e" cm="1">
        <f t="array" ref="AJ287">_xlfn.XLOOKUP(1,('2016 E Maize Soil VWC'!$C$2:$C$6000=$AA287)*('2016 E Maize Soil VWC'!$E$2:$E$6000=$AB287)*('2016 E Maize Soil VWC'!$F$2:$F$6000=AJ$5),'2016 E Maize Soil VWC'!$G$2:$G$6000)</f>
        <v>#N/A</v>
      </c>
      <c r="AK287" s="1" t="e" cm="1">
        <f t="array" ref="AK287">_xlfn.XLOOKUP(1,('2016 E Maize Soil VWC'!$C$2:$C$6000=$AA287)*('2016 E Maize Soil VWC'!$E$2:$E$6000=$AB287)*('2016 E Maize Soil VWC'!$F$2:$F$6000=AK$5),'2016 E Maize Soil VWC'!$G$2:$G$6000)</f>
        <v>#N/A</v>
      </c>
      <c r="AL287" s="1" t="e" cm="1">
        <f t="array" ref="AL287">_xlfn.XLOOKUP(1,('2016 E Maize Soil VWC'!$C$2:$C$6000=$AA287)*('2016 E Maize Soil VWC'!$E$2:$E$6000=$AB287)*('2016 E Maize Soil VWC'!$F$2:$F$6000=AL$5),'2016 E Maize Soil VWC'!$G$2:$G$6000)</f>
        <v>#N/A</v>
      </c>
      <c r="AM287" s="1" t="e" cm="1">
        <f t="array" ref="AM287">_xlfn.XLOOKUP(1,('2016 E Maize Soil VWC'!$C$2:$C$6000=$AA287)*('2016 E Maize Soil VWC'!$E$2:$E$6000=$AB287)*('2016 E Maize Soil VWC'!$F$2:$F$6000=AM$5),'2016 E Maize Soil VWC'!$G$2:$G$6000)</f>
        <v>#N/A</v>
      </c>
      <c r="AN287" s="1" t="e" cm="1">
        <f t="array" ref="AN287">_xlfn.XLOOKUP(1,('2016 E Maize Soil VWC'!$C$2:$C$6000=$AA287)*('2016 E Maize Soil VWC'!$E$2:$E$6000=$AB287)*('2016 E Maize Soil VWC'!$F$2:$F$6000=AN$5),'2016 E Maize Soil VWC'!$G$2:$G$6000)</f>
        <v>#N/A</v>
      </c>
      <c r="AO287" s="1" t="e" cm="1">
        <f t="array" ref="AO287">_xlfn.XLOOKUP(1,('2016 E Maize Soil VWC'!$C$2:$C$6000=$AA287)*('2016 E Maize Soil VWC'!$E$2:$E$6000=$AB287)*('2016 E Maize Soil VWC'!$F$2:$F$6000=AO$5),'2016 E Maize Soil VWC'!$G$2:$G$6000)</f>
        <v>#N/A</v>
      </c>
      <c r="AP287" s="1" t="e" cm="1">
        <f t="array" ref="AP287">_xlfn.XLOOKUP(1,('2016 E Maize Soil VWC'!$C$2:$C$6000=$AA287)*('2016 E Maize Soil VWC'!$E$2:$E$6000=$AB287)*('2016 E Maize Soil VWC'!$F$2:$F$6000=AP$5),'2016 E Maize Soil VWC'!$G$2:$G$6000)</f>
        <v>#N/A</v>
      </c>
      <c r="AQ287" s="1" t="e" cm="1">
        <f t="array" ref="AQ287">_xlfn.XLOOKUP(1,('2016 E Maize Soil VWC'!$C$2:$C$6000=$AA287)*('2016 E Maize Soil VWC'!$E$2:$E$6000=$AB287)*('2016 E Maize Soil VWC'!$F$2:$F$6000=AQ$5),'2016 E Maize Soil VWC'!$G$2:$G$6000)</f>
        <v>#N/A</v>
      </c>
      <c r="AR287" s="1" t="e" cm="1">
        <f t="array" ref="AR287">_xlfn.XLOOKUP(1,('2016 E Maize Soil VWC'!$C$2:$C$6000=$AA287)*('2016 E Maize Soil VWC'!$E$2:$E$6000=$AB287)*('2016 E Maize Soil VWC'!$F$2:$F$6000=AR$5),'2016 E Maize Soil VWC'!$G$2:$G$6000)</f>
        <v>#N/A</v>
      </c>
      <c r="AS287" s="1" t="e" cm="1">
        <f t="array" ref="AS287">_xlfn.XLOOKUP(1,('2016 E Maize Soil VWC'!$C$2:$C$6000=$AA287)*('2016 E Maize Soil VWC'!$E$2:$E$6000=$AB287)*('2016 E Maize Soil VWC'!$F$2:$F$6000=AS$5),'2016 E Maize Soil VWC'!$G$2:$G$6000)</f>
        <v>#N/A</v>
      </c>
      <c r="AT287" s="1" t="e" cm="1">
        <f t="array" ref="AT287">_xlfn.XLOOKUP(1,('2016 E Maize Soil VWC'!$C$2:$C$6000=$AA287)*('2016 E Maize Soil VWC'!$E$2:$E$6000=$AB287)*('2016 E Maize Soil VWC'!$F$2:$F$6000=AT$5),'2016 E Maize Soil VWC'!$G$2:$G$6000)</f>
        <v>#N/A</v>
      </c>
      <c r="AU287" s="1" t="e" cm="1">
        <f t="array" ref="AU287">_xlfn.XLOOKUP(1,('2016 E Maize Soil VWC'!$C$2:$C$6000=$AA287)*('2016 E Maize Soil VWC'!$E$2:$E$6000=$AB287)*('2016 E Maize Soil VWC'!$F$2:$F$6000=AU$5),'2016 E Maize Soil VWC'!$G$2:$G$6000)</f>
        <v>#N/A</v>
      </c>
      <c r="AV287" s="1" t="e" cm="1">
        <f t="array" ref="AV287">_xlfn.XLOOKUP(1,('2016 E Maize Soil VWC'!$C$2:$C$6000=$AA287)*('2016 E Maize Soil VWC'!$E$2:$E$6000=$AB287)*('2016 E Maize Soil VWC'!$F$2:$F$6000=AV$5),'2016 E Maize Soil VWC'!$G$2:$G$6000)</f>
        <v>#N/A</v>
      </c>
    </row>
    <row r="288" spans="25:64" x14ac:dyDescent="0.25">
      <c r="AA288" s="18">
        <f t="shared" si="45"/>
        <v>42369</v>
      </c>
      <c r="AB288" s="1">
        <f t="shared" si="46"/>
        <v>190</v>
      </c>
      <c r="AC288" s="1" t="e" cm="1">
        <f t="array" ref="AC288">_xlfn.XLOOKUP(1,('2016 E Maize Soil VWC'!$C$2:$C$6000=$AA288)*('2016 E Maize Soil VWC'!$E$2:$E$6000=$AB288)*('2016 E Maize Soil VWC'!$F$2:$F$6000=AC$5),'2016 E Maize Soil VWC'!$G$2:$G$6000)</f>
        <v>#N/A</v>
      </c>
      <c r="AD288" s="1" t="e" cm="1">
        <f t="array" ref="AD288">_xlfn.XLOOKUP(1,('2016 E Maize Soil VWC'!$C$2:$C$6000=$AA288)*('2016 E Maize Soil VWC'!$E$2:$E$6000=$AB288)*('2016 E Maize Soil VWC'!$F$2:$F$6000=AD$5),'2016 E Maize Soil VWC'!$G$2:$G$6000)</f>
        <v>#N/A</v>
      </c>
      <c r="AE288" s="1" t="e" cm="1">
        <f t="array" ref="AE288">_xlfn.XLOOKUP(1,('2016 E Maize Soil VWC'!$C$2:$C$6000=$AA288)*('2016 E Maize Soil VWC'!$E$2:$E$6000=$AB288)*('2016 E Maize Soil VWC'!$F$2:$F$6000=AE$5),'2016 E Maize Soil VWC'!$G$2:$G$6000)</f>
        <v>#N/A</v>
      </c>
      <c r="AF288" s="1" t="e" cm="1">
        <f t="array" ref="AF288">_xlfn.XLOOKUP(1,('2016 E Maize Soil VWC'!$C$2:$C$6000=$AA288)*('2016 E Maize Soil VWC'!$E$2:$E$6000=$AB288)*('2016 E Maize Soil VWC'!$F$2:$F$6000=AF$5),'2016 E Maize Soil VWC'!$G$2:$G$6000)</f>
        <v>#N/A</v>
      </c>
      <c r="AG288" s="1" t="e" cm="1">
        <f t="array" ref="AG288">_xlfn.XLOOKUP(1,('2016 E Maize Soil VWC'!$C$2:$C$6000=$AA288)*('2016 E Maize Soil VWC'!$E$2:$E$6000=$AB288)*('2016 E Maize Soil VWC'!$F$2:$F$6000=AG$5),'2016 E Maize Soil VWC'!$G$2:$G$6000)</f>
        <v>#N/A</v>
      </c>
      <c r="AH288" s="1" t="e" cm="1">
        <f t="array" ref="AH288">_xlfn.XLOOKUP(1,('2016 E Maize Soil VWC'!$C$2:$C$6000=$AA288)*('2016 E Maize Soil VWC'!$E$2:$E$6000=$AB288)*('2016 E Maize Soil VWC'!$F$2:$F$6000=AH$5),'2016 E Maize Soil VWC'!$G$2:$G$6000)</f>
        <v>#N/A</v>
      </c>
      <c r="AI288" s="1" t="e" cm="1">
        <f t="array" ref="AI288">_xlfn.XLOOKUP(1,('2016 E Maize Soil VWC'!$C$2:$C$6000=$AA288)*('2016 E Maize Soil VWC'!$E$2:$E$6000=$AB288)*('2016 E Maize Soil VWC'!$F$2:$F$6000=AI$5),'2016 E Maize Soil VWC'!$G$2:$G$6000)</f>
        <v>#N/A</v>
      </c>
      <c r="AJ288" s="1" t="e" cm="1">
        <f t="array" ref="AJ288">_xlfn.XLOOKUP(1,('2016 E Maize Soil VWC'!$C$2:$C$6000=$AA288)*('2016 E Maize Soil VWC'!$E$2:$E$6000=$AB288)*('2016 E Maize Soil VWC'!$F$2:$F$6000=AJ$5),'2016 E Maize Soil VWC'!$G$2:$G$6000)</f>
        <v>#N/A</v>
      </c>
      <c r="AK288" s="1" t="e" cm="1">
        <f t="array" ref="AK288">_xlfn.XLOOKUP(1,('2016 E Maize Soil VWC'!$C$2:$C$6000=$AA288)*('2016 E Maize Soil VWC'!$E$2:$E$6000=$AB288)*('2016 E Maize Soil VWC'!$F$2:$F$6000=AK$5),'2016 E Maize Soil VWC'!$G$2:$G$6000)</f>
        <v>#N/A</v>
      </c>
      <c r="AL288" s="1" t="e" cm="1">
        <f t="array" ref="AL288">_xlfn.XLOOKUP(1,('2016 E Maize Soil VWC'!$C$2:$C$6000=$AA288)*('2016 E Maize Soil VWC'!$E$2:$E$6000=$AB288)*('2016 E Maize Soil VWC'!$F$2:$F$6000=AL$5),'2016 E Maize Soil VWC'!$G$2:$G$6000)</f>
        <v>#N/A</v>
      </c>
      <c r="AM288" s="1" t="e" cm="1">
        <f t="array" ref="AM288">_xlfn.XLOOKUP(1,('2016 E Maize Soil VWC'!$C$2:$C$6000=$AA288)*('2016 E Maize Soil VWC'!$E$2:$E$6000=$AB288)*('2016 E Maize Soil VWC'!$F$2:$F$6000=AM$5),'2016 E Maize Soil VWC'!$G$2:$G$6000)</f>
        <v>#N/A</v>
      </c>
      <c r="AN288" s="1" t="e" cm="1">
        <f t="array" ref="AN288">_xlfn.XLOOKUP(1,('2016 E Maize Soil VWC'!$C$2:$C$6000=$AA288)*('2016 E Maize Soil VWC'!$E$2:$E$6000=$AB288)*('2016 E Maize Soil VWC'!$F$2:$F$6000=AN$5),'2016 E Maize Soil VWC'!$G$2:$G$6000)</f>
        <v>#N/A</v>
      </c>
      <c r="AO288" s="1" t="e" cm="1">
        <f t="array" ref="AO288">_xlfn.XLOOKUP(1,('2016 E Maize Soil VWC'!$C$2:$C$6000=$AA288)*('2016 E Maize Soil VWC'!$E$2:$E$6000=$AB288)*('2016 E Maize Soil VWC'!$F$2:$F$6000=AO$5),'2016 E Maize Soil VWC'!$G$2:$G$6000)</f>
        <v>#N/A</v>
      </c>
      <c r="AP288" s="1" t="e" cm="1">
        <f t="array" ref="AP288">_xlfn.XLOOKUP(1,('2016 E Maize Soil VWC'!$C$2:$C$6000=$AA288)*('2016 E Maize Soil VWC'!$E$2:$E$6000=$AB288)*('2016 E Maize Soil VWC'!$F$2:$F$6000=AP$5),'2016 E Maize Soil VWC'!$G$2:$G$6000)</f>
        <v>#N/A</v>
      </c>
      <c r="AQ288" s="1" t="e" cm="1">
        <f t="array" ref="AQ288">_xlfn.XLOOKUP(1,('2016 E Maize Soil VWC'!$C$2:$C$6000=$AA288)*('2016 E Maize Soil VWC'!$E$2:$E$6000=$AB288)*('2016 E Maize Soil VWC'!$F$2:$F$6000=AQ$5),'2016 E Maize Soil VWC'!$G$2:$G$6000)</f>
        <v>#N/A</v>
      </c>
      <c r="AR288" s="1" t="e" cm="1">
        <f t="array" ref="AR288">_xlfn.XLOOKUP(1,('2016 E Maize Soil VWC'!$C$2:$C$6000=$AA288)*('2016 E Maize Soil VWC'!$E$2:$E$6000=$AB288)*('2016 E Maize Soil VWC'!$F$2:$F$6000=AR$5),'2016 E Maize Soil VWC'!$G$2:$G$6000)</f>
        <v>#N/A</v>
      </c>
      <c r="AS288" s="1" t="e" cm="1">
        <f t="array" ref="AS288">_xlfn.XLOOKUP(1,('2016 E Maize Soil VWC'!$C$2:$C$6000=$AA288)*('2016 E Maize Soil VWC'!$E$2:$E$6000=$AB288)*('2016 E Maize Soil VWC'!$F$2:$F$6000=AS$5),'2016 E Maize Soil VWC'!$G$2:$G$6000)</f>
        <v>#N/A</v>
      </c>
      <c r="AT288" s="1" t="e" cm="1">
        <f t="array" ref="AT288">_xlfn.XLOOKUP(1,('2016 E Maize Soil VWC'!$C$2:$C$6000=$AA288)*('2016 E Maize Soil VWC'!$E$2:$E$6000=$AB288)*('2016 E Maize Soil VWC'!$F$2:$F$6000=AT$5),'2016 E Maize Soil VWC'!$G$2:$G$6000)</f>
        <v>#N/A</v>
      </c>
      <c r="AU288" s="1" t="e" cm="1">
        <f t="array" ref="AU288">_xlfn.XLOOKUP(1,('2016 E Maize Soil VWC'!$C$2:$C$6000=$AA288)*('2016 E Maize Soil VWC'!$E$2:$E$6000=$AB288)*('2016 E Maize Soil VWC'!$F$2:$F$6000=AU$5),'2016 E Maize Soil VWC'!$G$2:$G$6000)</f>
        <v>#N/A</v>
      </c>
      <c r="AV288" s="1" t="e" cm="1">
        <f t="array" ref="AV288">_xlfn.XLOOKUP(1,('2016 E Maize Soil VWC'!$C$2:$C$6000=$AA288)*('2016 E Maize Soil VWC'!$E$2:$E$6000=$AB288)*('2016 E Maize Soil VWC'!$F$2:$F$6000=AV$5),'2016 E Maize Soil VWC'!$G$2:$G$6000)</f>
        <v>#N/A</v>
      </c>
    </row>
    <row r="289" spans="25:64" x14ac:dyDescent="0.25">
      <c r="AA289" s="18">
        <f t="shared" si="45"/>
        <v>42369</v>
      </c>
      <c r="AB289" s="1">
        <f t="shared" si="46"/>
        <v>210</v>
      </c>
      <c r="AC289" s="1" t="e" cm="1">
        <f t="array" ref="AC289">_xlfn.XLOOKUP(1,('2016 E Maize Soil VWC'!$C$2:$C$6000=$AA289)*('2016 E Maize Soil VWC'!$E$2:$E$6000=$AB289)*('2016 E Maize Soil VWC'!$F$2:$F$6000=AC$5),'2016 E Maize Soil VWC'!$G$2:$G$6000)</f>
        <v>#N/A</v>
      </c>
      <c r="AD289" s="1" t="e" cm="1">
        <f t="array" ref="AD289">_xlfn.XLOOKUP(1,('2016 E Maize Soil VWC'!$C$2:$C$6000=$AA289)*('2016 E Maize Soil VWC'!$E$2:$E$6000=$AB289)*('2016 E Maize Soil VWC'!$F$2:$F$6000=AD$5),'2016 E Maize Soil VWC'!$G$2:$G$6000)</f>
        <v>#N/A</v>
      </c>
      <c r="AE289" s="1" t="e" cm="1">
        <f t="array" ref="AE289">_xlfn.XLOOKUP(1,('2016 E Maize Soil VWC'!$C$2:$C$6000=$AA289)*('2016 E Maize Soil VWC'!$E$2:$E$6000=$AB289)*('2016 E Maize Soil VWC'!$F$2:$F$6000=AE$5),'2016 E Maize Soil VWC'!$G$2:$G$6000)</f>
        <v>#N/A</v>
      </c>
      <c r="AF289" s="1" t="e" cm="1">
        <f t="array" ref="AF289">_xlfn.XLOOKUP(1,('2016 E Maize Soil VWC'!$C$2:$C$6000=$AA289)*('2016 E Maize Soil VWC'!$E$2:$E$6000=$AB289)*('2016 E Maize Soil VWC'!$F$2:$F$6000=AF$5),'2016 E Maize Soil VWC'!$G$2:$G$6000)</f>
        <v>#N/A</v>
      </c>
      <c r="AG289" s="1" t="e" cm="1">
        <f t="array" ref="AG289">_xlfn.XLOOKUP(1,('2016 E Maize Soil VWC'!$C$2:$C$6000=$AA289)*('2016 E Maize Soil VWC'!$E$2:$E$6000=$AB289)*('2016 E Maize Soil VWC'!$F$2:$F$6000=AG$5),'2016 E Maize Soil VWC'!$G$2:$G$6000)</f>
        <v>#N/A</v>
      </c>
      <c r="AH289" s="1" t="e" cm="1">
        <f t="array" ref="AH289">_xlfn.XLOOKUP(1,('2016 E Maize Soil VWC'!$C$2:$C$6000=$AA289)*('2016 E Maize Soil VWC'!$E$2:$E$6000=$AB289)*('2016 E Maize Soil VWC'!$F$2:$F$6000=AH$5),'2016 E Maize Soil VWC'!$G$2:$G$6000)</f>
        <v>#N/A</v>
      </c>
      <c r="AI289" s="1" t="e" cm="1">
        <f t="array" ref="AI289">_xlfn.XLOOKUP(1,('2016 E Maize Soil VWC'!$C$2:$C$6000=$AA289)*('2016 E Maize Soil VWC'!$E$2:$E$6000=$AB289)*('2016 E Maize Soil VWC'!$F$2:$F$6000=AI$5),'2016 E Maize Soil VWC'!$G$2:$G$6000)</f>
        <v>#N/A</v>
      </c>
      <c r="AJ289" s="1" t="e" cm="1">
        <f t="array" ref="AJ289">_xlfn.XLOOKUP(1,('2016 E Maize Soil VWC'!$C$2:$C$6000=$AA289)*('2016 E Maize Soil VWC'!$E$2:$E$6000=$AB289)*('2016 E Maize Soil VWC'!$F$2:$F$6000=AJ$5),'2016 E Maize Soil VWC'!$G$2:$G$6000)</f>
        <v>#N/A</v>
      </c>
      <c r="AK289" s="1" t="e" cm="1">
        <f t="array" ref="AK289">_xlfn.XLOOKUP(1,('2016 E Maize Soil VWC'!$C$2:$C$6000=$AA289)*('2016 E Maize Soil VWC'!$E$2:$E$6000=$AB289)*('2016 E Maize Soil VWC'!$F$2:$F$6000=AK$5),'2016 E Maize Soil VWC'!$G$2:$G$6000)</f>
        <v>#N/A</v>
      </c>
      <c r="AL289" s="1" t="e" cm="1">
        <f t="array" ref="AL289">_xlfn.XLOOKUP(1,('2016 E Maize Soil VWC'!$C$2:$C$6000=$AA289)*('2016 E Maize Soil VWC'!$E$2:$E$6000=$AB289)*('2016 E Maize Soil VWC'!$F$2:$F$6000=AL$5),'2016 E Maize Soil VWC'!$G$2:$G$6000)</f>
        <v>#N/A</v>
      </c>
      <c r="AM289" s="1" t="e" cm="1">
        <f t="array" ref="AM289">_xlfn.XLOOKUP(1,('2016 E Maize Soil VWC'!$C$2:$C$6000=$AA289)*('2016 E Maize Soil VWC'!$E$2:$E$6000=$AB289)*('2016 E Maize Soil VWC'!$F$2:$F$6000=AM$5),'2016 E Maize Soil VWC'!$G$2:$G$6000)</f>
        <v>#N/A</v>
      </c>
      <c r="AN289" s="1" t="e" cm="1">
        <f t="array" ref="AN289">_xlfn.XLOOKUP(1,('2016 E Maize Soil VWC'!$C$2:$C$6000=$AA289)*('2016 E Maize Soil VWC'!$E$2:$E$6000=$AB289)*('2016 E Maize Soil VWC'!$F$2:$F$6000=AN$5),'2016 E Maize Soil VWC'!$G$2:$G$6000)</f>
        <v>#N/A</v>
      </c>
      <c r="AO289" s="1" t="e" cm="1">
        <f t="array" ref="AO289">_xlfn.XLOOKUP(1,('2016 E Maize Soil VWC'!$C$2:$C$6000=$AA289)*('2016 E Maize Soil VWC'!$E$2:$E$6000=$AB289)*('2016 E Maize Soil VWC'!$F$2:$F$6000=AO$5),'2016 E Maize Soil VWC'!$G$2:$G$6000)</f>
        <v>#N/A</v>
      </c>
      <c r="AP289" s="1" t="e" cm="1">
        <f t="array" ref="AP289">_xlfn.XLOOKUP(1,('2016 E Maize Soil VWC'!$C$2:$C$6000=$AA289)*('2016 E Maize Soil VWC'!$E$2:$E$6000=$AB289)*('2016 E Maize Soil VWC'!$F$2:$F$6000=AP$5),'2016 E Maize Soil VWC'!$G$2:$G$6000)</f>
        <v>#N/A</v>
      </c>
      <c r="AQ289" s="1" t="e" cm="1">
        <f t="array" ref="AQ289">_xlfn.XLOOKUP(1,('2016 E Maize Soil VWC'!$C$2:$C$6000=$AA289)*('2016 E Maize Soil VWC'!$E$2:$E$6000=$AB289)*('2016 E Maize Soil VWC'!$F$2:$F$6000=AQ$5),'2016 E Maize Soil VWC'!$G$2:$G$6000)</f>
        <v>#N/A</v>
      </c>
      <c r="AR289" s="1" t="e" cm="1">
        <f t="array" ref="AR289">_xlfn.XLOOKUP(1,('2016 E Maize Soil VWC'!$C$2:$C$6000=$AA289)*('2016 E Maize Soil VWC'!$E$2:$E$6000=$AB289)*('2016 E Maize Soil VWC'!$F$2:$F$6000=AR$5),'2016 E Maize Soil VWC'!$G$2:$G$6000)</f>
        <v>#N/A</v>
      </c>
      <c r="AS289" s="1" t="e" cm="1">
        <f t="array" ref="AS289">_xlfn.XLOOKUP(1,('2016 E Maize Soil VWC'!$C$2:$C$6000=$AA289)*('2016 E Maize Soil VWC'!$E$2:$E$6000=$AB289)*('2016 E Maize Soil VWC'!$F$2:$F$6000=AS$5),'2016 E Maize Soil VWC'!$G$2:$G$6000)</f>
        <v>#N/A</v>
      </c>
      <c r="AT289" s="1" t="e" cm="1">
        <f t="array" ref="AT289">_xlfn.XLOOKUP(1,('2016 E Maize Soil VWC'!$C$2:$C$6000=$AA289)*('2016 E Maize Soil VWC'!$E$2:$E$6000=$AB289)*('2016 E Maize Soil VWC'!$F$2:$F$6000=AT$5),'2016 E Maize Soil VWC'!$G$2:$G$6000)</f>
        <v>#N/A</v>
      </c>
      <c r="AU289" s="1" t="e" cm="1">
        <f t="array" ref="AU289">_xlfn.XLOOKUP(1,('2016 E Maize Soil VWC'!$C$2:$C$6000=$AA289)*('2016 E Maize Soil VWC'!$E$2:$E$6000=$AB289)*('2016 E Maize Soil VWC'!$F$2:$F$6000=AU$5),'2016 E Maize Soil VWC'!$G$2:$G$6000)</f>
        <v>#N/A</v>
      </c>
      <c r="AV289" s="1" t="e" cm="1">
        <f t="array" ref="AV289">_xlfn.XLOOKUP(1,('2016 E Maize Soil VWC'!$C$2:$C$6000=$AA289)*('2016 E Maize Soil VWC'!$E$2:$E$6000=$AB289)*('2016 E Maize Soil VWC'!$F$2:$F$6000=AV$5),'2016 E Maize Soil VWC'!$G$2:$G$6000)</f>
        <v>#N/A</v>
      </c>
    </row>
    <row r="290" spans="25:64" x14ac:dyDescent="0.25">
      <c r="AA290" s="18">
        <f t="shared" si="45"/>
        <v>42369</v>
      </c>
      <c r="AB290" s="1">
        <f t="shared" si="46"/>
        <v>230</v>
      </c>
      <c r="AC290" s="1" t="e" cm="1">
        <f t="array" ref="AC290">_xlfn.XLOOKUP(1,('2016 E Maize Soil VWC'!$C$2:$C$6000=$AA290)*('2016 E Maize Soil VWC'!$E$2:$E$6000=$AB290)*('2016 E Maize Soil VWC'!$F$2:$F$6000=AC$5),'2016 E Maize Soil VWC'!$G$2:$G$6000)</f>
        <v>#N/A</v>
      </c>
      <c r="AD290" s="1" t="e" cm="1">
        <f t="array" ref="AD290">_xlfn.XLOOKUP(1,('2016 E Maize Soil VWC'!$C$2:$C$6000=$AA290)*('2016 E Maize Soil VWC'!$E$2:$E$6000=$AB290)*('2016 E Maize Soil VWC'!$F$2:$F$6000=AD$5),'2016 E Maize Soil VWC'!$G$2:$G$6000)</f>
        <v>#N/A</v>
      </c>
      <c r="AE290" s="1" t="e" cm="1">
        <f t="array" ref="AE290">_xlfn.XLOOKUP(1,('2016 E Maize Soil VWC'!$C$2:$C$6000=$AA290)*('2016 E Maize Soil VWC'!$E$2:$E$6000=$AB290)*('2016 E Maize Soil VWC'!$F$2:$F$6000=AE$5),'2016 E Maize Soil VWC'!$G$2:$G$6000)</f>
        <v>#N/A</v>
      </c>
      <c r="AF290" s="1" t="e" cm="1">
        <f t="array" ref="AF290">_xlfn.XLOOKUP(1,('2016 E Maize Soil VWC'!$C$2:$C$6000=$AA290)*('2016 E Maize Soil VWC'!$E$2:$E$6000=$AB290)*('2016 E Maize Soil VWC'!$F$2:$F$6000=AF$5),'2016 E Maize Soil VWC'!$G$2:$G$6000)</f>
        <v>#N/A</v>
      </c>
      <c r="AG290" s="1" t="e" cm="1">
        <f t="array" ref="AG290">_xlfn.XLOOKUP(1,('2016 E Maize Soil VWC'!$C$2:$C$6000=$AA290)*('2016 E Maize Soil VWC'!$E$2:$E$6000=$AB290)*('2016 E Maize Soil VWC'!$F$2:$F$6000=AG$5),'2016 E Maize Soil VWC'!$G$2:$G$6000)</f>
        <v>#N/A</v>
      </c>
      <c r="AH290" s="1" t="e" cm="1">
        <f t="array" ref="AH290">_xlfn.XLOOKUP(1,('2016 E Maize Soil VWC'!$C$2:$C$6000=$AA290)*('2016 E Maize Soil VWC'!$E$2:$E$6000=$AB290)*('2016 E Maize Soil VWC'!$F$2:$F$6000=AH$5),'2016 E Maize Soil VWC'!$G$2:$G$6000)</f>
        <v>#N/A</v>
      </c>
      <c r="AI290" s="1" t="e" cm="1">
        <f t="array" ref="AI290">_xlfn.XLOOKUP(1,('2016 E Maize Soil VWC'!$C$2:$C$6000=$AA290)*('2016 E Maize Soil VWC'!$E$2:$E$6000=$AB290)*('2016 E Maize Soil VWC'!$F$2:$F$6000=AI$5),'2016 E Maize Soil VWC'!$G$2:$G$6000)</f>
        <v>#N/A</v>
      </c>
      <c r="AJ290" s="1" t="e" cm="1">
        <f t="array" ref="AJ290">_xlfn.XLOOKUP(1,('2016 E Maize Soil VWC'!$C$2:$C$6000=$AA290)*('2016 E Maize Soil VWC'!$E$2:$E$6000=$AB290)*('2016 E Maize Soil VWC'!$F$2:$F$6000=AJ$5),'2016 E Maize Soil VWC'!$G$2:$G$6000)</f>
        <v>#N/A</v>
      </c>
      <c r="AK290" s="1" t="e" cm="1">
        <f t="array" ref="AK290">_xlfn.XLOOKUP(1,('2016 E Maize Soil VWC'!$C$2:$C$6000=$AA290)*('2016 E Maize Soil VWC'!$E$2:$E$6000=$AB290)*('2016 E Maize Soil VWC'!$F$2:$F$6000=AK$5),'2016 E Maize Soil VWC'!$G$2:$G$6000)</f>
        <v>#N/A</v>
      </c>
      <c r="AL290" s="1" t="e" cm="1">
        <f t="array" ref="AL290">_xlfn.XLOOKUP(1,('2016 E Maize Soil VWC'!$C$2:$C$6000=$AA290)*('2016 E Maize Soil VWC'!$E$2:$E$6000=$AB290)*('2016 E Maize Soil VWC'!$F$2:$F$6000=AL$5),'2016 E Maize Soil VWC'!$G$2:$G$6000)</f>
        <v>#N/A</v>
      </c>
      <c r="AM290" s="1" t="e" cm="1">
        <f t="array" ref="AM290">_xlfn.XLOOKUP(1,('2016 E Maize Soil VWC'!$C$2:$C$6000=$AA290)*('2016 E Maize Soil VWC'!$E$2:$E$6000=$AB290)*('2016 E Maize Soil VWC'!$F$2:$F$6000=AM$5),'2016 E Maize Soil VWC'!$G$2:$G$6000)</f>
        <v>#N/A</v>
      </c>
      <c r="AN290" s="1" t="e" cm="1">
        <f t="array" ref="AN290">_xlfn.XLOOKUP(1,('2016 E Maize Soil VWC'!$C$2:$C$6000=$AA290)*('2016 E Maize Soil VWC'!$E$2:$E$6000=$AB290)*('2016 E Maize Soil VWC'!$F$2:$F$6000=AN$5),'2016 E Maize Soil VWC'!$G$2:$G$6000)</f>
        <v>#N/A</v>
      </c>
      <c r="AO290" s="1" t="e" cm="1">
        <f t="array" ref="AO290">_xlfn.XLOOKUP(1,('2016 E Maize Soil VWC'!$C$2:$C$6000=$AA290)*('2016 E Maize Soil VWC'!$E$2:$E$6000=$AB290)*('2016 E Maize Soil VWC'!$F$2:$F$6000=AO$5),'2016 E Maize Soil VWC'!$G$2:$G$6000)</f>
        <v>#N/A</v>
      </c>
      <c r="AP290" s="1" t="e" cm="1">
        <f t="array" ref="AP290">_xlfn.XLOOKUP(1,('2016 E Maize Soil VWC'!$C$2:$C$6000=$AA290)*('2016 E Maize Soil VWC'!$E$2:$E$6000=$AB290)*('2016 E Maize Soil VWC'!$F$2:$F$6000=AP$5),'2016 E Maize Soil VWC'!$G$2:$G$6000)</f>
        <v>#N/A</v>
      </c>
      <c r="AQ290" s="1" t="e" cm="1">
        <f t="array" ref="AQ290">_xlfn.XLOOKUP(1,('2016 E Maize Soil VWC'!$C$2:$C$6000=$AA290)*('2016 E Maize Soil VWC'!$E$2:$E$6000=$AB290)*('2016 E Maize Soil VWC'!$F$2:$F$6000=AQ$5),'2016 E Maize Soil VWC'!$G$2:$G$6000)</f>
        <v>#N/A</v>
      </c>
      <c r="AR290" s="1" t="e" cm="1">
        <f t="array" ref="AR290">_xlfn.XLOOKUP(1,('2016 E Maize Soil VWC'!$C$2:$C$6000=$AA290)*('2016 E Maize Soil VWC'!$E$2:$E$6000=$AB290)*('2016 E Maize Soil VWC'!$F$2:$F$6000=AR$5),'2016 E Maize Soil VWC'!$G$2:$G$6000)</f>
        <v>#N/A</v>
      </c>
      <c r="AS290" s="1" t="e" cm="1">
        <f t="array" ref="AS290">_xlfn.XLOOKUP(1,('2016 E Maize Soil VWC'!$C$2:$C$6000=$AA290)*('2016 E Maize Soil VWC'!$E$2:$E$6000=$AB290)*('2016 E Maize Soil VWC'!$F$2:$F$6000=AS$5),'2016 E Maize Soil VWC'!$G$2:$G$6000)</f>
        <v>#N/A</v>
      </c>
      <c r="AT290" s="1" t="e" cm="1">
        <f t="array" ref="AT290">_xlfn.XLOOKUP(1,('2016 E Maize Soil VWC'!$C$2:$C$6000=$AA290)*('2016 E Maize Soil VWC'!$E$2:$E$6000=$AB290)*('2016 E Maize Soil VWC'!$F$2:$F$6000=AT$5),'2016 E Maize Soil VWC'!$G$2:$G$6000)</f>
        <v>#N/A</v>
      </c>
      <c r="AU290" s="1" t="e" cm="1">
        <f t="array" ref="AU290">_xlfn.XLOOKUP(1,('2016 E Maize Soil VWC'!$C$2:$C$6000=$AA290)*('2016 E Maize Soil VWC'!$E$2:$E$6000=$AB290)*('2016 E Maize Soil VWC'!$F$2:$F$6000=AU$5),'2016 E Maize Soil VWC'!$G$2:$G$6000)</f>
        <v>#N/A</v>
      </c>
      <c r="AV290" s="1" t="e" cm="1">
        <f t="array" ref="AV290">_xlfn.XLOOKUP(1,('2016 E Maize Soil VWC'!$C$2:$C$6000=$AA290)*('2016 E Maize Soil VWC'!$E$2:$E$6000=$AB290)*('2016 E Maize Soil VWC'!$F$2:$F$6000=AV$5),'2016 E Maize Soil VWC'!$G$2:$G$6000)</f>
        <v>#N/A</v>
      </c>
    </row>
    <row r="292" spans="25:64" x14ac:dyDescent="0.25">
      <c r="Y292" s="1">
        <v>2016</v>
      </c>
      <c r="Z292" s="1">
        <v>0</v>
      </c>
      <c r="AA292" s="18">
        <f>DATE(Y292,1,Z292)</f>
        <v>42369</v>
      </c>
      <c r="AB292" s="1">
        <v>10</v>
      </c>
      <c r="AC292" s="1" t="e" cm="1">
        <f t="array" ref="AC292">_xlfn.XLOOKUP(1,('2016 E Maize Soil VWC'!$C$2:$C$6000=$AA292)*('2016 E Maize Soil VWC'!$E$2:$E$6000=$AB292)*('2016 E Maize Soil VWC'!$F$2:$F$6000=AC$5),'2016 E Maize Soil VWC'!$G$2:$G$6000)</f>
        <v>#N/A</v>
      </c>
      <c r="AD292" s="1" t="e" cm="1">
        <f t="array" ref="AD292">_xlfn.XLOOKUP(1,('2016 E Maize Soil VWC'!$C$2:$C$6000=$AA292)*('2016 E Maize Soil VWC'!$E$2:$E$6000=$AB292)*('2016 E Maize Soil VWC'!$F$2:$F$6000=AD$5),'2016 E Maize Soil VWC'!$G$2:$G$6000)</f>
        <v>#N/A</v>
      </c>
      <c r="AE292" s="1" t="e" cm="1">
        <f t="array" ref="AE292">_xlfn.XLOOKUP(1,('2016 E Maize Soil VWC'!$C$2:$C$6000=$AA292)*('2016 E Maize Soil VWC'!$E$2:$E$6000=$AB292)*('2016 E Maize Soil VWC'!$F$2:$F$6000=AE$5),'2016 E Maize Soil VWC'!$G$2:$G$6000)</f>
        <v>#N/A</v>
      </c>
      <c r="AF292" s="1" t="e" cm="1">
        <f t="array" ref="AF292">_xlfn.XLOOKUP(1,('2016 E Maize Soil VWC'!$C$2:$C$6000=$AA292)*('2016 E Maize Soil VWC'!$E$2:$E$6000=$AB292)*('2016 E Maize Soil VWC'!$F$2:$F$6000=AF$5),'2016 E Maize Soil VWC'!$G$2:$G$6000)</f>
        <v>#N/A</v>
      </c>
      <c r="AG292" s="1" t="e" cm="1">
        <f t="array" ref="AG292">_xlfn.XLOOKUP(1,('2016 E Maize Soil VWC'!$C$2:$C$6000=$AA292)*('2016 E Maize Soil VWC'!$E$2:$E$6000=$AB292)*('2016 E Maize Soil VWC'!$F$2:$F$6000=AG$5),'2016 E Maize Soil VWC'!$G$2:$G$6000)</f>
        <v>#N/A</v>
      </c>
      <c r="AH292" s="1" t="e" cm="1">
        <f t="array" ref="AH292">_xlfn.XLOOKUP(1,('2016 E Maize Soil VWC'!$C$2:$C$6000=$AA292)*('2016 E Maize Soil VWC'!$E$2:$E$6000=$AB292)*('2016 E Maize Soil VWC'!$F$2:$F$6000=AH$5),'2016 E Maize Soil VWC'!$G$2:$G$6000)</f>
        <v>#N/A</v>
      </c>
      <c r="AI292" s="1" t="e" cm="1">
        <f t="array" ref="AI292">_xlfn.XLOOKUP(1,('2016 E Maize Soil VWC'!$C$2:$C$6000=$AA292)*('2016 E Maize Soil VWC'!$E$2:$E$6000=$AB292)*('2016 E Maize Soil VWC'!$F$2:$F$6000=AI$5),'2016 E Maize Soil VWC'!$G$2:$G$6000)</f>
        <v>#N/A</v>
      </c>
      <c r="AJ292" s="1" t="e" cm="1">
        <f t="array" ref="AJ292">_xlfn.XLOOKUP(1,('2016 E Maize Soil VWC'!$C$2:$C$6000=$AA292)*('2016 E Maize Soil VWC'!$E$2:$E$6000=$AB292)*('2016 E Maize Soil VWC'!$F$2:$F$6000=AJ$5),'2016 E Maize Soil VWC'!$G$2:$G$6000)</f>
        <v>#N/A</v>
      </c>
      <c r="AK292" s="1" t="e" cm="1">
        <f t="array" ref="AK292">_xlfn.XLOOKUP(1,('2016 E Maize Soil VWC'!$C$2:$C$6000=$AA292)*('2016 E Maize Soil VWC'!$E$2:$E$6000=$AB292)*('2016 E Maize Soil VWC'!$F$2:$F$6000=AK$5),'2016 E Maize Soil VWC'!$G$2:$G$6000)</f>
        <v>#N/A</v>
      </c>
      <c r="AL292" s="1" t="e" cm="1">
        <f t="array" ref="AL292">_xlfn.XLOOKUP(1,('2016 E Maize Soil VWC'!$C$2:$C$6000=$AA292)*('2016 E Maize Soil VWC'!$E$2:$E$6000=$AB292)*('2016 E Maize Soil VWC'!$F$2:$F$6000=AL$5),'2016 E Maize Soil VWC'!$G$2:$G$6000)</f>
        <v>#N/A</v>
      </c>
      <c r="AM292" s="1" t="e" cm="1">
        <f t="array" ref="AM292">_xlfn.XLOOKUP(1,('2016 E Maize Soil VWC'!$C$2:$C$6000=$AA292)*('2016 E Maize Soil VWC'!$E$2:$E$6000=$AB292)*('2016 E Maize Soil VWC'!$F$2:$F$6000=AM$5),'2016 E Maize Soil VWC'!$G$2:$G$6000)</f>
        <v>#N/A</v>
      </c>
      <c r="AN292" s="1" t="e" cm="1">
        <f t="array" ref="AN292">_xlfn.XLOOKUP(1,('2016 E Maize Soil VWC'!$C$2:$C$6000=$AA292)*('2016 E Maize Soil VWC'!$E$2:$E$6000=$AB292)*('2016 E Maize Soil VWC'!$F$2:$F$6000=AN$5),'2016 E Maize Soil VWC'!$G$2:$G$6000)</f>
        <v>#N/A</v>
      </c>
      <c r="AO292" s="1" t="e" cm="1">
        <f t="array" ref="AO292">_xlfn.XLOOKUP(1,('2016 E Maize Soil VWC'!$C$2:$C$6000=$AA292)*('2016 E Maize Soil VWC'!$E$2:$E$6000=$AB292)*('2016 E Maize Soil VWC'!$F$2:$F$6000=AO$5),'2016 E Maize Soil VWC'!$G$2:$G$6000)</f>
        <v>#N/A</v>
      </c>
      <c r="AP292" s="1" t="e" cm="1">
        <f t="array" ref="AP292">_xlfn.XLOOKUP(1,('2016 E Maize Soil VWC'!$C$2:$C$6000=$AA292)*('2016 E Maize Soil VWC'!$E$2:$E$6000=$AB292)*('2016 E Maize Soil VWC'!$F$2:$F$6000=AP$5),'2016 E Maize Soil VWC'!$G$2:$G$6000)</f>
        <v>#N/A</v>
      </c>
      <c r="AQ292" s="1" t="e" cm="1">
        <f t="array" ref="AQ292">_xlfn.XLOOKUP(1,('2016 E Maize Soil VWC'!$C$2:$C$6000=$AA292)*('2016 E Maize Soil VWC'!$E$2:$E$6000=$AB292)*('2016 E Maize Soil VWC'!$F$2:$F$6000=AQ$5),'2016 E Maize Soil VWC'!$G$2:$G$6000)</f>
        <v>#N/A</v>
      </c>
      <c r="AR292" s="1" t="e" cm="1">
        <f t="array" ref="AR292">_xlfn.XLOOKUP(1,('2016 E Maize Soil VWC'!$C$2:$C$6000=$AA292)*('2016 E Maize Soil VWC'!$E$2:$E$6000=$AB292)*('2016 E Maize Soil VWC'!$F$2:$F$6000=AR$5),'2016 E Maize Soil VWC'!$G$2:$G$6000)</f>
        <v>#N/A</v>
      </c>
      <c r="AS292" s="1" t="e" cm="1">
        <f t="array" ref="AS292">_xlfn.XLOOKUP(1,('2016 E Maize Soil VWC'!$C$2:$C$6000=$AA292)*('2016 E Maize Soil VWC'!$E$2:$E$6000=$AB292)*('2016 E Maize Soil VWC'!$F$2:$F$6000=AS$5),'2016 E Maize Soil VWC'!$G$2:$G$6000)</f>
        <v>#N/A</v>
      </c>
      <c r="AT292" s="1" t="e" cm="1">
        <f t="array" ref="AT292">_xlfn.XLOOKUP(1,('2016 E Maize Soil VWC'!$C$2:$C$6000=$AA292)*('2016 E Maize Soil VWC'!$E$2:$E$6000=$AB292)*('2016 E Maize Soil VWC'!$F$2:$F$6000=AT$5),'2016 E Maize Soil VWC'!$G$2:$G$6000)</f>
        <v>#N/A</v>
      </c>
      <c r="AU292" s="1" t="e" cm="1">
        <f t="array" ref="AU292">_xlfn.XLOOKUP(1,('2016 E Maize Soil VWC'!$C$2:$C$6000=$AA292)*('2016 E Maize Soil VWC'!$E$2:$E$6000=$AB292)*('2016 E Maize Soil VWC'!$F$2:$F$6000=AU$5),'2016 E Maize Soil VWC'!$G$2:$G$6000)</f>
        <v>#N/A</v>
      </c>
      <c r="AV292" s="1" t="e" cm="1">
        <f t="array" ref="AV292">_xlfn.XLOOKUP(1,('2016 E Maize Soil VWC'!$C$2:$C$6000=$AA292)*('2016 E Maize Soil VWC'!$E$2:$E$6000=$AB292)*('2016 E Maize Soil VWC'!$F$2:$F$6000=AV$5),'2016 E Maize Soil VWC'!$G$2:$G$6000)</f>
        <v>#N/A</v>
      </c>
      <c r="AW292" s="1">
        <f>Z292</f>
        <v>0</v>
      </c>
      <c r="AX292" s="15">
        <f>AA292</f>
        <v>42369</v>
      </c>
      <c r="AY292" s="1" t="e">
        <f>1400*AVERAGE(AG292:AH298)+100*AVERAGE(AG299:AH299)</f>
        <v>#N/A</v>
      </c>
      <c r="AZ292" s="1" t="e">
        <f>1400*AVERAGE(AC292:AF298,AI292:AL298)+100*AVERAGE(AC299:AF299,AI299:AL299)</f>
        <v>#N/A</v>
      </c>
      <c r="BA292" s="1" t="e">
        <f>1400*AVERAGE(AQ292:AR298)+100*AVERAGE(AQ299:AR299)</f>
        <v>#N/A</v>
      </c>
      <c r="BB292" s="1" t="e">
        <f>1400*AVERAGE(AM292:AP298,AS292:AV298)+100*AVERAGE(AM299:AP299,AS299:AV299)</f>
        <v>#N/A</v>
      </c>
      <c r="BC292" s="1" t="e">
        <f>AVERAGE(AC292:AD303)*2400</f>
        <v>#N/A</v>
      </c>
      <c r="BD292" s="1" t="e">
        <f>AVERAGE(AE292:AF303)*2400</f>
        <v>#N/A</v>
      </c>
      <c r="BE292" s="1" t="e">
        <f>AVERAGE(AG292:AH301)*2000</f>
        <v>#N/A</v>
      </c>
      <c r="BF292" s="1" t="e">
        <f>AVERAGE(AI292:AJ303)*2400</f>
        <v>#N/A</v>
      </c>
      <c r="BG292" s="1" t="e">
        <f>AVERAGE(AK292:AL303)*2400</f>
        <v>#N/A</v>
      </c>
      <c r="BH292" s="1" t="e">
        <f>AVERAGE(AM292:AN303)*2400</f>
        <v>#N/A</v>
      </c>
      <c r="BI292" s="1" t="e">
        <f>AVERAGE(AO292:AP303)*2400</f>
        <v>#N/A</v>
      </c>
      <c r="BJ292" s="1" t="e">
        <f>AVERAGE(AQ292:AR301)*2000</f>
        <v>#N/A</v>
      </c>
      <c r="BK292" s="1" t="e">
        <f>AVERAGE(AS292:AT303)*2400</f>
        <v>#N/A</v>
      </c>
      <c r="BL292" s="1" t="e">
        <f>AVERAGE(AU292:AV303)*2400</f>
        <v>#N/A</v>
      </c>
    </row>
    <row r="293" spans="25:64" x14ac:dyDescent="0.25">
      <c r="AA293" s="18">
        <f t="shared" ref="AA293:AA303" si="47">AA292</f>
        <v>42369</v>
      </c>
      <c r="AB293" s="1">
        <f t="shared" ref="AB293:AB303" si="48">AB292+20</f>
        <v>30</v>
      </c>
      <c r="AC293" s="1" t="e" cm="1">
        <f t="array" ref="AC293">_xlfn.XLOOKUP(1,('2016 E Maize Soil VWC'!$C$2:$C$6000=$AA293)*('2016 E Maize Soil VWC'!$E$2:$E$6000=$AB293)*('2016 E Maize Soil VWC'!$F$2:$F$6000=AC$5),'2016 E Maize Soil VWC'!$G$2:$G$6000)</f>
        <v>#N/A</v>
      </c>
      <c r="AD293" s="1" t="e" cm="1">
        <f t="array" ref="AD293">_xlfn.XLOOKUP(1,('2016 E Maize Soil VWC'!$C$2:$C$6000=$AA293)*('2016 E Maize Soil VWC'!$E$2:$E$6000=$AB293)*('2016 E Maize Soil VWC'!$F$2:$F$6000=AD$5),'2016 E Maize Soil VWC'!$G$2:$G$6000)</f>
        <v>#N/A</v>
      </c>
      <c r="AE293" s="1" t="e" cm="1">
        <f t="array" ref="AE293">_xlfn.XLOOKUP(1,('2016 E Maize Soil VWC'!$C$2:$C$6000=$AA293)*('2016 E Maize Soil VWC'!$E$2:$E$6000=$AB293)*('2016 E Maize Soil VWC'!$F$2:$F$6000=AE$5),'2016 E Maize Soil VWC'!$G$2:$G$6000)</f>
        <v>#N/A</v>
      </c>
      <c r="AF293" s="1" t="e" cm="1">
        <f t="array" ref="AF293">_xlfn.XLOOKUP(1,('2016 E Maize Soil VWC'!$C$2:$C$6000=$AA293)*('2016 E Maize Soil VWC'!$E$2:$E$6000=$AB293)*('2016 E Maize Soil VWC'!$F$2:$F$6000=AF$5),'2016 E Maize Soil VWC'!$G$2:$G$6000)</f>
        <v>#N/A</v>
      </c>
      <c r="AG293" s="1" t="e" cm="1">
        <f t="array" ref="AG293">_xlfn.XLOOKUP(1,('2016 E Maize Soil VWC'!$C$2:$C$6000=$AA293)*('2016 E Maize Soil VWC'!$E$2:$E$6000=$AB293)*('2016 E Maize Soil VWC'!$F$2:$F$6000=AG$5),'2016 E Maize Soil VWC'!$G$2:$G$6000)</f>
        <v>#N/A</v>
      </c>
      <c r="AH293" s="1" t="e" cm="1">
        <f t="array" ref="AH293">_xlfn.XLOOKUP(1,('2016 E Maize Soil VWC'!$C$2:$C$6000=$AA293)*('2016 E Maize Soil VWC'!$E$2:$E$6000=$AB293)*('2016 E Maize Soil VWC'!$F$2:$F$6000=AH$5),'2016 E Maize Soil VWC'!$G$2:$G$6000)</f>
        <v>#N/A</v>
      </c>
      <c r="AI293" s="1" t="e" cm="1">
        <f t="array" ref="AI293">_xlfn.XLOOKUP(1,('2016 E Maize Soil VWC'!$C$2:$C$6000=$AA293)*('2016 E Maize Soil VWC'!$E$2:$E$6000=$AB293)*('2016 E Maize Soil VWC'!$F$2:$F$6000=AI$5),'2016 E Maize Soil VWC'!$G$2:$G$6000)</f>
        <v>#N/A</v>
      </c>
      <c r="AJ293" s="1" t="e" cm="1">
        <f t="array" ref="AJ293">_xlfn.XLOOKUP(1,('2016 E Maize Soil VWC'!$C$2:$C$6000=$AA293)*('2016 E Maize Soil VWC'!$E$2:$E$6000=$AB293)*('2016 E Maize Soil VWC'!$F$2:$F$6000=AJ$5),'2016 E Maize Soil VWC'!$G$2:$G$6000)</f>
        <v>#N/A</v>
      </c>
      <c r="AK293" s="1" t="e" cm="1">
        <f t="array" ref="AK293">_xlfn.XLOOKUP(1,('2016 E Maize Soil VWC'!$C$2:$C$6000=$AA293)*('2016 E Maize Soil VWC'!$E$2:$E$6000=$AB293)*('2016 E Maize Soil VWC'!$F$2:$F$6000=AK$5),'2016 E Maize Soil VWC'!$G$2:$G$6000)</f>
        <v>#N/A</v>
      </c>
      <c r="AL293" s="1" t="e" cm="1">
        <f t="array" ref="AL293">_xlfn.XLOOKUP(1,('2016 E Maize Soil VWC'!$C$2:$C$6000=$AA293)*('2016 E Maize Soil VWC'!$E$2:$E$6000=$AB293)*('2016 E Maize Soil VWC'!$F$2:$F$6000=AL$5),'2016 E Maize Soil VWC'!$G$2:$G$6000)</f>
        <v>#N/A</v>
      </c>
      <c r="AM293" s="1" t="e" cm="1">
        <f t="array" ref="AM293">_xlfn.XLOOKUP(1,('2016 E Maize Soil VWC'!$C$2:$C$6000=$AA293)*('2016 E Maize Soil VWC'!$E$2:$E$6000=$AB293)*('2016 E Maize Soil VWC'!$F$2:$F$6000=AM$5),'2016 E Maize Soil VWC'!$G$2:$G$6000)</f>
        <v>#N/A</v>
      </c>
      <c r="AN293" s="1" t="e" cm="1">
        <f t="array" ref="AN293">_xlfn.XLOOKUP(1,('2016 E Maize Soil VWC'!$C$2:$C$6000=$AA293)*('2016 E Maize Soil VWC'!$E$2:$E$6000=$AB293)*('2016 E Maize Soil VWC'!$F$2:$F$6000=AN$5),'2016 E Maize Soil VWC'!$G$2:$G$6000)</f>
        <v>#N/A</v>
      </c>
      <c r="AO293" s="1" t="e" cm="1">
        <f t="array" ref="AO293">_xlfn.XLOOKUP(1,('2016 E Maize Soil VWC'!$C$2:$C$6000=$AA293)*('2016 E Maize Soil VWC'!$E$2:$E$6000=$AB293)*('2016 E Maize Soil VWC'!$F$2:$F$6000=AO$5),'2016 E Maize Soil VWC'!$G$2:$G$6000)</f>
        <v>#N/A</v>
      </c>
      <c r="AP293" s="1" t="e" cm="1">
        <f t="array" ref="AP293">_xlfn.XLOOKUP(1,('2016 E Maize Soil VWC'!$C$2:$C$6000=$AA293)*('2016 E Maize Soil VWC'!$E$2:$E$6000=$AB293)*('2016 E Maize Soil VWC'!$F$2:$F$6000=AP$5),'2016 E Maize Soil VWC'!$G$2:$G$6000)</f>
        <v>#N/A</v>
      </c>
      <c r="AQ293" s="1" t="e" cm="1">
        <f t="array" ref="AQ293">_xlfn.XLOOKUP(1,('2016 E Maize Soil VWC'!$C$2:$C$6000=$AA293)*('2016 E Maize Soil VWC'!$E$2:$E$6000=$AB293)*('2016 E Maize Soil VWC'!$F$2:$F$6000=AQ$5),'2016 E Maize Soil VWC'!$G$2:$G$6000)</f>
        <v>#N/A</v>
      </c>
      <c r="AR293" s="1" t="e" cm="1">
        <f t="array" ref="AR293">_xlfn.XLOOKUP(1,('2016 E Maize Soil VWC'!$C$2:$C$6000=$AA293)*('2016 E Maize Soil VWC'!$E$2:$E$6000=$AB293)*('2016 E Maize Soil VWC'!$F$2:$F$6000=AR$5),'2016 E Maize Soil VWC'!$G$2:$G$6000)</f>
        <v>#N/A</v>
      </c>
      <c r="AS293" s="1" t="e" cm="1">
        <f t="array" ref="AS293">_xlfn.XLOOKUP(1,('2016 E Maize Soil VWC'!$C$2:$C$6000=$AA293)*('2016 E Maize Soil VWC'!$E$2:$E$6000=$AB293)*('2016 E Maize Soil VWC'!$F$2:$F$6000=AS$5),'2016 E Maize Soil VWC'!$G$2:$G$6000)</f>
        <v>#N/A</v>
      </c>
      <c r="AT293" s="1" t="e" cm="1">
        <f t="array" ref="AT293">_xlfn.XLOOKUP(1,('2016 E Maize Soil VWC'!$C$2:$C$6000=$AA293)*('2016 E Maize Soil VWC'!$E$2:$E$6000=$AB293)*('2016 E Maize Soil VWC'!$F$2:$F$6000=AT$5),'2016 E Maize Soil VWC'!$G$2:$G$6000)</f>
        <v>#N/A</v>
      </c>
      <c r="AU293" s="1" t="e" cm="1">
        <f t="array" ref="AU293">_xlfn.XLOOKUP(1,('2016 E Maize Soil VWC'!$C$2:$C$6000=$AA293)*('2016 E Maize Soil VWC'!$E$2:$E$6000=$AB293)*('2016 E Maize Soil VWC'!$F$2:$F$6000=AU$5),'2016 E Maize Soil VWC'!$G$2:$G$6000)</f>
        <v>#N/A</v>
      </c>
      <c r="AV293" s="1" t="e" cm="1">
        <f t="array" ref="AV293">_xlfn.XLOOKUP(1,('2016 E Maize Soil VWC'!$C$2:$C$6000=$AA293)*('2016 E Maize Soil VWC'!$E$2:$E$6000=$AB293)*('2016 E Maize Soil VWC'!$F$2:$F$6000=AV$5),'2016 E Maize Soil VWC'!$G$2:$G$6000)</f>
        <v>#N/A</v>
      </c>
    </row>
    <row r="294" spans="25:64" x14ac:dyDescent="0.25">
      <c r="AA294" s="18">
        <f t="shared" si="47"/>
        <v>42369</v>
      </c>
      <c r="AB294" s="1">
        <f t="shared" si="48"/>
        <v>50</v>
      </c>
      <c r="AC294" s="1" t="e" cm="1">
        <f t="array" ref="AC294">_xlfn.XLOOKUP(1,('2016 E Maize Soil VWC'!$C$2:$C$6000=$AA294)*('2016 E Maize Soil VWC'!$E$2:$E$6000=$AB294)*('2016 E Maize Soil VWC'!$F$2:$F$6000=AC$5),'2016 E Maize Soil VWC'!$G$2:$G$6000)</f>
        <v>#N/A</v>
      </c>
      <c r="AD294" s="1" t="e" cm="1">
        <f t="array" ref="AD294">_xlfn.XLOOKUP(1,('2016 E Maize Soil VWC'!$C$2:$C$6000=$AA294)*('2016 E Maize Soil VWC'!$E$2:$E$6000=$AB294)*('2016 E Maize Soil VWC'!$F$2:$F$6000=AD$5),'2016 E Maize Soil VWC'!$G$2:$G$6000)</f>
        <v>#N/A</v>
      </c>
      <c r="AE294" s="1" t="e" cm="1">
        <f t="array" ref="AE294">_xlfn.XLOOKUP(1,('2016 E Maize Soil VWC'!$C$2:$C$6000=$AA294)*('2016 E Maize Soil VWC'!$E$2:$E$6000=$AB294)*('2016 E Maize Soil VWC'!$F$2:$F$6000=AE$5),'2016 E Maize Soil VWC'!$G$2:$G$6000)</f>
        <v>#N/A</v>
      </c>
      <c r="AF294" s="1" t="e" cm="1">
        <f t="array" ref="AF294">_xlfn.XLOOKUP(1,('2016 E Maize Soil VWC'!$C$2:$C$6000=$AA294)*('2016 E Maize Soil VWC'!$E$2:$E$6000=$AB294)*('2016 E Maize Soil VWC'!$F$2:$F$6000=AF$5),'2016 E Maize Soil VWC'!$G$2:$G$6000)</f>
        <v>#N/A</v>
      </c>
      <c r="AG294" s="1" t="e" cm="1">
        <f t="array" ref="AG294">_xlfn.XLOOKUP(1,('2016 E Maize Soil VWC'!$C$2:$C$6000=$AA294)*('2016 E Maize Soil VWC'!$E$2:$E$6000=$AB294)*('2016 E Maize Soil VWC'!$F$2:$F$6000=AG$5),'2016 E Maize Soil VWC'!$G$2:$G$6000)</f>
        <v>#N/A</v>
      </c>
      <c r="AH294" s="1" t="e" cm="1">
        <f t="array" ref="AH294">_xlfn.XLOOKUP(1,('2016 E Maize Soil VWC'!$C$2:$C$6000=$AA294)*('2016 E Maize Soil VWC'!$E$2:$E$6000=$AB294)*('2016 E Maize Soil VWC'!$F$2:$F$6000=AH$5),'2016 E Maize Soil VWC'!$G$2:$G$6000)</f>
        <v>#N/A</v>
      </c>
      <c r="AI294" s="1" t="e" cm="1">
        <f t="array" ref="AI294">_xlfn.XLOOKUP(1,('2016 E Maize Soil VWC'!$C$2:$C$6000=$AA294)*('2016 E Maize Soil VWC'!$E$2:$E$6000=$AB294)*('2016 E Maize Soil VWC'!$F$2:$F$6000=AI$5),'2016 E Maize Soil VWC'!$G$2:$G$6000)</f>
        <v>#N/A</v>
      </c>
      <c r="AJ294" s="1" t="e" cm="1">
        <f t="array" ref="AJ294">_xlfn.XLOOKUP(1,('2016 E Maize Soil VWC'!$C$2:$C$6000=$AA294)*('2016 E Maize Soil VWC'!$E$2:$E$6000=$AB294)*('2016 E Maize Soil VWC'!$F$2:$F$6000=AJ$5),'2016 E Maize Soil VWC'!$G$2:$G$6000)</f>
        <v>#N/A</v>
      </c>
      <c r="AK294" s="1" t="e" cm="1">
        <f t="array" ref="AK294">_xlfn.XLOOKUP(1,('2016 E Maize Soil VWC'!$C$2:$C$6000=$AA294)*('2016 E Maize Soil VWC'!$E$2:$E$6000=$AB294)*('2016 E Maize Soil VWC'!$F$2:$F$6000=AK$5),'2016 E Maize Soil VWC'!$G$2:$G$6000)</f>
        <v>#N/A</v>
      </c>
      <c r="AL294" s="1" t="e" cm="1">
        <f t="array" ref="AL294">_xlfn.XLOOKUP(1,('2016 E Maize Soil VWC'!$C$2:$C$6000=$AA294)*('2016 E Maize Soil VWC'!$E$2:$E$6000=$AB294)*('2016 E Maize Soil VWC'!$F$2:$F$6000=AL$5),'2016 E Maize Soil VWC'!$G$2:$G$6000)</f>
        <v>#N/A</v>
      </c>
      <c r="AM294" s="1" t="e" cm="1">
        <f t="array" ref="AM294">_xlfn.XLOOKUP(1,('2016 E Maize Soil VWC'!$C$2:$C$6000=$AA294)*('2016 E Maize Soil VWC'!$E$2:$E$6000=$AB294)*('2016 E Maize Soil VWC'!$F$2:$F$6000=AM$5),'2016 E Maize Soil VWC'!$G$2:$G$6000)</f>
        <v>#N/A</v>
      </c>
      <c r="AN294" s="1" t="e" cm="1">
        <f t="array" ref="AN294">_xlfn.XLOOKUP(1,('2016 E Maize Soil VWC'!$C$2:$C$6000=$AA294)*('2016 E Maize Soil VWC'!$E$2:$E$6000=$AB294)*('2016 E Maize Soil VWC'!$F$2:$F$6000=AN$5),'2016 E Maize Soil VWC'!$G$2:$G$6000)</f>
        <v>#N/A</v>
      </c>
      <c r="AO294" s="1" t="e" cm="1">
        <f t="array" ref="AO294">_xlfn.XLOOKUP(1,('2016 E Maize Soil VWC'!$C$2:$C$6000=$AA294)*('2016 E Maize Soil VWC'!$E$2:$E$6000=$AB294)*('2016 E Maize Soil VWC'!$F$2:$F$6000=AO$5),'2016 E Maize Soil VWC'!$G$2:$G$6000)</f>
        <v>#N/A</v>
      </c>
      <c r="AP294" s="1" t="e" cm="1">
        <f t="array" ref="AP294">_xlfn.XLOOKUP(1,('2016 E Maize Soil VWC'!$C$2:$C$6000=$AA294)*('2016 E Maize Soil VWC'!$E$2:$E$6000=$AB294)*('2016 E Maize Soil VWC'!$F$2:$F$6000=AP$5),'2016 E Maize Soil VWC'!$G$2:$G$6000)</f>
        <v>#N/A</v>
      </c>
      <c r="AQ294" s="1" t="e" cm="1">
        <f t="array" ref="AQ294">_xlfn.XLOOKUP(1,('2016 E Maize Soil VWC'!$C$2:$C$6000=$AA294)*('2016 E Maize Soil VWC'!$E$2:$E$6000=$AB294)*('2016 E Maize Soil VWC'!$F$2:$F$6000=AQ$5),'2016 E Maize Soil VWC'!$G$2:$G$6000)</f>
        <v>#N/A</v>
      </c>
      <c r="AR294" s="1" t="e" cm="1">
        <f t="array" ref="AR294">_xlfn.XLOOKUP(1,('2016 E Maize Soil VWC'!$C$2:$C$6000=$AA294)*('2016 E Maize Soil VWC'!$E$2:$E$6000=$AB294)*('2016 E Maize Soil VWC'!$F$2:$F$6000=AR$5),'2016 E Maize Soil VWC'!$G$2:$G$6000)</f>
        <v>#N/A</v>
      </c>
      <c r="AS294" s="1" t="e" cm="1">
        <f t="array" ref="AS294">_xlfn.XLOOKUP(1,('2016 E Maize Soil VWC'!$C$2:$C$6000=$AA294)*('2016 E Maize Soil VWC'!$E$2:$E$6000=$AB294)*('2016 E Maize Soil VWC'!$F$2:$F$6000=AS$5),'2016 E Maize Soil VWC'!$G$2:$G$6000)</f>
        <v>#N/A</v>
      </c>
      <c r="AT294" s="1" t="e" cm="1">
        <f t="array" ref="AT294">_xlfn.XLOOKUP(1,('2016 E Maize Soil VWC'!$C$2:$C$6000=$AA294)*('2016 E Maize Soil VWC'!$E$2:$E$6000=$AB294)*('2016 E Maize Soil VWC'!$F$2:$F$6000=AT$5),'2016 E Maize Soil VWC'!$G$2:$G$6000)</f>
        <v>#N/A</v>
      </c>
      <c r="AU294" s="1" t="e" cm="1">
        <f t="array" ref="AU294">_xlfn.XLOOKUP(1,('2016 E Maize Soil VWC'!$C$2:$C$6000=$AA294)*('2016 E Maize Soil VWC'!$E$2:$E$6000=$AB294)*('2016 E Maize Soil VWC'!$F$2:$F$6000=AU$5),'2016 E Maize Soil VWC'!$G$2:$G$6000)</f>
        <v>#N/A</v>
      </c>
      <c r="AV294" s="1" t="e" cm="1">
        <f t="array" ref="AV294">_xlfn.XLOOKUP(1,('2016 E Maize Soil VWC'!$C$2:$C$6000=$AA294)*('2016 E Maize Soil VWC'!$E$2:$E$6000=$AB294)*('2016 E Maize Soil VWC'!$F$2:$F$6000=AV$5),'2016 E Maize Soil VWC'!$G$2:$G$6000)</f>
        <v>#N/A</v>
      </c>
    </row>
    <row r="295" spans="25:64" x14ac:dyDescent="0.25">
      <c r="AA295" s="18">
        <f t="shared" si="47"/>
        <v>42369</v>
      </c>
      <c r="AB295" s="1">
        <f t="shared" si="48"/>
        <v>70</v>
      </c>
      <c r="AC295" s="1" t="e" cm="1">
        <f t="array" ref="AC295">_xlfn.XLOOKUP(1,('2016 E Maize Soil VWC'!$C$2:$C$6000=$AA295)*('2016 E Maize Soil VWC'!$E$2:$E$6000=$AB295)*('2016 E Maize Soil VWC'!$F$2:$F$6000=AC$5),'2016 E Maize Soil VWC'!$G$2:$G$6000)</f>
        <v>#N/A</v>
      </c>
      <c r="AD295" s="1" t="e" cm="1">
        <f t="array" ref="AD295">_xlfn.XLOOKUP(1,('2016 E Maize Soil VWC'!$C$2:$C$6000=$AA295)*('2016 E Maize Soil VWC'!$E$2:$E$6000=$AB295)*('2016 E Maize Soil VWC'!$F$2:$F$6000=AD$5),'2016 E Maize Soil VWC'!$G$2:$G$6000)</f>
        <v>#N/A</v>
      </c>
      <c r="AE295" s="1" t="e" cm="1">
        <f t="array" ref="AE295">_xlfn.XLOOKUP(1,('2016 E Maize Soil VWC'!$C$2:$C$6000=$AA295)*('2016 E Maize Soil VWC'!$E$2:$E$6000=$AB295)*('2016 E Maize Soil VWC'!$F$2:$F$6000=AE$5),'2016 E Maize Soil VWC'!$G$2:$G$6000)</f>
        <v>#N/A</v>
      </c>
      <c r="AF295" s="1" t="e" cm="1">
        <f t="array" ref="AF295">_xlfn.XLOOKUP(1,('2016 E Maize Soil VWC'!$C$2:$C$6000=$AA295)*('2016 E Maize Soil VWC'!$E$2:$E$6000=$AB295)*('2016 E Maize Soil VWC'!$F$2:$F$6000=AF$5),'2016 E Maize Soil VWC'!$G$2:$G$6000)</f>
        <v>#N/A</v>
      </c>
      <c r="AG295" s="1" t="e" cm="1">
        <f t="array" ref="AG295">_xlfn.XLOOKUP(1,('2016 E Maize Soil VWC'!$C$2:$C$6000=$AA295)*('2016 E Maize Soil VWC'!$E$2:$E$6000=$AB295)*('2016 E Maize Soil VWC'!$F$2:$F$6000=AG$5),'2016 E Maize Soil VWC'!$G$2:$G$6000)</f>
        <v>#N/A</v>
      </c>
      <c r="AH295" s="1" t="e" cm="1">
        <f t="array" ref="AH295">_xlfn.XLOOKUP(1,('2016 E Maize Soil VWC'!$C$2:$C$6000=$AA295)*('2016 E Maize Soil VWC'!$E$2:$E$6000=$AB295)*('2016 E Maize Soil VWC'!$F$2:$F$6000=AH$5),'2016 E Maize Soil VWC'!$G$2:$G$6000)</f>
        <v>#N/A</v>
      </c>
      <c r="AI295" s="1" t="e" cm="1">
        <f t="array" ref="AI295">_xlfn.XLOOKUP(1,('2016 E Maize Soil VWC'!$C$2:$C$6000=$AA295)*('2016 E Maize Soil VWC'!$E$2:$E$6000=$AB295)*('2016 E Maize Soil VWC'!$F$2:$F$6000=AI$5),'2016 E Maize Soil VWC'!$G$2:$G$6000)</f>
        <v>#N/A</v>
      </c>
      <c r="AJ295" s="1" t="e" cm="1">
        <f t="array" ref="AJ295">_xlfn.XLOOKUP(1,('2016 E Maize Soil VWC'!$C$2:$C$6000=$AA295)*('2016 E Maize Soil VWC'!$E$2:$E$6000=$AB295)*('2016 E Maize Soil VWC'!$F$2:$F$6000=AJ$5),'2016 E Maize Soil VWC'!$G$2:$G$6000)</f>
        <v>#N/A</v>
      </c>
      <c r="AK295" s="1" t="e" cm="1">
        <f t="array" ref="AK295">_xlfn.XLOOKUP(1,('2016 E Maize Soil VWC'!$C$2:$C$6000=$AA295)*('2016 E Maize Soil VWC'!$E$2:$E$6000=$AB295)*('2016 E Maize Soil VWC'!$F$2:$F$6000=AK$5),'2016 E Maize Soil VWC'!$G$2:$G$6000)</f>
        <v>#N/A</v>
      </c>
      <c r="AL295" s="1" t="e" cm="1">
        <f t="array" ref="AL295">_xlfn.XLOOKUP(1,('2016 E Maize Soil VWC'!$C$2:$C$6000=$AA295)*('2016 E Maize Soil VWC'!$E$2:$E$6000=$AB295)*('2016 E Maize Soil VWC'!$F$2:$F$6000=AL$5),'2016 E Maize Soil VWC'!$G$2:$G$6000)</f>
        <v>#N/A</v>
      </c>
      <c r="AM295" s="1" t="e" cm="1">
        <f t="array" ref="AM295">_xlfn.XLOOKUP(1,('2016 E Maize Soil VWC'!$C$2:$C$6000=$AA295)*('2016 E Maize Soil VWC'!$E$2:$E$6000=$AB295)*('2016 E Maize Soil VWC'!$F$2:$F$6000=AM$5),'2016 E Maize Soil VWC'!$G$2:$G$6000)</f>
        <v>#N/A</v>
      </c>
      <c r="AN295" s="1" t="e" cm="1">
        <f t="array" ref="AN295">_xlfn.XLOOKUP(1,('2016 E Maize Soil VWC'!$C$2:$C$6000=$AA295)*('2016 E Maize Soil VWC'!$E$2:$E$6000=$AB295)*('2016 E Maize Soil VWC'!$F$2:$F$6000=AN$5),'2016 E Maize Soil VWC'!$G$2:$G$6000)</f>
        <v>#N/A</v>
      </c>
      <c r="AO295" s="1" t="e" cm="1">
        <f t="array" ref="AO295">_xlfn.XLOOKUP(1,('2016 E Maize Soil VWC'!$C$2:$C$6000=$AA295)*('2016 E Maize Soil VWC'!$E$2:$E$6000=$AB295)*('2016 E Maize Soil VWC'!$F$2:$F$6000=AO$5),'2016 E Maize Soil VWC'!$G$2:$G$6000)</f>
        <v>#N/A</v>
      </c>
      <c r="AP295" s="1" t="e" cm="1">
        <f t="array" ref="AP295">_xlfn.XLOOKUP(1,('2016 E Maize Soil VWC'!$C$2:$C$6000=$AA295)*('2016 E Maize Soil VWC'!$E$2:$E$6000=$AB295)*('2016 E Maize Soil VWC'!$F$2:$F$6000=AP$5),'2016 E Maize Soil VWC'!$G$2:$G$6000)</f>
        <v>#N/A</v>
      </c>
      <c r="AQ295" s="1" t="e" cm="1">
        <f t="array" ref="AQ295">_xlfn.XLOOKUP(1,('2016 E Maize Soil VWC'!$C$2:$C$6000=$AA295)*('2016 E Maize Soil VWC'!$E$2:$E$6000=$AB295)*('2016 E Maize Soil VWC'!$F$2:$F$6000=AQ$5),'2016 E Maize Soil VWC'!$G$2:$G$6000)</f>
        <v>#N/A</v>
      </c>
      <c r="AR295" s="1" t="e" cm="1">
        <f t="array" ref="AR295">_xlfn.XLOOKUP(1,('2016 E Maize Soil VWC'!$C$2:$C$6000=$AA295)*('2016 E Maize Soil VWC'!$E$2:$E$6000=$AB295)*('2016 E Maize Soil VWC'!$F$2:$F$6000=AR$5),'2016 E Maize Soil VWC'!$G$2:$G$6000)</f>
        <v>#N/A</v>
      </c>
      <c r="AS295" s="1" t="e" cm="1">
        <f t="array" ref="AS295">_xlfn.XLOOKUP(1,('2016 E Maize Soil VWC'!$C$2:$C$6000=$AA295)*('2016 E Maize Soil VWC'!$E$2:$E$6000=$AB295)*('2016 E Maize Soil VWC'!$F$2:$F$6000=AS$5),'2016 E Maize Soil VWC'!$G$2:$G$6000)</f>
        <v>#N/A</v>
      </c>
      <c r="AT295" s="1" t="e" cm="1">
        <f t="array" ref="AT295">_xlfn.XLOOKUP(1,('2016 E Maize Soil VWC'!$C$2:$C$6000=$AA295)*('2016 E Maize Soil VWC'!$E$2:$E$6000=$AB295)*('2016 E Maize Soil VWC'!$F$2:$F$6000=AT$5),'2016 E Maize Soil VWC'!$G$2:$G$6000)</f>
        <v>#N/A</v>
      </c>
      <c r="AU295" s="1" t="e" cm="1">
        <f t="array" ref="AU295">_xlfn.XLOOKUP(1,('2016 E Maize Soil VWC'!$C$2:$C$6000=$AA295)*('2016 E Maize Soil VWC'!$E$2:$E$6000=$AB295)*('2016 E Maize Soil VWC'!$F$2:$F$6000=AU$5),'2016 E Maize Soil VWC'!$G$2:$G$6000)</f>
        <v>#N/A</v>
      </c>
      <c r="AV295" s="1" t="e" cm="1">
        <f t="array" ref="AV295">_xlfn.XLOOKUP(1,('2016 E Maize Soil VWC'!$C$2:$C$6000=$AA295)*('2016 E Maize Soil VWC'!$E$2:$E$6000=$AB295)*('2016 E Maize Soil VWC'!$F$2:$F$6000=AV$5),'2016 E Maize Soil VWC'!$G$2:$G$6000)</f>
        <v>#N/A</v>
      </c>
    </row>
    <row r="296" spans="25:64" x14ac:dyDescent="0.25">
      <c r="AA296" s="18">
        <f t="shared" si="47"/>
        <v>42369</v>
      </c>
      <c r="AB296" s="1">
        <f t="shared" si="48"/>
        <v>90</v>
      </c>
      <c r="AC296" s="1" t="e" cm="1">
        <f t="array" ref="AC296">_xlfn.XLOOKUP(1,('2016 E Maize Soil VWC'!$C$2:$C$6000=$AA296)*('2016 E Maize Soil VWC'!$E$2:$E$6000=$AB296)*('2016 E Maize Soil VWC'!$F$2:$F$6000=AC$5),'2016 E Maize Soil VWC'!$G$2:$G$6000)</f>
        <v>#N/A</v>
      </c>
      <c r="AD296" s="1" t="e" cm="1">
        <f t="array" ref="AD296">_xlfn.XLOOKUP(1,('2016 E Maize Soil VWC'!$C$2:$C$6000=$AA296)*('2016 E Maize Soil VWC'!$E$2:$E$6000=$AB296)*('2016 E Maize Soil VWC'!$F$2:$F$6000=AD$5),'2016 E Maize Soil VWC'!$G$2:$G$6000)</f>
        <v>#N/A</v>
      </c>
      <c r="AE296" s="1" t="e" cm="1">
        <f t="array" ref="AE296">_xlfn.XLOOKUP(1,('2016 E Maize Soil VWC'!$C$2:$C$6000=$AA296)*('2016 E Maize Soil VWC'!$E$2:$E$6000=$AB296)*('2016 E Maize Soil VWC'!$F$2:$F$6000=AE$5),'2016 E Maize Soil VWC'!$G$2:$G$6000)</f>
        <v>#N/A</v>
      </c>
      <c r="AF296" s="1" t="e" cm="1">
        <f t="array" ref="AF296">_xlfn.XLOOKUP(1,('2016 E Maize Soil VWC'!$C$2:$C$6000=$AA296)*('2016 E Maize Soil VWC'!$E$2:$E$6000=$AB296)*('2016 E Maize Soil VWC'!$F$2:$F$6000=AF$5),'2016 E Maize Soil VWC'!$G$2:$G$6000)</f>
        <v>#N/A</v>
      </c>
      <c r="AG296" s="1" t="e" cm="1">
        <f t="array" ref="AG296">_xlfn.XLOOKUP(1,('2016 E Maize Soil VWC'!$C$2:$C$6000=$AA296)*('2016 E Maize Soil VWC'!$E$2:$E$6000=$AB296)*('2016 E Maize Soil VWC'!$F$2:$F$6000=AG$5),'2016 E Maize Soil VWC'!$G$2:$G$6000)</f>
        <v>#N/A</v>
      </c>
      <c r="AH296" s="1" t="e" cm="1">
        <f t="array" ref="AH296">_xlfn.XLOOKUP(1,('2016 E Maize Soil VWC'!$C$2:$C$6000=$AA296)*('2016 E Maize Soil VWC'!$E$2:$E$6000=$AB296)*('2016 E Maize Soil VWC'!$F$2:$F$6000=AH$5),'2016 E Maize Soil VWC'!$G$2:$G$6000)</f>
        <v>#N/A</v>
      </c>
      <c r="AI296" s="1" t="e" cm="1">
        <f t="array" ref="AI296">_xlfn.XLOOKUP(1,('2016 E Maize Soil VWC'!$C$2:$C$6000=$AA296)*('2016 E Maize Soil VWC'!$E$2:$E$6000=$AB296)*('2016 E Maize Soil VWC'!$F$2:$F$6000=AI$5),'2016 E Maize Soil VWC'!$G$2:$G$6000)</f>
        <v>#N/A</v>
      </c>
      <c r="AJ296" s="1" t="e" cm="1">
        <f t="array" ref="AJ296">_xlfn.XLOOKUP(1,('2016 E Maize Soil VWC'!$C$2:$C$6000=$AA296)*('2016 E Maize Soil VWC'!$E$2:$E$6000=$AB296)*('2016 E Maize Soil VWC'!$F$2:$F$6000=AJ$5),'2016 E Maize Soil VWC'!$G$2:$G$6000)</f>
        <v>#N/A</v>
      </c>
      <c r="AK296" s="1" t="e" cm="1">
        <f t="array" ref="AK296">_xlfn.XLOOKUP(1,('2016 E Maize Soil VWC'!$C$2:$C$6000=$AA296)*('2016 E Maize Soil VWC'!$E$2:$E$6000=$AB296)*('2016 E Maize Soil VWC'!$F$2:$F$6000=AK$5),'2016 E Maize Soil VWC'!$G$2:$G$6000)</f>
        <v>#N/A</v>
      </c>
      <c r="AL296" s="1" t="e" cm="1">
        <f t="array" ref="AL296">_xlfn.XLOOKUP(1,('2016 E Maize Soil VWC'!$C$2:$C$6000=$AA296)*('2016 E Maize Soil VWC'!$E$2:$E$6000=$AB296)*('2016 E Maize Soil VWC'!$F$2:$F$6000=AL$5),'2016 E Maize Soil VWC'!$G$2:$G$6000)</f>
        <v>#N/A</v>
      </c>
      <c r="AM296" s="1" t="e" cm="1">
        <f t="array" ref="AM296">_xlfn.XLOOKUP(1,('2016 E Maize Soil VWC'!$C$2:$C$6000=$AA296)*('2016 E Maize Soil VWC'!$E$2:$E$6000=$AB296)*('2016 E Maize Soil VWC'!$F$2:$F$6000=AM$5),'2016 E Maize Soil VWC'!$G$2:$G$6000)</f>
        <v>#N/A</v>
      </c>
      <c r="AN296" s="1" t="e" cm="1">
        <f t="array" ref="AN296">_xlfn.XLOOKUP(1,('2016 E Maize Soil VWC'!$C$2:$C$6000=$AA296)*('2016 E Maize Soil VWC'!$E$2:$E$6000=$AB296)*('2016 E Maize Soil VWC'!$F$2:$F$6000=AN$5),'2016 E Maize Soil VWC'!$G$2:$G$6000)</f>
        <v>#N/A</v>
      </c>
      <c r="AO296" s="1" t="e" cm="1">
        <f t="array" ref="AO296">_xlfn.XLOOKUP(1,('2016 E Maize Soil VWC'!$C$2:$C$6000=$AA296)*('2016 E Maize Soil VWC'!$E$2:$E$6000=$AB296)*('2016 E Maize Soil VWC'!$F$2:$F$6000=AO$5),'2016 E Maize Soil VWC'!$G$2:$G$6000)</f>
        <v>#N/A</v>
      </c>
      <c r="AP296" s="1" t="e" cm="1">
        <f t="array" ref="AP296">_xlfn.XLOOKUP(1,('2016 E Maize Soil VWC'!$C$2:$C$6000=$AA296)*('2016 E Maize Soil VWC'!$E$2:$E$6000=$AB296)*('2016 E Maize Soil VWC'!$F$2:$F$6000=AP$5),'2016 E Maize Soil VWC'!$G$2:$G$6000)</f>
        <v>#N/A</v>
      </c>
      <c r="AQ296" s="1" t="e" cm="1">
        <f t="array" ref="AQ296">_xlfn.XLOOKUP(1,('2016 E Maize Soil VWC'!$C$2:$C$6000=$AA296)*('2016 E Maize Soil VWC'!$E$2:$E$6000=$AB296)*('2016 E Maize Soil VWC'!$F$2:$F$6000=AQ$5),'2016 E Maize Soil VWC'!$G$2:$G$6000)</f>
        <v>#N/A</v>
      </c>
      <c r="AR296" s="1" t="e" cm="1">
        <f t="array" ref="AR296">_xlfn.XLOOKUP(1,('2016 E Maize Soil VWC'!$C$2:$C$6000=$AA296)*('2016 E Maize Soil VWC'!$E$2:$E$6000=$AB296)*('2016 E Maize Soil VWC'!$F$2:$F$6000=AR$5),'2016 E Maize Soil VWC'!$G$2:$G$6000)</f>
        <v>#N/A</v>
      </c>
      <c r="AS296" s="1" t="e" cm="1">
        <f t="array" ref="AS296">_xlfn.XLOOKUP(1,('2016 E Maize Soil VWC'!$C$2:$C$6000=$AA296)*('2016 E Maize Soil VWC'!$E$2:$E$6000=$AB296)*('2016 E Maize Soil VWC'!$F$2:$F$6000=AS$5),'2016 E Maize Soil VWC'!$G$2:$G$6000)</f>
        <v>#N/A</v>
      </c>
      <c r="AT296" s="1" t="e" cm="1">
        <f t="array" ref="AT296">_xlfn.XLOOKUP(1,('2016 E Maize Soil VWC'!$C$2:$C$6000=$AA296)*('2016 E Maize Soil VWC'!$E$2:$E$6000=$AB296)*('2016 E Maize Soil VWC'!$F$2:$F$6000=AT$5),'2016 E Maize Soil VWC'!$G$2:$G$6000)</f>
        <v>#N/A</v>
      </c>
      <c r="AU296" s="1" t="e" cm="1">
        <f t="array" ref="AU296">_xlfn.XLOOKUP(1,('2016 E Maize Soil VWC'!$C$2:$C$6000=$AA296)*('2016 E Maize Soil VWC'!$E$2:$E$6000=$AB296)*('2016 E Maize Soil VWC'!$F$2:$F$6000=AU$5),'2016 E Maize Soil VWC'!$G$2:$G$6000)</f>
        <v>#N/A</v>
      </c>
      <c r="AV296" s="1" t="e" cm="1">
        <f t="array" ref="AV296">_xlfn.XLOOKUP(1,('2016 E Maize Soil VWC'!$C$2:$C$6000=$AA296)*('2016 E Maize Soil VWC'!$E$2:$E$6000=$AB296)*('2016 E Maize Soil VWC'!$F$2:$F$6000=AV$5),'2016 E Maize Soil VWC'!$G$2:$G$6000)</f>
        <v>#N/A</v>
      </c>
    </row>
    <row r="297" spans="25:64" x14ac:dyDescent="0.25">
      <c r="AA297" s="18">
        <f t="shared" si="47"/>
        <v>42369</v>
      </c>
      <c r="AB297" s="1">
        <f t="shared" si="48"/>
        <v>110</v>
      </c>
      <c r="AC297" s="1" t="e" cm="1">
        <f t="array" ref="AC297">_xlfn.XLOOKUP(1,('2016 E Maize Soil VWC'!$C$2:$C$6000=$AA297)*('2016 E Maize Soil VWC'!$E$2:$E$6000=$AB297)*('2016 E Maize Soil VWC'!$F$2:$F$6000=AC$5),'2016 E Maize Soil VWC'!$G$2:$G$6000)</f>
        <v>#N/A</v>
      </c>
      <c r="AD297" s="1" t="e" cm="1">
        <f t="array" ref="AD297">_xlfn.XLOOKUP(1,('2016 E Maize Soil VWC'!$C$2:$C$6000=$AA297)*('2016 E Maize Soil VWC'!$E$2:$E$6000=$AB297)*('2016 E Maize Soil VWC'!$F$2:$F$6000=AD$5),'2016 E Maize Soil VWC'!$G$2:$G$6000)</f>
        <v>#N/A</v>
      </c>
      <c r="AE297" s="1" t="e" cm="1">
        <f t="array" ref="AE297">_xlfn.XLOOKUP(1,('2016 E Maize Soil VWC'!$C$2:$C$6000=$AA297)*('2016 E Maize Soil VWC'!$E$2:$E$6000=$AB297)*('2016 E Maize Soil VWC'!$F$2:$F$6000=AE$5),'2016 E Maize Soil VWC'!$G$2:$G$6000)</f>
        <v>#N/A</v>
      </c>
      <c r="AF297" s="1" t="e" cm="1">
        <f t="array" ref="AF297">_xlfn.XLOOKUP(1,('2016 E Maize Soil VWC'!$C$2:$C$6000=$AA297)*('2016 E Maize Soil VWC'!$E$2:$E$6000=$AB297)*('2016 E Maize Soil VWC'!$F$2:$F$6000=AF$5),'2016 E Maize Soil VWC'!$G$2:$G$6000)</f>
        <v>#N/A</v>
      </c>
      <c r="AG297" s="1" t="e" cm="1">
        <f t="array" ref="AG297">_xlfn.XLOOKUP(1,('2016 E Maize Soil VWC'!$C$2:$C$6000=$AA297)*('2016 E Maize Soil VWC'!$E$2:$E$6000=$AB297)*('2016 E Maize Soil VWC'!$F$2:$F$6000=AG$5),'2016 E Maize Soil VWC'!$G$2:$G$6000)</f>
        <v>#N/A</v>
      </c>
      <c r="AH297" s="1" t="e" cm="1">
        <f t="array" ref="AH297">_xlfn.XLOOKUP(1,('2016 E Maize Soil VWC'!$C$2:$C$6000=$AA297)*('2016 E Maize Soil VWC'!$E$2:$E$6000=$AB297)*('2016 E Maize Soil VWC'!$F$2:$F$6000=AH$5),'2016 E Maize Soil VWC'!$G$2:$G$6000)</f>
        <v>#N/A</v>
      </c>
      <c r="AI297" s="1" t="e" cm="1">
        <f t="array" ref="AI297">_xlfn.XLOOKUP(1,('2016 E Maize Soil VWC'!$C$2:$C$6000=$AA297)*('2016 E Maize Soil VWC'!$E$2:$E$6000=$AB297)*('2016 E Maize Soil VWC'!$F$2:$F$6000=AI$5),'2016 E Maize Soil VWC'!$G$2:$G$6000)</f>
        <v>#N/A</v>
      </c>
      <c r="AJ297" s="1" t="e" cm="1">
        <f t="array" ref="AJ297">_xlfn.XLOOKUP(1,('2016 E Maize Soil VWC'!$C$2:$C$6000=$AA297)*('2016 E Maize Soil VWC'!$E$2:$E$6000=$AB297)*('2016 E Maize Soil VWC'!$F$2:$F$6000=AJ$5),'2016 E Maize Soil VWC'!$G$2:$G$6000)</f>
        <v>#N/A</v>
      </c>
      <c r="AK297" s="1" t="e" cm="1">
        <f t="array" ref="AK297">_xlfn.XLOOKUP(1,('2016 E Maize Soil VWC'!$C$2:$C$6000=$AA297)*('2016 E Maize Soil VWC'!$E$2:$E$6000=$AB297)*('2016 E Maize Soil VWC'!$F$2:$F$6000=AK$5),'2016 E Maize Soil VWC'!$G$2:$G$6000)</f>
        <v>#N/A</v>
      </c>
      <c r="AL297" s="1" t="e" cm="1">
        <f t="array" ref="AL297">_xlfn.XLOOKUP(1,('2016 E Maize Soil VWC'!$C$2:$C$6000=$AA297)*('2016 E Maize Soil VWC'!$E$2:$E$6000=$AB297)*('2016 E Maize Soil VWC'!$F$2:$F$6000=AL$5),'2016 E Maize Soil VWC'!$G$2:$G$6000)</f>
        <v>#N/A</v>
      </c>
      <c r="AM297" s="1" t="e" cm="1">
        <f t="array" ref="AM297">_xlfn.XLOOKUP(1,('2016 E Maize Soil VWC'!$C$2:$C$6000=$AA297)*('2016 E Maize Soil VWC'!$E$2:$E$6000=$AB297)*('2016 E Maize Soil VWC'!$F$2:$F$6000=AM$5),'2016 E Maize Soil VWC'!$G$2:$G$6000)</f>
        <v>#N/A</v>
      </c>
      <c r="AN297" s="1" t="e" cm="1">
        <f t="array" ref="AN297">_xlfn.XLOOKUP(1,('2016 E Maize Soil VWC'!$C$2:$C$6000=$AA297)*('2016 E Maize Soil VWC'!$E$2:$E$6000=$AB297)*('2016 E Maize Soil VWC'!$F$2:$F$6000=AN$5),'2016 E Maize Soil VWC'!$G$2:$G$6000)</f>
        <v>#N/A</v>
      </c>
      <c r="AO297" s="1" t="e" cm="1">
        <f t="array" ref="AO297">_xlfn.XLOOKUP(1,('2016 E Maize Soil VWC'!$C$2:$C$6000=$AA297)*('2016 E Maize Soil VWC'!$E$2:$E$6000=$AB297)*('2016 E Maize Soil VWC'!$F$2:$F$6000=AO$5),'2016 E Maize Soil VWC'!$G$2:$G$6000)</f>
        <v>#N/A</v>
      </c>
      <c r="AP297" s="1" t="e" cm="1">
        <f t="array" ref="AP297">_xlfn.XLOOKUP(1,('2016 E Maize Soil VWC'!$C$2:$C$6000=$AA297)*('2016 E Maize Soil VWC'!$E$2:$E$6000=$AB297)*('2016 E Maize Soil VWC'!$F$2:$F$6000=AP$5),'2016 E Maize Soil VWC'!$G$2:$G$6000)</f>
        <v>#N/A</v>
      </c>
      <c r="AQ297" s="1" t="e" cm="1">
        <f t="array" ref="AQ297">_xlfn.XLOOKUP(1,('2016 E Maize Soil VWC'!$C$2:$C$6000=$AA297)*('2016 E Maize Soil VWC'!$E$2:$E$6000=$AB297)*('2016 E Maize Soil VWC'!$F$2:$F$6000=AQ$5),'2016 E Maize Soil VWC'!$G$2:$G$6000)</f>
        <v>#N/A</v>
      </c>
      <c r="AR297" s="1" t="e" cm="1">
        <f t="array" ref="AR297">_xlfn.XLOOKUP(1,('2016 E Maize Soil VWC'!$C$2:$C$6000=$AA297)*('2016 E Maize Soil VWC'!$E$2:$E$6000=$AB297)*('2016 E Maize Soil VWC'!$F$2:$F$6000=AR$5),'2016 E Maize Soil VWC'!$G$2:$G$6000)</f>
        <v>#N/A</v>
      </c>
      <c r="AS297" s="1" t="e" cm="1">
        <f t="array" ref="AS297">_xlfn.XLOOKUP(1,('2016 E Maize Soil VWC'!$C$2:$C$6000=$AA297)*('2016 E Maize Soil VWC'!$E$2:$E$6000=$AB297)*('2016 E Maize Soil VWC'!$F$2:$F$6000=AS$5),'2016 E Maize Soil VWC'!$G$2:$G$6000)</f>
        <v>#N/A</v>
      </c>
      <c r="AT297" s="1" t="e" cm="1">
        <f t="array" ref="AT297">_xlfn.XLOOKUP(1,('2016 E Maize Soil VWC'!$C$2:$C$6000=$AA297)*('2016 E Maize Soil VWC'!$E$2:$E$6000=$AB297)*('2016 E Maize Soil VWC'!$F$2:$F$6000=AT$5),'2016 E Maize Soil VWC'!$G$2:$G$6000)</f>
        <v>#N/A</v>
      </c>
      <c r="AU297" s="1" t="e" cm="1">
        <f t="array" ref="AU297">_xlfn.XLOOKUP(1,('2016 E Maize Soil VWC'!$C$2:$C$6000=$AA297)*('2016 E Maize Soil VWC'!$E$2:$E$6000=$AB297)*('2016 E Maize Soil VWC'!$F$2:$F$6000=AU$5),'2016 E Maize Soil VWC'!$G$2:$G$6000)</f>
        <v>#N/A</v>
      </c>
      <c r="AV297" s="1" t="e" cm="1">
        <f t="array" ref="AV297">_xlfn.XLOOKUP(1,('2016 E Maize Soil VWC'!$C$2:$C$6000=$AA297)*('2016 E Maize Soil VWC'!$E$2:$E$6000=$AB297)*('2016 E Maize Soil VWC'!$F$2:$F$6000=AV$5),'2016 E Maize Soil VWC'!$G$2:$G$6000)</f>
        <v>#N/A</v>
      </c>
    </row>
    <row r="298" spans="25:64" x14ac:dyDescent="0.25">
      <c r="AA298" s="18">
        <f t="shared" si="47"/>
        <v>42369</v>
      </c>
      <c r="AB298" s="1">
        <f t="shared" si="48"/>
        <v>130</v>
      </c>
      <c r="AC298" s="1" t="e" cm="1">
        <f t="array" ref="AC298">_xlfn.XLOOKUP(1,('2016 E Maize Soil VWC'!$C$2:$C$6000=$AA298)*('2016 E Maize Soil VWC'!$E$2:$E$6000=$AB298)*('2016 E Maize Soil VWC'!$F$2:$F$6000=AC$5),'2016 E Maize Soil VWC'!$G$2:$G$6000)</f>
        <v>#N/A</v>
      </c>
      <c r="AD298" s="1" t="e" cm="1">
        <f t="array" ref="AD298">_xlfn.XLOOKUP(1,('2016 E Maize Soil VWC'!$C$2:$C$6000=$AA298)*('2016 E Maize Soil VWC'!$E$2:$E$6000=$AB298)*('2016 E Maize Soil VWC'!$F$2:$F$6000=AD$5),'2016 E Maize Soil VWC'!$G$2:$G$6000)</f>
        <v>#N/A</v>
      </c>
      <c r="AE298" s="1" t="e" cm="1">
        <f t="array" ref="AE298">_xlfn.XLOOKUP(1,('2016 E Maize Soil VWC'!$C$2:$C$6000=$AA298)*('2016 E Maize Soil VWC'!$E$2:$E$6000=$AB298)*('2016 E Maize Soil VWC'!$F$2:$F$6000=AE$5),'2016 E Maize Soil VWC'!$G$2:$G$6000)</f>
        <v>#N/A</v>
      </c>
      <c r="AF298" s="1" t="e" cm="1">
        <f t="array" ref="AF298">_xlfn.XLOOKUP(1,('2016 E Maize Soil VWC'!$C$2:$C$6000=$AA298)*('2016 E Maize Soil VWC'!$E$2:$E$6000=$AB298)*('2016 E Maize Soil VWC'!$F$2:$F$6000=AF$5),'2016 E Maize Soil VWC'!$G$2:$G$6000)</f>
        <v>#N/A</v>
      </c>
      <c r="AG298" s="1" t="e" cm="1">
        <f t="array" ref="AG298">_xlfn.XLOOKUP(1,('2016 E Maize Soil VWC'!$C$2:$C$6000=$AA298)*('2016 E Maize Soil VWC'!$E$2:$E$6000=$AB298)*('2016 E Maize Soil VWC'!$F$2:$F$6000=AG$5),'2016 E Maize Soil VWC'!$G$2:$G$6000)</f>
        <v>#N/A</v>
      </c>
      <c r="AH298" s="1" t="e" cm="1">
        <f t="array" ref="AH298">_xlfn.XLOOKUP(1,('2016 E Maize Soil VWC'!$C$2:$C$6000=$AA298)*('2016 E Maize Soil VWC'!$E$2:$E$6000=$AB298)*('2016 E Maize Soil VWC'!$F$2:$F$6000=AH$5),'2016 E Maize Soil VWC'!$G$2:$G$6000)</f>
        <v>#N/A</v>
      </c>
      <c r="AI298" s="1" t="e" cm="1">
        <f t="array" ref="AI298">_xlfn.XLOOKUP(1,('2016 E Maize Soil VWC'!$C$2:$C$6000=$AA298)*('2016 E Maize Soil VWC'!$E$2:$E$6000=$AB298)*('2016 E Maize Soil VWC'!$F$2:$F$6000=AI$5),'2016 E Maize Soil VWC'!$G$2:$G$6000)</f>
        <v>#N/A</v>
      </c>
      <c r="AJ298" s="1" t="e" cm="1">
        <f t="array" ref="AJ298">_xlfn.XLOOKUP(1,('2016 E Maize Soil VWC'!$C$2:$C$6000=$AA298)*('2016 E Maize Soil VWC'!$E$2:$E$6000=$AB298)*('2016 E Maize Soil VWC'!$F$2:$F$6000=AJ$5),'2016 E Maize Soil VWC'!$G$2:$G$6000)</f>
        <v>#N/A</v>
      </c>
      <c r="AK298" s="1" t="e" cm="1">
        <f t="array" ref="AK298">_xlfn.XLOOKUP(1,('2016 E Maize Soil VWC'!$C$2:$C$6000=$AA298)*('2016 E Maize Soil VWC'!$E$2:$E$6000=$AB298)*('2016 E Maize Soil VWC'!$F$2:$F$6000=AK$5),'2016 E Maize Soil VWC'!$G$2:$G$6000)</f>
        <v>#N/A</v>
      </c>
      <c r="AL298" s="1" t="e" cm="1">
        <f t="array" ref="AL298">_xlfn.XLOOKUP(1,('2016 E Maize Soil VWC'!$C$2:$C$6000=$AA298)*('2016 E Maize Soil VWC'!$E$2:$E$6000=$AB298)*('2016 E Maize Soil VWC'!$F$2:$F$6000=AL$5),'2016 E Maize Soil VWC'!$G$2:$G$6000)</f>
        <v>#N/A</v>
      </c>
      <c r="AM298" s="1" t="e" cm="1">
        <f t="array" ref="AM298">_xlfn.XLOOKUP(1,('2016 E Maize Soil VWC'!$C$2:$C$6000=$AA298)*('2016 E Maize Soil VWC'!$E$2:$E$6000=$AB298)*('2016 E Maize Soil VWC'!$F$2:$F$6000=AM$5),'2016 E Maize Soil VWC'!$G$2:$G$6000)</f>
        <v>#N/A</v>
      </c>
      <c r="AN298" s="1" t="e" cm="1">
        <f t="array" ref="AN298">_xlfn.XLOOKUP(1,('2016 E Maize Soil VWC'!$C$2:$C$6000=$AA298)*('2016 E Maize Soil VWC'!$E$2:$E$6000=$AB298)*('2016 E Maize Soil VWC'!$F$2:$F$6000=AN$5),'2016 E Maize Soil VWC'!$G$2:$G$6000)</f>
        <v>#N/A</v>
      </c>
      <c r="AO298" s="1" t="e" cm="1">
        <f t="array" ref="AO298">_xlfn.XLOOKUP(1,('2016 E Maize Soil VWC'!$C$2:$C$6000=$AA298)*('2016 E Maize Soil VWC'!$E$2:$E$6000=$AB298)*('2016 E Maize Soil VWC'!$F$2:$F$6000=AO$5),'2016 E Maize Soil VWC'!$G$2:$G$6000)</f>
        <v>#N/A</v>
      </c>
      <c r="AP298" s="1" t="e" cm="1">
        <f t="array" ref="AP298">_xlfn.XLOOKUP(1,('2016 E Maize Soil VWC'!$C$2:$C$6000=$AA298)*('2016 E Maize Soil VWC'!$E$2:$E$6000=$AB298)*('2016 E Maize Soil VWC'!$F$2:$F$6000=AP$5),'2016 E Maize Soil VWC'!$G$2:$G$6000)</f>
        <v>#N/A</v>
      </c>
      <c r="AQ298" s="1" t="e" cm="1">
        <f t="array" ref="AQ298">_xlfn.XLOOKUP(1,('2016 E Maize Soil VWC'!$C$2:$C$6000=$AA298)*('2016 E Maize Soil VWC'!$E$2:$E$6000=$AB298)*('2016 E Maize Soil VWC'!$F$2:$F$6000=AQ$5),'2016 E Maize Soil VWC'!$G$2:$G$6000)</f>
        <v>#N/A</v>
      </c>
      <c r="AR298" s="1" t="e" cm="1">
        <f t="array" ref="AR298">_xlfn.XLOOKUP(1,('2016 E Maize Soil VWC'!$C$2:$C$6000=$AA298)*('2016 E Maize Soil VWC'!$E$2:$E$6000=$AB298)*('2016 E Maize Soil VWC'!$F$2:$F$6000=AR$5),'2016 E Maize Soil VWC'!$G$2:$G$6000)</f>
        <v>#N/A</v>
      </c>
      <c r="AS298" s="1" t="e" cm="1">
        <f t="array" ref="AS298">_xlfn.XLOOKUP(1,('2016 E Maize Soil VWC'!$C$2:$C$6000=$AA298)*('2016 E Maize Soil VWC'!$E$2:$E$6000=$AB298)*('2016 E Maize Soil VWC'!$F$2:$F$6000=AS$5),'2016 E Maize Soil VWC'!$G$2:$G$6000)</f>
        <v>#N/A</v>
      </c>
      <c r="AT298" s="1" t="e" cm="1">
        <f t="array" ref="AT298">_xlfn.XLOOKUP(1,('2016 E Maize Soil VWC'!$C$2:$C$6000=$AA298)*('2016 E Maize Soil VWC'!$E$2:$E$6000=$AB298)*('2016 E Maize Soil VWC'!$F$2:$F$6000=AT$5),'2016 E Maize Soil VWC'!$G$2:$G$6000)</f>
        <v>#N/A</v>
      </c>
      <c r="AU298" s="1" t="e" cm="1">
        <f t="array" ref="AU298">_xlfn.XLOOKUP(1,('2016 E Maize Soil VWC'!$C$2:$C$6000=$AA298)*('2016 E Maize Soil VWC'!$E$2:$E$6000=$AB298)*('2016 E Maize Soil VWC'!$F$2:$F$6000=AU$5),'2016 E Maize Soil VWC'!$G$2:$G$6000)</f>
        <v>#N/A</v>
      </c>
      <c r="AV298" s="1" t="e" cm="1">
        <f t="array" ref="AV298">_xlfn.XLOOKUP(1,('2016 E Maize Soil VWC'!$C$2:$C$6000=$AA298)*('2016 E Maize Soil VWC'!$E$2:$E$6000=$AB298)*('2016 E Maize Soil VWC'!$F$2:$F$6000=AV$5),'2016 E Maize Soil VWC'!$G$2:$G$6000)</f>
        <v>#N/A</v>
      </c>
    </row>
    <row r="299" spans="25:64" x14ac:dyDescent="0.25">
      <c r="AA299" s="18">
        <f t="shared" si="47"/>
        <v>42369</v>
      </c>
      <c r="AB299" s="1">
        <f t="shared" si="48"/>
        <v>150</v>
      </c>
      <c r="AC299" s="1" t="e" cm="1">
        <f t="array" ref="AC299">_xlfn.XLOOKUP(1,('2016 E Maize Soil VWC'!$C$2:$C$6000=$AA299)*('2016 E Maize Soil VWC'!$E$2:$E$6000=$AB299)*('2016 E Maize Soil VWC'!$F$2:$F$6000=AC$5),'2016 E Maize Soil VWC'!$G$2:$G$6000)</f>
        <v>#N/A</v>
      </c>
      <c r="AD299" s="1" t="e" cm="1">
        <f t="array" ref="AD299">_xlfn.XLOOKUP(1,('2016 E Maize Soil VWC'!$C$2:$C$6000=$AA299)*('2016 E Maize Soil VWC'!$E$2:$E$6000=$AB299)*('2016 E Maize Soil VWC'!$F$2:$F$6000=AD$5),'2016 E Maize Soil VWC'!$G$2:$G$6000)</f>
        <v>#N/A</v>
      </c>
      <c r="AE299" s="1" t="e" cm="1">
        <f t="array" ref="AE299">_xlfn.XLOOKUP(1,('2016 E Maize Soil VWC'!$C$2:$C$6000=$AA299)*('2016 E Maize Soil VWC'!$E$2:$E$6000=$AB299)*('2016 E Maize Soil VWC'!$F$2:$F$6000=AE$5),'2016 E Maize Soil VWC'!$G$2:$G$6000)</f>
        <v>#N/A</v>
      </c>
      <c r="AF299" s="1" t="e" cm="1">
        <f t="array" ref="AF299">_xlfn.XLOOKUP(1,('2016 E Maize Soil VWC'!$C$2:$C$6000=$AA299)*('2016 E Maize Soil VWC'!$E$2:$E$6000=$AB299)*('2016 E Maize Soil VWC'!$F$2:$F$6000=AF$5),'2016 E Maize Soil VWC'!$G$2:$G$6000)</f>
        <v>#N/A</v>
      </c>
      <c r="AG299" s="1" t="e" cm="1">
        <f t="array" ref="AG299">_xlfn.XLOOKUP(1,('2016 E Maize Soil VWC'!$C$2:$C$6000=$AA299)*('2016 E Maize Soil VWC'!$E$2:$E$6000=$AB299)*('2016 E Maize Soil VWC'!$F$2:$F$6000=AG$5),'2016 E Maize Soil VWC'!$G$2:$G$6000)</f>
        <v>#N/A</v>
      </c>
      <c r="AH299" s="1" t="e" cm="1">
        <f t="array" ref="AH299">_xlfn.XLOOKUP(1,('2016 E Maize Soil VWC'!$C$2:$C$6000=$AA299)*('2016 E Maize Soil VWC'!$E$2:$E$6000=$AB299)*('2016 E Maize Soil VWC'!$F$2:$F$6000=AH$5),'2016 E Maize Soil VWC'!$G$2:$G$6000)</f>
        <v>#N/A</v>
      </c>
      <c r="AI299" s="1" t="e" cm="1">
        <f t="array" ref="AI299">_xlfn.XLOOKUP(1,('2016 E Maize Soil VWC'!$C$2:$C$6000=$AA299)*('2016 E Maize Soil VWC'!$E$2:$E$6000=$AB299)*('2016 E Maize Soil VWC'!$F$2:$F$6000=AI$5),'2016 E Maize Soil VWC'!$G$2:$G$6000)</f>
        <v>#N/A</v>
      </c>
      <c r="AJ299" s="1" t="e" cm="1">
        <f t="array" ref="AJ299">_xlfn.XLOOKUP(1,('2016 E Maize Soil VWC'!$C$2:$C$6000=$AA299)*('2016 E Maize Soil VWC'!$E$2:$E$6000=$AB299)*('2016 E Maize Soil VWC'!$F$2:$F$6000=AJ$5),'2016 E Maize Soil VWC'!$G$2:$G$6000)</f>
        <v>#N/A</v>
      </c>
      <c r="AK299" s="1" t="e" cm="1">
        <f t="array" ref="AK299">_xlfn.XLOOKUP(1,('2016 E Maize Soil VWC'!$C$2:$C$6000=$AA299)*('2016 E Maize Soil VWC'!$E$2:$E$6000=$AB299)*('2016 E Maize Soil VWC'!$F$2:$F$6000=AK$5),'2016 E Maize Soil VWC'!$G$2:$G$6000)</f>
        <v>#N/A</v>
      </c>
      <c r="AL299" s="1" t="e" cm="1">
        <f t="array" ref="AL299">_xlfn.XLOOKUP(1,('2016 E Maize Soil VWC'!$C$2:$C$6000=$AA299)*('2016 E Maize Soil VWC'!$E$2:$E$6000=$AB299)*('2016 E Maize Soil VWC'!$F$2:$F$6000=AL$5),'2016 E Maize Soil VWC'!$G$2:$G$6000)</f>
        <v>#N/A</v>
      </c>
      <c r="AM299" s="1" t="e" cm="1">
        <f t="array" ref="AM299">_xlfn.XLOOKUP(1,('2016 E Maize Soil VWC'!$C$2:$C$6000=$AA299)*('2016 E Maize Soil VWC'!$E$2:$E$6000=$AB299)*('2016 E Maize Soil VWC'!$F$2:$F$6000=AM$5),'2016 E Maize Soil VWC'!$G$2:$G$6000)</f>
        <v>#N/A</v>
      </c>
      <c r="AN299" s="1" t="e" cm="1">
        <f t="array" ref="AN299">_xlfn.XLOOKUP(1,('2016 E Maize Soil VWC'!$C$2:$C$6000=$AA299)*('2016 E Maize Soil VWC'!$E$2:$E$6000=$AB299)*('2016 E Maize Soil VWC'!$F$2:$F$6000=AN$5),'2016 E Maize Soil VWC'!$G$2:$G$6000)</f>
        <v>#N/A</v>
      </c>
      <c r="AO299" s="1" t="e" cm="1">
        <f t="array" ref="AO299">_xlfn.XLOOKUP(1,('2016 E Maize Soil VWC'!$C$2:$C$6000=$AA299)*('2016 E Maize Soil VWC'!$E$2:$E$6000=$AB299)*('2016 E Maize Soil VWC'!$F$2:$F$6000=AO$5),'2016 E Maize Soil VWC'!$G$2:$G$6000)</f>
        <v>#N/A</v>
      </c>
      <c r="AP299" s="1" t="e" cm="1">
        <f t="array" ref="AP299">_xlfn.XLOOKUP(1,('2016 E Maize Soil VWC'!$C$2:$C$6000=$AA299)*('2016 E Maize Soil VWC'!$E$2:$E$6000=$AB299)*('2016 E Maize Soil VWC'!$F$2:$F$6000=AP$5),'2016 E Maize Soil VWC'!$G$2:$G$6000)</f>
        <v>#N/A</v>
      </c>
      <c r="AQ299" s="1" t="e" cm="1">
        <f t="array" ref="AQ299">_xlfn.XLOOKUP(1,('2016 E Maize Soil VWC'!$C$2:$C$6000=$AA299)*('2016 E Maize Soil VWC'!$E$2:$E$6000=$AB299)*('2016 E Maize Soil VWC'!$F$2:$F$6000=AQ$5),'2016 E Maize Soil VWC'!$G$2:$G$6000)</f>
        <v>#N/A</v>
      </c>
      <c r="AR299" s="1" t="e" cm="1">
        <f t="array" ref="AR299">_xlfn.XLOOKUP(1,('2016 E Maize Soil VWC'!$C$2:$C$6000=$AA299)*('2016 E Maize Soil VWC'!$E$2:$E$6000=$AB299)*('2016 E Maize Soil VWC'!$F$2:$F$6000=AR$5),'2016 E Maize Soil VWC'!$G$2:$G$6000)</f>
        <v>#N/A</v>
      </c>
      <c r="AS299" s="1" t="e" cm="1">
        <f t="array" ref="AS299">_xlfn.XLOOKUP(1,('2016 E Maize Soil VWC'!$C$2:$C$6000=$AA299)*('2016 E Maize Soil VWC'!$E$2:$E$6000=$AB299)*('2016 E Maize Soil VWC'!$F$2:$F$6000=AS$5),'2016 E Maize Soil VWC'!$G$2:$G$6000)</f>
        <v>#N/A</v>
      </c>
      <c r="AT299" s="1" t="e" cm="1">
        <f t="array" ref="AT299">_xlfn.XLOOKUP(1,('2016 E Maize Soil VWC'!$C$2:$C$6000=$AA299)*('2016 E Maize Soil VWC'!$E$2:$E$6000=$AB299)*('2016 E Maize Soil VWC'!$F$2:$F$6000=AT$5),'2016 E Maize Soil VWC'!$G$2:$G$6000)</f>
        <v>#N/A</v>
      </c>
      <c r="AU299" s="1" t="e" cm="1">
        <f t="array" ref="AU299">_xlfn.XLOOKUP(1,('2016 E Maize Soil VWC'!$C$2:$C$6000=$AA299)*('2016 E Maize Soil VWC'!$E$2:$E$6000=$AB299)*('2016 E Maize Soil VWC'!$F$2:$F$6000=AU$5),'2016 E Maize Soil VWC'!$G$2:$G$6000)</f>
        <v>#N/A</v>
      </c>
      <c r="AV299" s="1" t="e" cm="1">
        <f t="array" ref="AV299">_xlfn.XLOOKUP(1,('2016 E Maize Soil VWC'!$C$2:$C$6000=$AA299)*('2016 E Maize Soil VWC'!$E$2:$E$6000=$AB299)*('2016 E Maize Soil VWC'!$F$2:$F$6000=AV$5),'2016 E Maize Soil VWC'!$G$2:$G$6000)</f>
        <v>#N/A</v>
      </c>
    </row>
    <row r="300" spans="25:64" x14ac:dyDescent="0.25">
      <c r="AA300" s="18">
        <f t="shared" si="47"/>
        <v>42369</v>
      </c>
      <c r="AB300" s="1">
        <f t="shared" si="48"/>
        <v>170</v>
      </c>
      <c r="AC300" s="1" t="e" cm="1">
        <f t="array" ref="AC300">_xlfn.XLOOKUP(1,('2016 E Maize Soil VWC'!$C$2:$C$6000=$AA300)*('2016 E Maize Soil VWC'!$E$2:$E$6000=$AB300)*('2016 E Maize Soil VWC'!$F$2:$F$6000=AC$5),'2016 E Maize Soil VWC'!$G$2:$G$6000)</f>
        <v>#N/A</v>
      </c>
      <c r="AD300" s="1" t="e" cm="1">
        <f t="array" ref="AD300">_xlfn.XLOOKUP(1,('2016 E Maize Soil VWC'!$C$2:$C$6000=$AA300)*('2016 E Maize Soil VWC'!$E$2:$E$6000=$AB300)*('2016 E Maize Soil VWC'!$F$2:$F$6000=AD$5),'2016 E Maize Soil VWC'!$G$2:$G$6000)</f>
        <v>#N/A</v>
      </c>
      <c r="AE300" s="1" t="e" cm="1">
        <f t="array" ref="AE300">_xlfn.XLOOKUP(1,('2016 E Maize Soil VWC'!$C$2:$C$6000=$AA300)*('2016 E Maize Soil VWC'!$E$2:$E$6000=$AB300)*('2016 E Maize Soil VWC'!$F$2:$F$6000=AE$5),'2016 E Maize Soil VWC'!$G$2:$G$6000)</f>
        <v>#N/A</v>
      </c>
      <c r="AF300" s="1" t="e" cm="1">
        <f t="array" ref="AF300">_xlfn.XLOOKUP(1,('2016 E Maize Soil VWC'!$C$2:$C$6000=$AA300)*('2016 E Maize Soil VWC'!$E$2:$E$6000=$AB300)*('2016 E Maize Soil VWC'!$F$2:$F$6000=AF$5),'2016 E Maize Soil VWC'!$G$2:$G$6000)</f>
        <v>#N/A</v>
      </c>
      <c r="AG300" s="1" t="e" cm="1">
        <f t="array" ref="AG300">_xlfn.XLOOKUP(1,('2016 E Maize Soil VWC'!$C$2:$C$6000=$AA300)*('2016 E Maize Soil VWC'!$E$2:$E$6000=$AB300)*('2016 E Maize Soil VWC'!$F$2:$F$6000=AG$5),'2016 E Maize Soil VWC'!$G$2:$G$6000)</f>
        <v>#N/A</v>
      </c>
      <c r="AH300" s="1" t="e" cm="1">
        <f t="array" ref="AH300">_xlfn.XLOOKUP(1,('2016 E Maize Soil VWC'!$C$2:$C$6000=$AA300)*('2016 E Maize Soil VWC'!$E$2:$E$6000=$AB300)*('2016 E Maize Soil VWC'!$F$2:$F$6000=AH$5),'2016 E Maize Soil VWC'!$G$2:$G$6000)</f>
        <v>#N/A</v>
      </c>
      <c r="AI300" s="1" t="e" cm="1">
        <f t="array" ref="AI300">_xlfn.XLOOKUP(1,('2016 E Maize Soil VWC'!$C$2:$C$6000=$AA300)*('2016 E Maize Soil VWC'!$E$2:$E$6000=$AB300)*('2016 E Maize Soil VWC'!$F$2:$F$6000=AI$5),'2016 E Maize Soil VWC'!$G$2:$G$6000)</f>
        <v>#N/A</v>
      </c>
      <c r="AJ300" s="1" t="e" cm="1">
        <f t="array" ref="AJ300">_xlfn.XLOOKUP(1,('2016 E Maize Soil VWC'!$C$2:$C$6000=$AA300)*('2016 E Maize Soil VWC'!$E$2:$E$6000=$AB300)*('2016 E Maize Soil VWC'!$F$2:$F$6000=AJ$5),'2016 E Maize Soil VWC'!$G$2:$G$6000)</f>
        <v>#N/A</v>
      </c>
      <c r="AK300" s="1" t="e" cm="1">
        <f t="array" ref="AK300">_xlfn.XLOOKUP(1,('2016 E Maize Soil VWC'!$C$2:$C$6000=$AA300)*('2016 E Maize Soil VWC'!$E$2:$E$6000=$AB300)*('2016 E Maize Soil VWC'!$F$2:$F$6000=AK$5),'2016 E Maize Soil VWC'!$G$2:$G$6000)</f>
        <v>#N/A</v>
      </c>
      <c r="AL300" s="1" t="e" cm="1">
        <f t="array" ref="AL300">_xlfn.XLOOKUP(1,('2016 E Maize Soil VWC'!$C$2:$C$6000=$AA300)*('2016 E Maize Soil VWC'!$E$2:$E$6000=$AB300)*('2016 E Maize Soil VWC'!$F$2:$F$6000=AL$5),'2016 E Maize Soil VWC'!$G$2:$G$6000)</f>
        <v>#N/A</v>
      </c>
      <c r="AM300" s="1" t="e" cm="1">
        <f t="array" ref="AM300">_xlfn.XLOOKUP(1,('2016 E Maize Soil VWC'!$C$2:$C$6000=$AA300)*('2016 E Maize Soil VWC'!$E$2:$E$6000=$AB300)*('2016 E Maize Soil VWC'!$F$2:$F$6000=AM$5),'2016 E Maize Soil VWC'!$G$2:$G$6000)</f>
        <v>#N/A</v>
      </c>
      <c r="AN300" s="1" t="e" cm="1">
        <f t="array" ref="AN300">_xlfn.XLOOKUP(1,('2016 E Maize Soil VWC'!$C$2:$C$6000=$AA300)*('2016 E Maize Soil VWC'!$E$2:$E$6000=$AB300)*('2016 E Maize Soil VWC'!$F$2:$F$6000=AN$5),'2016 E Maize Soil VWC'!$G$2:$G$6000)</f>
        <v>#N/A</v>
      </c>
      <c r="AO300" s="1" t="e" cm="1">
        <f t="array" ref="AO300">_xlfn.XLOOKUP(1,('2016 E Maize Soil VWC'!$C$2:$C$6000=$AA300)*('2016 E Maize Soil VWC'!$E$2:$E$6000=$AB300)*('2016 E Maize Soil VWC'!$F$2:$F$6000=AO$5),'2016 E Maize Soil VWC'!$G$2:$G$6000)</f>
        <v>#N/A</v>
      </c>
      <c r="AP300" s="1" t="e" cm="1">
        <f t="array" ref="AP300">_xlfn.XLOOKUP(1,('2016 E Maize Soil VWC'!$C$2:$C$6000=$AA300)*('2016 E Maize Soil VWC'!$E$2:$E$6000=$AB300)*('2016 E Maize Soil VWC'!$F$2:$F$6000=AP$5),'2016 E Maize Soil VWC'!$G$2:$G$6000)</f>
        <v>#N/A</v>
      </c>
      <c r="AQ300" s="1" t="e" cm="1">
        <f t="array" ref="AQ300">_xlfn.XLOOKUP(1,('2016 E Maize Soil VWC'!$C$2:$C$6000=$AA300)*('2016 E Maize Soil VWC'!$E$2:$E$6000=$AB300)*('2016 E Maize Soil VWC'!$F$2:$F$6000=AQ$5),'2016 E Maize Soil VWC'!$G$2:$G$6000)</f>
        <v>#N/A</v>
      </c>
      <c r="AR300" s="1" t="e" cm="1">
        <f t="array" ref="AR300">_xlfn.XLOOKUP(1,('2016 E Maize Soil VWC'!$C$2:$C$6000=$AA300)*('2016 E Maize Soil VWC'!$E$2:$E$6000=$AB300)*('2016 E Maize Soil VWC'!$F$2:$F$6000=AR$5),'2016 E Maize Soil VWC'!$G$2:$G$6000)</f>
        <v>#N/A</v>
      </c>
      <c r="AS300" s="1" t="e" cm="1">
        <f t="array" ref="AS300">_xlfn.XLOOKUP(1,('2016 E Maize Soil VWC'!$C$2:$C$6000=$AA300)*('2016 E Maize Soil VWC'!$E$2:$E$6000=$AB300)*('2016 E Maize Soil VWC'!$F$2:$F$6000=AS$5),'2016 E Maize Soil VWC'!$G$2:$G$6000)</f>
        <v>#N/A</v>
      </c>
      <c r="AT300" s="1" t="e" cm="1">
        <f t="array" ref="AT300">_xlfn.XLOOKUP(1,('2016 E Maize Soil VWC'!$C$2:$C$6000=$AA300)*('2016 E Maize Soil VWC'!$E$2:$E$6000=$AB300)*('2016 E Maize Soil VWC'!$F$2:$F$6000=AT$5),'2016 E Maize Soil VWC'!$G$2:$G$6000)</f>
        <v>#N/A</v>
      </c>
      <c r="AU300" s="1" t="e" cm="1">
        <f t="array" ref="AU300">_xlfn.XLOOKUP(1,('2016 E Maize Soil VWC'!$C$2:$C$6000=$AA300)*('2016 E Maize Soil VWC'!$E$2:$E$6000=$AB300)*('2016 E Maize Soil VWC'!$F$2:$F$6000=AU$5),'2016 E Maize Soil VWC'!$G$2:$G$6000)</f>
        <v>#N/A</v>
      </c>
      <c r="AV300" s="1" t="e" cm="1">
        <f t="array" ref="AV300">_xlfn.XLOOKUP(1,('2016 E Maize Soil VWC'!$C$2:$C$6000=$AA300)*('2016 E Maize Soil VWC'!$E$2:$E$6000=$AB300)*('2016 E Maize Soil VWC'!$F$2:$F$6000=AV$5),'2016 E Maize Soil VWC'!$G$2:$G$6000)</f>
        <v>#N/A</v>
      </c>
    </row>
    <row r="301" spans="25:64" x14ac:dyDescent="0.25">
      <c r="AA301" s="18">
        <f t="shared" si="47"/>
        <v>42369</v>
      </c>
      <c r="AB301" s="1">
        <f t="shared" si="48"/>
        <v>190</v>
      </c>
      <c r="AC301" s="1" t="e" cm="1">
        <f t="array" ref="AC301">_xlfn.XLOOKUP(1,('2016 E Maize Soil VWC'!$C$2:$C$6000=$AA301)*('2016 E Maize Soil VWC'!$E$2:$E$6000=$AB301)*('2016 E Maize Soil VWC'!$F$2:$F$6000=AC$5),'2016 E Maize Soil VWC'!$G$2:$G$6000)</f>
        <v>#N/A</v>
      </c>
      <c r="AD301" s="1" t="e" cm="1">
        <f t="array" ref="AD301">_xlfn.XLOOKUP(1,('2016 E Maize Soil VWC'!$C$2:$C$6000=$AA301)*('2016 E Maize Soil VWC'!$E$2:$E$6000=$AB301)*('2016 E Maize Soil VWC'!$F$2:$F$6000=AD$5),'2016 E Maize Soil VWC'!$G$2:$G$6000)</f>
        <v>#N/A</v>
      </c>
      <c r="AE301" s="1" t="e" cm="1">
        <f t="array" ref="AE301">_xlfn.XLOOKUP(1,('2016 E Maize Soil VWC'!$C$2:$C$6000=$AA301)*('2016 E Maize Soil VWC'!$E$2:$E$6000=$AB301)*('2016 E Maize Soil VWC'!$F$2:$F$6000=AE$5),'2016 E Maize Soil VWC'!$G$2:$G$6000)</f>
        <v>#N/A</v>
      </c>
      <c r="AF301" s="1" t="e" cm="1">
        <f t="array" ref="AF301">_xlfn.XLOOKUP(1,('2016 E Maize Soil VWC'!$C$2:$C$6000=$AA301)*('2016 E Maize Soil VWC'!$E$2:$E$6000=$AB301)*('2016 E Maize Soil VWC'!$F$2:$F$6000=AF$5),'2016 E Maize Soil VWC'!$G$2:$G$6000)</f>
        <v>#N/A</v>
      </c>
      <c r="AG301" s="1" t="e" cm="1">
        <f t="array" ref="AG301">_xlfn.XLOOKUP(1,('2016 E Maize Soil VWC'!$C$2:$C$6000=$AA301)*('2016 E Maize Soil VWC'!$E$2:$E$6000=$AB301)*('2016 E Maize Soil VWC'!$F$2:$F$6000=AG$5),'2016 E Maize Soil VWC'!$G$2:$G$6000)</f>
        <v>#N/A</v>
      </c>
      <c r="AH301" s="1" t="e" cm="1">
        <f t="array" ref="AH301">_xlfn.XLOOKUP(1,('2016 E Maize Soil VWC'!$C$2:$C$6000=$AA301)*('2016 E Maize Soil VWC'!$E$2:$E$6000=$AB301)*('2016 E Maize Soil VWC'!$F$2:$F$6000=AH$5),'2016 E Maize Soil VWC'!$G$2:$G$6000)</f>
        <v>#N/A</v>
      </c>
      <c r="AI301" s="1" t="e" cm="1">
        <f t="array" ref="AI301">_xlfn.XLOOKUP(1,('2016 E Maize Soil VWC'!$C$2:$C$6000=$AA301)*('2016 E Maize Soil VWC'!$E$2:$E$6000=$AB301)*('2016 E Maize Soil VWC'!$F$2:$F$6000=AI$5),'2016 E Maize Soil VWC'!$G$2:$G$6000)</f>
        <v>#N/A</v>
      </c>
      <c r="AJ301" s="1" t="e" cm="1">
        <f t="array" ref="AJ301">_xlfn.XLOOKUP(1,('2016 E Maize Soil VWC'!$C$2:$C$6000=$AA301)*('2016 E Maize Soil VWC'!$E$2:$E$6000=$AB301)*('2016 E Maize Soil VWC'!$F$2:$F$6000=AJ$5),'2016 E Maize Soil VWC'!$G$2:$G$6000)</f>
        <v>#N/A</v>
      </c>
      <c r="AK301" s="1" t="e" cm="1">
        <f t="array" ref="AK301">_xlfn.XLOOKUP(1,('2016 E Maize Soil VWC'!$C$2:$C$6000=$AA301)*('2016 E Maize Soil VWC'!$E$2:$E$6000=$AB301)*('2016 E Maize Soil VWC'!$F$2:$F$6000=AK$5),'2016 E Maize Soil VWC'!$G$2:$G$6000)</f>
        <v>#N/A</v>
      </c>
      <c r="AL301" s="1" t="e" cm="1">
        <f t="array" ref="AL301">_xlfn.XLOOKUP(1,('2016 E Maize Soil VWC'!$C$2:$C$6000=$AA301)*('2016 E Maize Soil VWC'!$E$2:$E$6000=$AB301)*('2016 E Maize Soil VWC'!$F$2:$F$6000=AL$5),'2016 E Maize Soil VWC'!$G$2:$G$6000)</f>
        <v>#N/A</v>
      </c>
      <c r="AM301" s="1" t="e" cm="1">
        <f t="array" ref="AM301">_xlfn.XLOOKUP(1,('2016 E Maize Soil VWC'!$C$2:$C$6000=$AA301)*('2016 E Maize Soil VWC'!$E$2:$E$6000=$AB301)*('2016 E Maize Soil VWC'!$F$2:$F$6000=AM$5),'2016 E Maize Soil VWC'!$G$2:$G$6000)</f>
        <v>#N/A</v>
      </c>
      <c r="AN301" s="1" t="e" cm="1">
        <f t="array" ref="AN301">_xlfn.XLOOKUP(1,('2016 E Maize Soil VWC'!$C$2:$C$6000=$AA301)*('2016 E Maize Soil VWC'!$E$2:$E$6000=$AB301)*('2016 E Maize Soil VWC'!$F$2:$F$6000=AN$5),'2016 E Maize Soil VWC'!$G$2:$G$6000)</f>
        <v>#N/A</v>
      </c>
      <c r="AO301" s="1" t="e" cm="1">
        <f t="array" ref="AO301">_xlfn.XLOOKUP(1,('2016 E Maize Soil VWC'!$C$2:$C$6000=$AA301)*('2016 E Maize Soil VWC'!$E$2:$E$6000=$AB301)*('2016 E Maize Soil VWC'!$F$2:$F$6000=AO$5),'2016 E Maize Soil VWC'!$G$2:$G$6000)</f>
        <v>#N/A</v>
      </c>
      <c r="AP301" s="1" t="e" cm="1">
        <f t="array" ref="AP301">_xlfn.XLOOKUP(1,('2016 E Maize Soil VWC'!$C$2:$C$6000=$AA301)*('2016 E Maize Soil VWC'!$E$2:$E$6000=$AB301)*('2016 E Maize Soil VWC'!$F$2:$F$6000=AP$5),'2016 E Maize Soil VWC'!$G$2:$G$6000)</f>
        <v>#N/A</v>
      </c>
      <c r="AQ301" s="1" t="e" cm="1">
        <f t="array" ref="AQ301">_xlfn.XLOOKUP(1,('2016 E Maize Soil VWC'!$C$2:$C$6000=$AA301)*('2016 E Maize Soil VWC'!$E$2:$E$6000=$AB301)*('2016 E Maize Soil VWC'!$F$2:$F$6000=AQ$5),'2016 E Maize Soil VWC'!$G$2:$G$6000)</f>
        <v>#N/A</v>
      </c>
      <c r="AR301" s="1" t="e" cm="1">
        <f t="array" ref="AR301">_xlfn.XLOOKUP(1,('2016 E Maize Soil VWC'!$C$2:$C$6000=$AA301)*('2016 E Maize Soil VWC'!$E$2:$E$6000=$AB301)*('2016 E Maize Soil VWC'!$F$2:$F$6000=AR$5),'2016 E Maize Soil VWC'!$G$2:$G$6000)</f>
        <v>#N/A</v>
      </c>
      <c r="AS301" s="1" t="e" cm="1">
        <f t="array" ref="AS301">_xlfn.XLOOKUP(1,('2016 E Maize Soil VWC'!$C$2:$C$6000=$AA301)*('2016 E Maize Soil VWC'!$E$2:$E$6000=$AB301)*('2016 E Maize Soil VWC'!$F$2:$F$6000=AS$5),'2016 E Maize Soil VWC'!$G$2:$G$6000)</f>
        <v>#N/A</v>
      </c>
      <c r="AT301" s="1" t="e" cm="1">
        <f t="array" ref="AT301">_xlfn.XLOOKUP(1,('2016 E Maize Soil VWC'!$C$2:$C$6000=$AA301)*('2016 E Maize Soil VWC'!$E$2:$E$6000=$AB301)*('2016 E Maize Soil VWC'!$F$2:$F$6000=AT$5),'2016 E Maize Soil VWC'!$G$2:$G$6000)</f>
        <v>#N/A</v>
      </c>
      <c r="AU301" s="1" t="e" cm="1">
        <f t="array" ref="AU301">_xlfn.XLOOKUP(1,('2016 E Maize Soil VWC'!$C$2:$C$6000=$AA301)*('2016 E Maize Soil VWC'!$E$2:$E$6000=$AB301)*('2016 E Maize Soil VWC'!$F$2:$F$6000=AU$5),'2016 E Maize Soil VWC'!$G$2:$G$6000)</f>
        <v>#N/A</v>
      </c>
      <c r="AV301" s="1" t="e" cm="1">
        <f t="array" ref="AV301">_xlfn.XLOOKUP(1,('2016 E Maize Soil VWC'!$C$2:$C$6000=$AA301)*('2016 E Maize Soil VWC'!$E$2:$E$6000=$AB301)*('2016 E Maize Soil VWC'!$F$2:$F$6000=AV$5),'2016 E Maize Soil VWC'!$G$2:$G$6000)</f>
        <v>#N/A</v>
      </c>
    </row>
    <row r="302" spans="25:64" x14ac:dyDescent="0.25">
      <c r="AA302" s="18">
        <f t="shared" si="47"/>
        <v>42369</v>
      </c>
      <c r="AB302" s="1">
        <f t="shared" si="48"/>
        <v>210</v>
      </c>
      <c r="AC302" s="1" t="e" cm="1">
        <f t="array" ref="AC302">_xlfn.XLOOKUP(1,('2016 E Maize Soil VWC'!$C$2:$C$6000=$AA302)*('2016 E Maize Soil VWC'!$E$2:$E$6000=$AB302)*('2016 E Maize Soil VWC'!$F$2:$F$6000=AC$5),'2016 E Maize Soil VWC'!$G$2:$G$6000)</f>
        <v>#N/A</v>
      </c>
      <c r="AD302" s="1" t="e" cm="1">
        <f t="array" ref="AD302">_xlfn.XLOOKUP(1,('2016 E Maize Soil VWC'!$C$2:$C$6000=$AA302)*('2016 E Maize Soil VWC'!$E$2:$E$6000=$AB302)*('2016 E Maize Soil VWC'!$F$2:$F$6000=AD$5),'2016 E Maize Soil VWC'!$G$2:$G$6000)</f>
        <v>#N/A</v>
      </c>
      <c r="AE302" s="1" t="e" cm="1">
        <f t="array" ref="AE302">_xlfn.XLOOKUP(1,('2016 E Maize Soil VWC'!$C$2:$C$6000=$AA302)*('2016 E Maize Soil VWC'!$E$2:$E$6000=$AB302)*('2016 E Maize Soil VWC'!$F$2:$F$6000=AE$5),'2016 E Maize Soil VWC'!$G$2:$G$6000)</f>
        <v>#N/A</v>
      </c>
      <c r="AF302" s="1" t="e" cm="1">
        <f t="array" ref="AF302">_xlfn.XLOOKUP(1,('2016 E Maize Soil VWC'!$C$2:$C$6000=$AA302)*('2016 E Maize Soil VWC'!$E$2:$E$6000=$AB302)*('2016 E Maize Soil VWC'!$F$2:$F$6000=AF$5),'2016 E Maize Soil VWC'!$G$2:$G$6000)</f>
        <v>#N/A</v>
      </c>
      <c r="AG302" s="1" t="e" cm="1">
        <f t="array" ref="AG302">_xlfn.XLOOKUP(1,('2016 E Maize Soil VWC'!$C$2:$C$6000=$AA302)*('2016 E Maize Soil VWC'!$E$2:$E$6000=$AB302)*('2016 E Maize Soil VWC'!$F$2:$F$6000=AG$5),'2016 E Maize Soil VWC'!$G$2:$G$6000)</f>
        <v>#N/A</v>
      </c>
      <c r="AH302" s="1" t="e" cm="1">
        <f t="array" ref="AH302">_xlfn.XLOOKUP(1,('2016 E Maize Soil VWC'!$C$2:$C$6000=$AA302)*('2016 E Maize Soil VWC'!$E$2:$E$6000=$AB302)*('2016 E Maize Soil VWC'!$F$2:$F$6000=AH$5),'2016 E Maize Soil VWC'!$G$2:$G$6000)</f>
        <v>#N/A</v>
      </c>
      <c r="AI302" s="1" t="e" cm="1">
        <f t="array" ref="AI302">_xlfn.XLOOKUP(1,('2016 E Maize Soil VWC'!$C$2:$C$6000=$AA302)*('2016 E Maize Soil VWC'!$E$2:$E$6000=$AB302)*('2016 E Maize Soil VWC'!$F$2:$F$6000=AI$5),'2016 E Maize Soil VWC'!$G$2:$G$6000)</f>
        <v>#N/A</v>
      </c>
      <c r="AJ302" s="1" t="e" cm="1">
        <f t="array" ref="AJ302">_xlfn.XLOOKUP(1,('2016 E Maize Soil VWC'!$C$2:$C$6000=$AA302)*('2016 E Maize Soil VWC'!$E$2:$E$6000=$AB302)*('2016 E Maize Soil VWC'!$F$2:$F$6000=AJ$5),'2016 E Maize Soil VWC'!$G$2:$G$6000)</f>
        <v>#N/A</v>
      </c>
      <c r="AK302" s="1" t="e" cm="1">
        <f t="array" ref="AK302">_xlfn.XLOOKUP(1,('2016 E Maize Soil VWC'!$C$2:$C$6000=$AA302)*('2016 E Maize Soil VWC'!$E$2:$E$6000=$AB302)*('2016 E Maize Soil VWC'!$F$2:$F$6000=AK$5),'2016 E Maize Soil VWC'!$G$2:$G$6000)</f>
        <v>#N/A</v>
      </c>
      <c r="AL302" s="1" t="e" cm="1">
        <f t="array" ref="AL302">_xlfn.XLOOKUP(1,('2016 E Maize Soil VWC'!$C$2:$C$6000=$AA302)*('2016 E Maize Soil VWC'!$E$2:$E$6000=$AB302)*('2016 E Maize Soil VWC'!$F$2:$F$6000=AL$5),'2016 E Maize Soil VWC'!$G$2:$G$6000)</f>
        <v>#N/A</v>
      </c>
      <c r="AM302" s="1" t="e" cm="1">
        <f t="array" ref="AM302">_xlfn.XLOOKUP(1,('2016 E Maize Soil VWC'!$C$2:$C$6000=$AA302)*('2016 E Maize Soil VWC'!$E$2:$E$6000=$AB302)*('2016 E Maize Soil VWC'!$F$2:$F$6000=AM$5),'2016 E Maize Soil VWC'!$G$2:$G$6000)</f>
        <v>#N/A</v>
      </c>
      <c r="AN302" s="1" t="e" cm="1">
        <f t="array" ref="AN302">_xlfn.XLOOKUP(1,('2016 E Maize Soil VWC'!$C$2:$C$6000=$AA302)*('2016 E Maize Soil VWC'!$E$2:$E$6000=$AB302)*('2016 E Maize Soil VWC'!$F$2:$F$6000=AN$5),'2016 E Maize Soil VWC'!$G$2:$G$6000)</f>
        <v>#N/A</v>
      </c>
      <c r="AO302" s="1" t="e" cm="1">
        <f t="array" ref="AO302">_xlfn.XLOOKUP(1,('2016 E Maize Soil VWC'!$C$2:$C$6000=$AA302)*('2016 E Maize Soil VWC'!$E$2:$E$6000=$AB302)*('2016 E Maize Soil VWC'!$F$2:$F$6000=AO$5),'2016 E Maize Soil VWC'!$G$2:$G$6000)</f>
        <v>#N/A</v>
      </c>
      <c r="AP302" s="1" t="e" cm="1">
        <f t="array" ref="AP302">_xlfn.XLOOKUP(1,('2016 E Maize Soil VWC'!$C$2:$C$6000=$AA302)*('2016 E Maize Soil VWC'!$E$2:$E$6000=$AB302)*('2016 E Maize Soil VWC'!$F$2:$F$6000=AP$5),'2016 E Maize Soil VWC'!$G$2:$G$6000)</f>
        <v>#N/A</v>
      </c>
      <c r="AQ302" s="1" t="e" cm="1">
        <f t="array" ref="AQ302">_xlfn.XLOOKUP(1,('2016 E Maize Soil VWC'!$C$2:$C$6000=$AA302)*('2016 E Maize Soil VWC'!$E$2:$E$6000=$AB302)*('2016 E Maize Soil VWC'!$F$2:$F$6000=AQ$5),'2016 E Maize Soil VWC'!$G$2:$G$6000)</f>
        <v>#N/A</v>
      </c>
      <c r="AR302" s="1" t="e" cm="1">
        <f t="array" ref="AR302">_xlfn.XLOOKUP(1,('2016 E Maize Soil VWC'!$C$2:$C$6000=$AA302)*('2016 E Maize Soil VWC'!$E$2:$E$6000=$AB302)*('2016 E Maize Soil VWC'!$F$2:$F$6000=AR$5),'2016 E Maize Soil VWC'!$G$2:$G$6000)</f>
        <v>#N/A</v>
      </c>
      <c r="AS302" s="1" t="e" cm="1">
        <f t="array" ref="AS302">_xlfn.XLOOKUP(1,('2016 E Maize Soil VWC'!$C$2:$C$6000=$AA302)*('2016 E Maize Soil VWC'!$E$2:$E$6000=$AB302)*('2016 E Maize Soil VWC'!$F$2:$F$6000=AS$5),'2016 E Maize Soil VWC'!$G$2:$G$6000)</f>
        <v>#N/A</v>
      </c>
      <c r="AT302" s="1" t="e" cm="1">
        <f t="array" ref="AT302">_xlfn.XLOOKUP(1,('2016 E Maize Soil VWC'!$C$2:$C$6000=$AA302)*('2016 E Maize Soil VWC'!$E$2:$E$6000=$AB302)*('2016 E Maize Soil VWC'!$F$2:$F$6000=AT$5),'2016 E Maize Soil VWC'!$G$2:$G$6000)</f>
        <v>#N/A</v>
      </c>
      <c r="AU302" s="1" t="e" cm="1">
        <f t="array" ref="AU302">_xlfn.XLOOKUP(1,('2016 E Maize Soil VWC'!$C$2:$C$6000=$AA302)*('2016 E Maize Soil VWC'!$E$2:$E$6000=$AB302)*('2016 E Maize Soil VWC'!$F$2:$F$6000=AU$5),'2016 E Maize Soil VWC'!$G$2:$G$6000)</f>
        <v>#N/A</v>
      </c>
      <c r="AV302" s="1" t="e" cm="1">
        <f t="array" ref="AV302">_xlfn.XLOOKUP(1,('2016 E Maize Soil VWC'!$C$2:$C$6000=$AA302)*('2016 E Maize Soil VWC'!$E$2:$E$6000=$AB302)*('2016 E Maize Soil VWC'!$F$2:$F$6000=AV$5),'2016 E Maize Soil VWC'!$G$2:$G$6000)</f>
        <v>#N/A</v>
      </c>
    </row>
    <row r="303" spans="25:64" x14ac:dyDescent="0.25">
      <c r="AA303" s="18">
        <f t="shared" si="47"/>
        <v>42369</v>
      </c>
      <c r="AB303" s="1">
        <f t="shared" si="48"/>
        <v>230</v>
      </c>
      <c r="AC303" s="1" t="e" cm="1">
        <f t="array" ref="AC303">_xlfn.XLOOKUP(1,('2016 E Maize Soil VWC'!$C$2:$C$6000=$AA303)*('2016 E Maize Soil VWC'!$E$2:$E$6000=$AB303)*('2016 E Maize Soil VWC'!$F$2:$F$6000=AC$5),'2016 E Maize Soil VWC'!$G$2:$G$6000)</f>
        <v>#N/A</v>
      </c>
      <c r="AD303" s="1" t="e" cm="1">
        <f t="array" ref="AD303">_xlfn.XLOOKUP(1,('2016 E Maize Soil VWC'!$C$2:$C$6000=$AA303)*('2016 E Maize Soil VWC'!$E$2:$E$6000=$AB303)*('2016 E Maize Soil VWC'!$F$2:$F$6000=AD$5),'2016 E Maize Soil VWC'!$G$2:$G$6000)</f>
        <v>#N/A</v>
      </c>
      <c r="AE303" s="1" t="e" cm="1">
        <f t="array" ref="AE303">_xlfn.XLOOKUP(1,('2016 E Maize Soil VWC'!$C$2:$C$6000=$AA303)*('2016 E Maize Soil VWC'!$E$2:$E$6000=$AB303)*('2016 E Maize Soil VWC'!$F$2:$F$6000=AE$5),'2016 E Maize Soil VWC'!$G$2:$G$6000)</f>
        <v>#N/A</v>
      </c>
      <c r="AF303" s="1" t="e" cm="1">
        <f t="array" ref="AF303">_xlfn.XLOOKUP(1,('2016 E Maize Soil VWC'!$C$2:$C$6000=$AA303)*('2016 E Maize Soil VWC'!$E$2:$E$6000=$AB303)*('2016 E Maize Soil VWC'!$F$2:$F$6000=AF$5),'2016 E Maize Soil VWC'!$G$2:$G$6000)</f>
        <v>#N/A</v>
      </c>
      <c r="AG303" s="1" t="e" cm="1">
        <f t="array" ref="AG303">_xlfn.XLOOKUP(1,('2016 E Maize Soil VWC'!$C$2:$C$6000=$AA303)*('2016 E Maize Soil VWC'!$E$2:$E$6000=$AB303)*('2016 E Maize Soil VWC'!$F$2:$F$6000=AG$5),'2016 E Maize Soil VWC'!$G$2:$G$6000)</f>
        <v>#N/A</v>
      </c>
      <c r="AH303" s="1" t="e" cm="1">
        <f t="array" ref="AH303">_xlfn.XLOOKUP(1,('2016 E Maize Soil VWC'!$C$2:$C$6000=$AA303)*('2016 E Maize Soil VWC'!$E$2:$E$6000=$AB303)*('2016 E Maize Soil VWC'!$F$2:$F$6000=AH$5),'2016 E Maize Soil VWC'!$G$2:$G$6000)</f>
        <v>#N/A</v>
      </c>
      <c r="AI303" s="1" t="e" cm="1">
        <f t="array" ref="AI303">_xlfn.XLOOKUP(1,('2016 E Maize Soil VWC'!$C$2:$C$6000=$AA303)*('2016 E Maize Soil VWC'!$E$2:$E$6000=$AB303)*('2016 E Maize Soil VWC'!$F$2:$F$6000=AI$5),'2016 E Maize Soil VWC'!$G$2:$G$6000)</f>
        <v>#N/A</v>
      </c>
      <c r="AJ303" s="1" t="e" cm="1">
        <f t="array" ref="AJ303">_xlfn.XLOOKUP(1,('2016 E Maize Soil VWC'!$C$2:$C$6000=$AA303)*('2016 E Maize Soil VWC'!$E$2:$E$6000=$AB303)*('2016 E Maize Soil VWC'!$F$2:$F$6000=AJ$5),'2016 E Maize Soil VWC'!$G$2:$G$6000)</f>
        <v>#N/A</v>
      </c>
      <c r="AK303" s="1" t="e" cm="1">
        <f t="array" ref="AK303">_xlfn.XLOOKUP(1,('2016 E Maize Soil VWC'!$C$2:$C$6000=$AA303)*('2016 E Maize Soil VWC'!$E$2:$E$6000=$AB303)*('2016 E Maize Soil VWC'!$F$2:$F$6000=AK$5),'2016 E Maize Soil VWC'!$G$2:$G$6000)</f>
        <v>#N/A</v>
      </c>
      <c r="AL303" s="1" t="e" cm="1">
        <f t="array" ref="AL303">_xlfn.XLOOKUP(1,('2016 E Maize Soil VWC'!$C$2:$C$6000=$AA303)*('2016 E Maize Soil VWC'!$E$2:$E$6000=$AB303)*('2016 E Maize Soil VWC'!$F$2:$F$6000=AL$5),'2016 E Maize Soil VWC'!$G$2:$G$6000)</f>
        <v>#N/A</v>
      </c>
      <c r="AM303" s="1" t="e" cm="1">
        <f t="array" ref="AM303">_xlfn.XLOOKUP(1,('2016 E Maize Soil VWC'!$C$2:$C$6000=$AA303)*('2016 E Maize Soil VWC'!$E$2:$E$6000=$AB303)*('2016 E Maize Soil VWC'!$F$2:$F$6000=AM$5),'2016 E Maize Soil VWC'!$G$2:$G$6000)</f>
        <v>#N/A</v>
      </c>
      <c r="AN303" s="1" t="e" cm="1">
        <f t="array" ref="AN303">_xlfn.XLOOKUP(1,('2016 E Maize Soil VWC'!$C$2:$C$6000=$AA303)*('2016 E Maize Soil VWC'!$E$2:$E$6000=$AB303)*('2016 E Maize Soil VWC'!$F$2:$F$6000=AN$5),'2016 E Maize Soil VWC'!$G$2:$G$6000)</f>
        <v>#N/A</v>
      </c>
      <c r="AO303" s="1" t="e" cm="1">
        <f t="array" ref="AO303">_xlfn.XLOOKUP(1,('2016 E Maize Soil VWC'!$C$2:$C$6000=$AA303)*('2016 E Maize Soil VWC'!$E$2:$E$6000=$AB303)*('2016 E Maize Soil VWC'!$F$2:$F$6000=AO$5),'2016 E Maize Soil VWC'!$G$2:$G$6000)</f>
        <v>#N/A</v>
      </c>
      <c r="AP303" s="1" t="e" cm="1">
        <f t="array" ref="AP303">_xlfn.XLOOKUP(1,('2016 E Maize Soil VWC'!$C$2:$C$6000=$AA303)*('2016 E Maize Soil VWC'!$E$2:$E$6000=$AB303)*('2016 E Maize Soil VWC'!$F$2:$F$6000=AP$5),'2016 E Maize Soil VWC'!$G$2:$G$6000)</f>
        <v>#N/A</v>
      </c>
      <c r="AQ303" s="1" t="e" cm="1">
        <f t="array" ref="AQ303">_xlfn.XLOOKUP(1,('2016 E Maize Soil VWC'!$C$2:$C$6000=$AA303)*('2016 E Maize Soil VWC'!$E$2:$E$6000=$AB303)*('2016 E Maize Soil VWC'!$F$2:$F$6000=AQ$5),'2016 E Maize Soil VWC'!$G$2:$G$6000)</f>
        <v>#N/A</v>
      </c>
      <c r="AR303" s="1" t="e" cm="1">
        <f t="array" ref="AR303">_xlfn.XLOOKUP(1,('2016 E Maize Soil VWC'!$C$2:$C$6000=$AA303)*('2016 E Maize Soil VWC'!$E$2:$E$6000=$AB303)*('2016 E Maize Soil VWC'!$F$2:$F$6000=AR$5),'2016 E Maize Soil VWC'!$G$2:$G$6000)</f>
        <v>#N/A</v>
      </c>
      <c r="AS303" s="1" t="e" cm="1">
        <f t="array" ref="AS303">_xlfn.XLOOKUP(1,('2016 E Maize Soil VWC'!$C$2:$C$6000=$AA303)*('2016 E Maize Soil VWC'!$E$2:$E$6000=$AB303)*('2016 E Maize Soil VWC'!$F$2:$F$6000=AS$5),'2016 E Maize Soil VWC'!$G$2:$G$6000)</f>
        <v>#N/A</v>
      </c>
      <c r="AT303" s="1" t="e" cm="1">
        <f t="array" ref="AT303">_xlfn.XLOOKUP(1,('2016 E Maize Soil VWC'!$C$2:$C$6000=$AA303)*('2016 E Maize Soil VWC'!$E$2:$E$6000=$AB303)*('2016 E Maize Soil VWC'!$F$2:$F$6000=AT$5),'2016 E Maize Soil VWC'!$G$2:$G$6000)</f>
        <v>#N/A</v>
      </c>
      <c r="AU303" s="1" t="e" cm="1">
        <f t="array" ref="AU303">_xlfn.XLOOKUP(1,('2016 E Maize Soil VWC'!$C$2:$C$6000=$AA303)*('2016 E Maize Soil VWC'!$E$2:$E$6000=$AB303)*('2016 E Maize Soil VWC'!$F$2:$F$6000=AU$5),'2016 E Maize Soil VWC'!$G$2:$G$6000)</f>
        <v>#N/A</v>
      </c>
      <c r="AV303" s="1" t="e" cm="1">
        <f t="array" ref="AV303">_xlfn.XLOOKUP(1,('2016 E Maize Soil VWC'!$C$2:$C$6000=$AA303)*('2016 E Maize Soil VWC'!$E$2:$E$6000=$AB303)*('2016 E Maize Soil VWC'!$F$2:$F$6000=AV$5),'2016 E Maize Soil VWC'!$G$2:$G$6000)</f>
        <v>#N/A</v>
      </c>
    </row>
    <row r="305" spans="25:64" x14ac:dyDescent="0.25">
      <c r="Y305" s="1">
        <v>2016</v>
      </c>
      <c r="AA305" s="18">
        <f>DATE(Y305,1,Z305)</f>
        <v>42369</v>
      </c>
      <c r="AB305" s="1">
        <v>10</v>
      </c>
      <c r="AC305" s="1" t="e" cm="1">
        <f t="array" ref="AC305">_xlfn.XLOOKUP(1,('2016 E Maize Soil VWC'!$C$2:$C$6000=$AA305)*('2016 E Maize Soil VWC'!$E$2:$E$6000=$AB305)*('2016 E Maize Soil VWC'!$F$2:$F$6000=AC$5),'2016 E Maize Soil VWC'!$G$2:$G$6000)</f>
        <v>#N/A</v>
      </c>
      <c r="AD305" s="1" t="e" cm="1">
        <f t="array" ref="AD305">_xlfn.XLOOKUP(1,('2016 E Maize Soil VWC'!$C$2:$C$6000=$AA305)*('2016 E Maize Soil VWC'!$E$2:$E$6000=$AB305)*('2016 E Maize Soil VWC'!$F$2:$F$6000=AD$5),'2016 E Maize Soil VWC'!$G$2:$G$6000)</f>
        <v>#N/A</v>
      </c>
      <c r="AE305" s="1" t="e" cm="1">
        <f t="array" ref="AE305">_xlfn.XLOOKUP(1,('2016 E Maize Soil VWC'!$C$2:$C$6000=$AA305)*('2016 E Maize Soil VWC'!$E$2:$E$6000=$AB305)*('2016 E Maize Soil VWC'!$F$2:$F$6000=AE$5),'2016 E Maize Soil VWC'!$G$2:$G$6000)</f>
        <v>#N/A</v>
      </c>
      <c r="AF305" s="1" t="e" cm="1">
        <f t="array" ref="AF305">_xlfn.XLOOKUP(1,('2016 E Maize Soil VWC'!$C$2:$C$6000=$AA305)*('2016 E Maize Soil VWC'!$E$2:$E$6000=$AB305)*('2016 E Maize Soil VWC'!$F$2:$F$6000=AF$5),'2016 E Maize Soil VWC'!$G$2:$G$6000)</f>
        <v>#N/A</v>
      </c>
      <c r="AG305" s="1" t="e" cm="1">
        <f t="array" ref="AG305">_xlfn.XLOOKUP(1,('2016 E Maize Soil VWC'!$C$2:$C$6000=$AA305)*('2016 E Maize Soil VWC'!$E$2:$E$6000=$AB305)*('2016 E Maize Soil VWC'!$F$2:$F$6000=AG$5),'2016 E Maize Soil VWC'!$G$2:$G$6000)</f>
        <v>#N/A</v>
      </c>
      <c r="AH305" s="1" t="e" cm="1">
        <f t="array" ref="AH305">_xlfn.XLOOKUP(1,('2016 E Maize Soil VWC'!$C$2:$C$6000=$AA305)*('2016 E Maize Soil VWC'!$E$2:$E$6000=$AB305)*('2016 E Maize Soil VWC'!$F$2:$F$6000=AH$5),'2016 E Maize Soil VWC'!$G$2:$G$6000)</f>
        <v>#N/A</v>
      </c>
      <c r="AI305" s="1" t="e" cm="1">
        <f t="array" ref="AI305">_xlfn.XLOOKUP(1,('2016 E Maize Soil VWC'!$C$2:$C$6000=$AA305)*('2016 E Maize Soil VWC'!$E$2:$E$6000=$AB305)*('2016 E Maize Soil VWC'!$F$2:$F$6000=AI$5),'2016 E Maize Soil VWC'!$G$2:$G$6000)</f>
        <v>#N/A</v>
      </c>
      <c r="AJ305" s="1" t="e" cm="1">
        <f t="array" ref="AJ305">_xlfn.XLOOKUP(1,('2016 E Maize Soil VWC'!$C$2:$C$6000=$AA305)*('2016 E Maize Soil VWC'!$E$2:$E$6000=$AB305)*('2016 E Maize Soil VWC'!$F$2:$F$6000=AJ$5),'2016 E Maize Soil VWC'!$G$2:$G$6000)</f>
        <v>#N/A</v>
      </c>
      <c r="AK305" s="1" t="e" cm="1">
        <f t="array" ref="AK305">_xlfn.XLOOKUP(1,('2016 E Maize Soil VWC'!$C$2:$C$6000=$AA305)*('2016 E Maize Soil VWC'!$E$2:$E$6000=$AB305)*('2016 E Maize Soil VWC'!$F$2:$F$6000=AK$5),'2016 E Maize Soil VWC'!$G$2:$G$6000)</f>
        <v>#N/A</v>
      </c>
      <c r="AL305" s="1" t="e" cm="1">
        <f t="array" ref="AL305">_xlfn.XLOOKUP(1,('2016 E Maize Soil VWC'!$C$2:$C$6000=$AA305)*('2016 E Maize Soil VWC'!$E$2:$E$6000=$AB305)*('2016 E Maize Soil VWC'!$F$2:$F$6000=AL$5),'2016 E Maize Soil VWC'!$G$2:$G$6000)</f>
        <v>#N/A</v>
      </c>
      <c r="AM305" s="1" t="e" cm="1">
        <f t="array" ref="AM305">_xlfn.XLOOKUP(1,('2016 E Maize Soil VWC'!$C$2:$C$6000=$AA305)*('2016 E Maize Soil VWC'!$E$2:$E$6000=$AB305)*('2016 E Maize Soil VWC'!$F$2:$F$6000=AM$5),'2016 E Maize Soil VWC'!$G$2:$G$6000)</f>
        <v>#N/A</v>
      </c>
      <c r="AN305" s="1" t="e" cm="1">
        <f t="array" ref="AN305">_xlfn.XLOOKUP(1,('2016 E Maize Soil VWC'!$C$2:$C$6000=$AA305)*('2016 E Maize Soil VWC'!$E$2:$E$6000=$AB305)*('2016 E Maize Soil VWC'!$F$2:$F$6000=AN$5),'2016 E Maize Soil VWC'!$G$2:$G$6000)</f>
        <v>#N/A</v>
      </c>
      <c r="AO305" s="1" t="e" cm="1">
        <f t="array" ref="AO305">_xlfn.XLOOKUP(1,('2016 E Maize Soil VWC'!$C$2:$C$6000=$AA305)*('2016 E Maize Soil VWC'!$E$2:$E$6000=$AB305)*('2016 E Maize Soil VWC'!$F$2:$F$6000=AO$5),'2016 E Maize Soil VWC'!$G$2:$G$6000)</f>
        <v>#N/A</v>
      </c>
      <c r="AP305" s="1" t="e" cm="1">
        <f t="array" ref="AP305">_xlfn.XLOOKUP(1,('2016 E Maize Soil VWC'!$C$2:$C$6000=$AA305)*('2016 E Maize Soil VWC'!$E$2:$E$6000=$AB305)*('2016 E Maize Soil VWC'!$F$2:$F$6000=AP$5),'2016 E Maize Soil VWC'!$G$2:$G$6000)</f>
        <v>#N/A</v>
      </c>
      <c r="AQ305" s="1" t="e" cm="1">
        <f t="array" ref="AQ305">_xlfn.XLOOKUP(1,('2016 E Maize Soil VWC'!$C$2:$C$6000=$AA305)*('2016 E Maize Soil VWC'!$E$2:$E$6000=$AB305)*('2016 E Maize Soil VWC'!$F$2:$F$6000=AQ$5),'2016 E Maize Soil VWC'!$G$2:$G$6000)</f>
        <v>#N/A</v>
      </c>
      <c r="AR305" s="1" t="e" cm="1">
        <f t="array" ref="AR305">_xlfn.XLOOKUP(1,('2016 E Maize Soil VWC'!$C$2:$C$6000=$AA305)*('2016 E Maize Soil VWC'!$E$2:$E$6000=$AB305)*('2016 E Maize Soil VWC'!$F$2:$F$6000=AR$5),'2016 E Maize Soil VWC'!$G$2:$G$6000)</f>
        <v>#N/A</v>
      </c>
      <c r="AS305" s="1" t="e" cm="1">
        <f t="array" ref="AS305">_xlfn.XLOOKUP(1,('2016 E Maize Soil VWC'!$C$2:$C$6000=$AA305)*('2016 E Maize Soil VWC'!$E$2:$E$6000=$AB305)*('2016 E Maize Soil VWC'!$F$2:$F$6000=AS$5),'2016 E Maize Soil VWC'!$G$2:$G$6000)</f>
        <v>#N/A</v>
      </c>
      <c r="AT305" s="1" t="e" cm="1">
        <f t="array" ref="AT305">_xlfn.XLOOKUP(1,('2016 E Maize Soil VWC'!$C$2:$C$6000=$AA305)*('2016 E Maize Soil VWC'!$E$2:$E$6000=$AB305)*('2016 E Maize Soil VWC'!$F$2:$F$6000=AT$5),'2016 E Maize Soil VWC'!$G$2:$G$6000)</f>
        <v>#N/A</v>
      </c>
      <c r="AU305" s="1" t="e" cm="1">
        <f t="array" ref="AU305">_xlfn.XLOOKUP(1,('2016 E Maize Soil VWC'!$C$2:$C$6000=$AA305)*('2016 E Maize Soil VWC'!$E$2:$E$6000=$AB305)*('2016 E Maize Soil VWC'!$F$2:$F$6000=AU$5),'2016 E Maize Soil VWC'!$G$2:$G$6000)</f>
        <v>#N/A</v>
      </c>
      <c r="AV305" s="1" t="e" cm="1">
        <f t="array" ref="AV305">_xlfn.XLOOKUP(1,('2016 E Maize Soil VWC'!$C$2:$C$6000=$AA305)*('2016 E Maize Soil VWC'!$E$2:$E$6000=$AB305)*('2016 E Maize Soil VWC'!$F$2:$F$6000=AV$5),'2016 E Maize Soil VWC'!$G$2:$G$6000)</f>
        <v>#N/A</v>
      </c>
      <c r="AW305" s="1">
        <f>Z305</f>
        <v>0</v>
      </c>
      <c r="AX305" s="15">
        <f>AA305</f>
        <v>42369</v>
      </c>
      <c r="AY305" s="1" t="e">
        <f>1400*AVERAGE(AG305:AH311)+100*AVERAGE(AG312:AH312)</f>
        <v>#N/A</v>
      </c>
      <c r="AZ305" s="1" t="e">
        <f>1400*AVERAGE(AC305:AF311,AI305:AL311)+100*AVERAGE(AC312:AF312,AI312:AL312)</f>
        <v>#N/A</v>
      </c>
      <c r="BA305" s="1" t="e">
        <f>1400*AVERAGE(AQ305:AR311)+100*AVERAGE(AQ312:AR312)</f>
        <v>#N/A</v>
      </c>
      <c r="BB305" s="1" t="e">
        <f>1400*AVERAGE(AM305:AP311,AS305:AV311)+100*AVERAGE(AM312:AP312,AS312:AV312)</f>
        <v>#N/A</v>
      </c>
      <c r="BC305" s="1" t="e">
        <f>AVERAGE(AC305:AD316)*2400</f>
        <v>#N/A</v>
      </c>
      <c r="BD305" s="1" t="e">
        <f>AVERAGE(AE305:AF316)*2400</f>
        <v>#N/A</v>
      </c>
      <c r="BE305" s="1" t="e">
        <f>AVERAGE(AG305:AH314)*2000</f>
        <v>#N/A</v>
      </c>
      <c r="BF305" s="1" t="e">
        <f>AVERAGE(AI305:AJ316)*2400</f>
        <v>#N/A</v>
      </c>
      <c r="BG305" s="1" t="e">
        <f>AVERAGE(AK305:AL316)*2400</f>
        <v>#N/A</v>
      </c>
      <c r="BH305" s="1" t="e">
        <f>AVERAGE(AM305:AN316)*2400</f>
        <v>#N/A</v>
      </c>
      <c r="BI305" s="1" t="e">
        <f>AVERAGE(AO305:AP316)*2400</f>
        <v>#N/A</v>
      </c>
      <c r="BJ305" s="1" t="e">
        <f>AVERAGE(AQ305:AR314)*2000</f>
        <v>#N/A</v>
      </c>
      <c r="BK305" s="1" t="e">
        <f>AVERAGE(AS305:AT316)*2400</f>
        <v>#N/A</v>
      </c>
      <c r="BL305" s="1" t="e">
        <f>AVERAGE(AU305:AV316)*2400</f>
        <v>#N/A</v>
      </c>
    </row>
    <row r="306" spans="25:64" x14ac:dyDescent="0.25">
      <c r="AA306" s="18">
        <f t="shared" ref="AA306:AA316" si="49">AA305</f>
        <v>42369</v>
      </c>
      <c r="AB306" s="1">
        <f t="shared" ref="AB306:AB316" si="50">AB305+20</f>
        <v>30</v>
      </c>
      <c r="AC306" s="1" t="e" cm="1">
        <f t="array" ref="AC306">_xlfn.XLOOKUP(1,('2016 E Maize Soil VWC'!$C$2:$C$6000=$AA306)*('2016 E Maize Soil VWC'!$E$2:$E$6000=$AB306)*('2016 E Maize Soil VWC'!$F$2:$F$6000=AC$5),'2016 E Maize Soil VWC'!$G$2:$G$6000)</f>
        <v>#N/A</v>
      </c>
      <c r="AD306" s="1" t="e" cm="1">
        <f t="array" ref="AD306">_xlfn.XLOOKUP(1,('2016 E Maize Soil VWC'!$C$2:$C$6000=$AA306)*('2016 E Maize Soil VWC'!$E$2:$E$6000=$AB306)*('2016 E Maize Soil VWC'!$F$2:$F$6000=AD$5),'2016 E Maize Soil VWC'!$G$2:$G$6000)</f>
        <v>#N/A</v>
      </c>
      <c r="AE306" s="1" t="e" cm="1">
        <f t="array" ref="AE306">_xlfn.XLOOKUP(1,('2016 E Maize Soil VWC'!$C$2:$C$6000=$AA306)*('2016 E Maize Soil VWC'!$E$2:$E$6000=$AB306)*('2016 E Maize Soil VWC'!$F$2:$F$6000=AE$5),'2016 E Maize Soil VWC'!$G$2:$G$6000)</f>
        <v>#N/A</v>
      </c>
      <c r="AF306" s="1" t="e" cm="1">
        <f t="array" ref="AF306">_xlfn.XLOOKUP(1,('2016 E Maize Soil VWC'!$C$2:$C$6000=$AA306)*('2016 E Maize Soil VWC'!$E$2:$E$6000=$AB306)*('2016 E Maize Soil VWC'!$F$2:$F$6000=AF$5),'2016 E Maize Soil VWC'!$G$2:$G$6000)</f>
        <v>#N/A</v>
      </c>
      <c r="AG306" s="1" t="e" cm="1">
        <f t="array" ref="AG306">_xlfn.XLOOKUP(1,('2016 E Maize Soil VWC'!$C$2:$C$6000=$AA306)*('2016 E Maize Soil VWC'!$E$2:$E$6000=$AB306)*('2016 E Maize Soil VWC'!$F$2:$F$6000=AG$5),'2016 E Maize Soil VWC'!$G$2:$G$6000)</f>
        <v>#N/A</v>
      </c>
      <c r="AH306" s="1" t="e" cm="1">
        <f t="array" ref="AH306">_xlfn.XLOOKUP(1,('2016 E Maize Soil VWC'!$C$2:$C$6000=$AA306)*('2016 E Maize Soil VWC'!$E$2:$E$6000=$AB306)*('2016 E Maize Soil VWC'!$F$2:$F$6000=AH$5),'2016 E Maize Soil VWC'!$G$2:$G$6000)</f>
        <v>#N/A</v>
      </c>
      <c r="AI306" s="1" t="e" cm="1">
        <f t="array" ref="AI306">_xlfn.XLOOKUP(1,('2016 E Maize Soil VWC'!$C$2:$C$6000=$AA306)*('2016 E Maize Soil VWC'!$E$2:$E$6000=$AB306)*('2016 E Maize Soil VWC'!$F$2:$F$6000=AI$5),'2016 E Maize Soil VWC'!$G$2:$G$6000)</f>
        <v>#N/A</v>
      </c>
      <c r="AJ306" s="1" t="e" cm="1">
        <f t="array" ref="AJ306">_xlfn.XLOOKUP(1,('2016 E Maize Soil VWC'!$C$2:$C$6000=$AA306)*('2016 E Maize Soil VWC'!$E$2:$E$6000=$AB306)*('2016 E Maize Soil VWC'!$F$2:$F$6000=AJ$5),'2016 E Maize Soil VWC'!$G$2:$G$6000)</f>
        <v>#N/A</v>
      </c>
      <c r="AK306" s="1" t="e" cm="1">
        <f t="array" ref="AK306">_xlfn.XLOOKUP(1,('2016 E Maize Soil VWC'!$C$2:$C$6000=$AA306)*('2016 E Maize Soil VWC'!$E$2:$E$6000=$AB306)*('2016 E Maize Soil VWC'!$F$2:$F$6000=AK$5),'2016 E Maize Soil VWC'!$G$2:$G$6000)</f>
        <v>#N/A</v>
      </c>
      <c r="AL306" s="1" t="e" cm="1">
        <f t="array" ref="AL306">_xlfn.XLOOKUP(1,('2016 E Maize Soil VWC'!$C$2:$C$6000=$AA306)*('2016 E Maize Soil VWC'!$E$2:$E$6000=$AB306)*('2016 E Maize Soil VWC'!$F$2:$F$6000=AL$5),'2016 E Maize Soil VWC'!$G$2:$G$6000)</f>
        <v>#N/A</v>
      </c>
      <c r="AM306" s="1" t="e" cm="1">
        <f t="array" ref="AM306">_xlfn.XLOOKUP(1,('2016 E Maize Soil VWC'!$C$2:$C$6000=$AA306)*('2016 E Maize Soil VWC'!$E$2:$E$6000=$AB306)*('2016 E Maize Soil VWC'!$F$2:$F$6000=AM$5),'2016 E Maize Soil VWC'!$G$2:$G$6000)</f>
        <v>#N/A</v>
      </c>
      <c r="AN306" s="1" t="e" cm="1">
        <f t="array" ref="AN306">_xlfn.XLOOKUP(1,('2016 E Maize Soil VWC'!$C$2:$C$6000=$AA306)*('2016 E Maize Soil VWC'!$E$2:$E$6000=$AB306)*('2016 E Maize Soil VWC'!$F$2:$F$6000=AN$5),'2016 E Maize Soil VWC'!$G$2:$G$6000)</f>
        <v>#N/A</v>
      </c>
      <c r="AO306" s="1" t="e" cm="1">
        <f t="array" ref="AO306">_xlfn.XLOOKUP(1,('2016 E Maize Soil VWC'!$C$2:$C$6000=$AA306)*('2016 E Maize Soil VWC'!$E$2:$E$6000=$AB306)*('2016 E Maize Soil VWC'!$F$2:$F$6000=AO$5),'2016 E Maize Soil VWC'!$G$2:$G$6000)</f>
        <v>#N/A</v>
      </c>
      <c r="AP306" s="1" t="e" cm="1">
        <f t="array" ref="AP306">_xlfn.XLOOKUP(1,('2016 E Maize Soil VWC'!$C$2:$C$6000=$AA306)*('2016 E Maize Soil VWC'!$E$2:$E$6000=$AB306)*('2016 E Maize Soil VWC'!$F$2:$F$6000=AP$5),'2016 E Maize Soil VWC'!$G$2:$G$6000)</f>
        <v>#N/A</v>
      </c>
      <c r="AQ306" s="1" t="e" cm="1">
        <f t="array" ref="AQ306">_xlfn.XLOOKUP(1,('2016 E Maize Soil VWC'!$C$2:$C$6000=$AA306)*('2016 E Maize Soil VWC'!$E$2:$E$6000=$AB306)*('2016 E Maize Soil VWC'!$F$2:$F$6000=AQ$5),'2016 E Maize Soil VWC'!$G$2:$G$6000)</f>
        <v>#N/A</v>
      </c>
      <c r="AR306" s="1" t="e" cm="1">
        <f t="array" ref="AR306">_xlfn.XLOOKUP(1,('2016 E Maize Soil VWC'!$C$2:$C$6000=$AA306)*('2016 E Maize Soil VWC'!$E$2:$E$6000=$AB306)*('2016 E Maize Soil VWC'!$F$2:$F$6000=AR$5),'2016 E Maize Soil VWC'!$G$2:$G$6000)</f>
        <v>#N/A</v>
      </c>
      <c r="AS306" s="1" t="e" cm="1">
        <f t="array" ref="AS306">_xlfn.XLOOKUP(1,('2016 E Maize Soil VWC'!$C$2:$C$6000=$AA306)*('2016 E Maize Soil VWC'!$E$2:$E$6000=$AB306)*('2016 E Maize Soil VWC'!$F$2:$F$6000=AS$5),'2016 E Maize Soil VWC'!$G$2:$G$6000)</f>
        <v>#N/A</v>
      </c>
      <c r="AT306" s="1" t="e" cm="1">
        <f t="array" ref="AT306">_xlfn.XLOOKUP(1,('2016 E Maize Soil VWC'!$C$2:$C$6000=$AA306)*('2016 E Maize Soil VWC'!$E$2:$E$6000=$AB306)*('2016 E Maize Soil VWC'!$F$2:$F$6000=AT$5),'2016 E Maize Soil VWC'!$G$2:$G$6000)</f>
        <v>#N/A</v>
      </c>
      <c r="AU306" s="1" t="e" cm="1">
        <f t="array" ref="AU306">_xlfn.XLOOKUP(1,('2016 E Maize Soil VWC'!$C$2:$C$6000=$AA306)*('2016 E Maize Soil VWC'!$E$2:$E$6000=$AB306)*('2016 E Maize Soil VWC'!$F$2:$F$6000=AU$5),'2016 E Maize Soil VWC'!$G$2:$G$6000)</f>
        <v>#N/A</v>
      </c>
      <c r="AV306" s="1" t="e" cm="1">
        <f t="array" ref="AV306">_xlfn.XLOOKUP(1,('2016 E Maize Soil VWC'!$C$2:$C$6000=$AA306)*('2016 E Maize Soil VWC'!$E$2:$E$6000=$AB306)*('2016 E Maize Soil VWC'!$F$2:$F$6000=AV$5),'2016 E Maize Soil VWC'!$G$2:$G$6000)</f>
        <v>#N/A</v>
      </c>
    </row>
    <row r="307" spans="25:64" x14ac:dyDescent="0.25">
      <c r="AA307" s="18">
        <f t="shared" si="49"/>
        <v>42369</v>
      </c>
      <c r="AB307" s="1">
        <f t="shared" si="50"/>
        <v>50</v>
      </c>
      <c r="AC307" s="1" t="e" cm="1">
        <f t="array" ref="AC307">_xlfn.XLOOKUP(1,('2016 E Maize Soil VWC'!$C$2:$C$6000=$AA307)*('2016 E Maize Soil VWC'!$E$2:$E$6000=$AB307)*('2016 E Maize Soil VWC'!$F$2:$F$6000=AC$5),'2016 E Maize Soil VWC'!$G$2:$G$6000)</f>
        <v>#N/A</v>
      </c>
      <c r="AD307" s="1" t="e" cm="1">
        <f t="array" ref="AD307">_xlfn.XLOOKUP(1,('2016 E Maize Soil VWC'!$C$2:$C$6000=$AA307)*('2016 E Maize Soil VWC'!$E$2:$E$6000=$AB307)*('2016 E Maize Soil VWC'!$F$2:$F$6000=AD$5),'2016 E Maize Soil VWC'!$G$2:$G$6000)</f>
        <v>#N/A</v>
      </c>
      <c r="AE307" s="1" t="e" cm="1">
        <f t="array" ref="AE307">_xlfn.XLOOKUP(1,('2016 E Maize Soil VWC'!$C$2:$C$6000=$AA307)*('2016 E Maize Soil VWC'!$E$2:$E$6000=$AB307)*('2016 E Maize Soil VWC'!$F$2:$F$6000=AE$5),'2016 E Maize Soil VWC'!$G$2:$G$6000)</f>
        <v>#N/A</v>
      </c>
      <c r="AF307" s="1" t="e" cm="1">
        <f t="array" ref="AF307">_xlfn.XLOOKUP(1,('2016 E Maize Soil VWC'!$C$2:$C$6000=$AA307)*('2016 E Maize Soil VWC'!$E$2:$E$6000=$AB307)*('2016 E Maize Soil VWC'!$F$2:$F$6000=AF$5),'2016 E Maize Soil VWC'!$G$2:$G$6000)</f>
        <v>#N/A</v>
      </c>
      <c r="AG307" s="1" t="e" cm="1">
        <f t="array" ref="AG307">_xlfn.XLOOKUP(1,('2016 E Maize Soil VWC'!$C$2:$C$6000=$AA307)*('2016 E Maize Soil VWC'!$E$2:$E$6000=$AB307)*('2016 E Maize Soil VWC'!$F$2:$F$6000=AG$5),'2016 E Maize Soil VWC'!$G$2:$G$6000)</f>
        <v>#N/A</v>
      </c>
      <c r="AH307" s="1" t="e" cm="1">
        <f t="array" ref="AH307">_xlfn.XLOOKUP(1,('2016 E Maize Soil VWC'!$C$2:$C$6000=$AA307)*('2016 E Maize Soil VWC'!$E$2:$E$6000=$AB307)*('2016 E Maize Soil VWC'!$F$2:$F$6000=AH$5),'2016 E Maize Soil VWC'!$G$2:$G$6000)</f>
        <v>#N/A</v>
      </c>
      <c r="AI307" s="1" t="e" cm="1">
        <f t="array" ref="AI307">_xlfn.XLOOKUP(1,('2016 E Maize Soil VWC'!$C$2:$C$6000=$AA307)*('2016 E Maize Soil VWC'!$E$2:$E$6000=$AB307)*('2016 E Maize Soil VWC'!$F$2:$F$6000=AI$5),'2016 E Maize Soil VWC'!$G$2:$G$6000)</f>
        <v>#N/A</v>
      </c>
      <c r="AJ307" s="1" t="e" cm="1">
        <f t="array" ref="AJ307">_xlfn.XLOOKUP(1,('2016 E Maize Soil VWC'!$C$2:$C$6000=$AA307)*('2016 E Maize Soil VWC'!$E$2:$E$6000=$AB307)*('2016 E Maize Soil VWC'!$F$2:$F$6000=AJ$5),'2016 E Maize Soil VWC'!$G$2:$G$6000)</f>
        <v>#N/A</v>
      </c>
      <c r="AK307" s="1" t="e" cm="1">
        <f t="array" ref="AK307">_xlfn.XLOOKUP(1,('2016 E Maize Soil VWC'!$C$2:$C$6000=$AA307)*('2016 E Maize Soil VWC'!$E$2:$E$6000=$AB307)*('2016 E Maize Soil VWC'!$F$2:$F$6000=AK$5),'2016 E Maize Soil VWC'!$G$2:$G$6000)</f>
        <v>#N/A</v>
      </c>
      <c r="AL307" s="1" t="e" cm="1">
        <f t="array" ref="AL307">_xlfn.XLOOKUP(1,('2016 E Maize Soil VWC'!$C$2:$C$6000=$AA307)*('2016 E Maize Soil VWC'!$E$2:$E$6000=$AB307)*('2016 E Maize Soil VWC'!$F$2:$F$6000=AL$5),'2016 E Maize Soil VWC'!$G$2:$G$6000)</f>
        <v>#N/A</v>
      </c>
      <c r="AM307" s="1" t="e" cm="1">
        <f t="array" ref="AM307">_xlfn.XLOOKUP(1,('2016 E Maize Soil VWC'!$C$2:$C$6000=$AA307)*('2016 E Maize Soil VWC'!$E$2:$E$6000=$AB307)*('2016 E Maize Soil VWC'!$F$2:$F$6000=AM$5),'2016 E Maize Soil VWC'!$G$2:$G$6000)</f>
        <v>#N/A</v>
      </c>
      <c r="AN307" s="1" t="e" cm="1">
        <f t="array" ref="AN307">_xlfn.XLOOKUP(1,('2016 E Maize Soil VWC'!$C$2:$C$6000=$AA307)*('2016 E Maize Soil VWC'!$E$2:$E$6000=$AB307)*('2016 E Maize Soil VWC'!$F$2:$F$6000=AN$5),'2016 E Maize Soil VWC'!$G$2:$G$6000)</f>
        <v>#N/A</v>
      </c>
      <c r="AO307" s="1" t="e" cm="1">
        <f t="array" ref="AO307">_xlfn.XLOOKUP(1,('2016 E Maize Soil VWC'!$C$2:$C$6000=$AA307)*('2016 E Maize Soil VWC'!$E$2:$E$6000=$AB307)*('2016 E Maize Soil VWC'!$F$2:$F$6000=AO$5),'2016 E Maize Soil VWC'!$G$2:$G$6000)</f>
        <v>#N/A</v>
      </c>
      <c r="AP307" s="1" t="e" cm="1">
        <f t="array" ref="AP307">_xlfn.XLOOKUP(1,('2016 E Maize Soil VWC'!$C$2:$C$6000=$AA307)*('2016 E Maize Soil VWC'!$E$2:$E$6000=$AB307)*('2016 E Maize Soil VWC'!$F$2:$F$6000=AP$5),'2016 E Maize Soil VWC'!$G$2:$G$6000)</f>
        <v>#N/A</v>
      </c>
      <c r="AQ307" s="1" t="e" cm="1">
        <f t="array" ref="AQ307">_xlfn.XLOOKUP(1,('2016 E Maize Soil VWC'!$C$2:$C$6000=$AA307)*('2016 E Maize Soil VWC'!$E$2:$E$6000=$AB307)*('2016 E Maize Soil VWC'!$F$2:$F$6000=AQ$5),'2016 E Maize Soil VWC'!$G$2:$G$6000)</f>
        <v>#N/A</v>
      </c>
      <c r="AR307" s="1" t="e" cm="1">
        <f t="array" ref="AR307">_xlfn.XLOOKUP(1,('2016 E Maize Soil VWC'!$C$2:$C$6000=$AA307)*('2016 E Maize Soil VWC'!$E$2:$E$6000=$AB307)*('2016 E Maize Soil VWC'!$F$2:$F$6000=AR$5),'2016 E Maize Soil VWC'!$G$2:$G$6000)</f>
        <v>#N/A</v>
      </c>
      <c r="AS307" s="1" t="e" cm="1">
        <f t="array" ref="AS307">_xlfn.XLOOKUP(1,('2016 E Maize Soil VWC'!$C$2:$C$6000=$AA307)*('2016 E Maize Soil VWC'!$E$2:$E$6000=$AB307)*('2016 E Maize Soil VWC'!$F$2:$F$6000=AS$5),'2016 E Maize Soil VWC'!$G$2:$G$6000)</f>
        <v>#N/A</v>
      </c>
      <c r="AT307" s="1" t="e" cm="1">
        <f t="array" ref="AT307">_xlfn.XLOOKUP(1,('2016 E Maize Soil VWC'!$C$2:$C$6000=$AA307)*('2016 E Maize Soil VWC'!$E$2:$E$6000=$AB307)*('2016 E Maize Soil VWC'!$F$2:$F$6000=AT$5),'2016 E Maize Soil VWC'!$G$2:$G$6000)</f>
        <v>#N/A</v>
      </c>
      <c r="AU307" s="1" t="e" cm="1">
        <f t="array" ref="AU307">_xlfn.XLOOKUP(1,('2016 E Maize Soil VWC'!$C$2:$C$6000=$AA307)*('2016 E Maize Soil VWC'!$E$2:$E$6000=$AB307)*('2016 E Maize Soil VWC'!$F$2:$F$6000=AU$5),'2016 E Maize Soil VWC'!$G$2:$G$6000)</f>
        <v>#N/A</v>
      </c>
      <c r="AV307" s="1" t="e" cm="1">
        <f t="array" ref="AV307">_xlfn.XLOOKUP(1,('2016 E Maize Soil VWC'!$C$2:$C$6000=$AA307)*('2016 E Maize Soil VWC'!$E$2:$E$6000=$AB307)*('2016 E Maize Soil VWC'!$F$2:$F$6000=AV$5),'2016 E Maize Soil VWC'!$G$2:$G$6000)</f>
        <v>#N/A</v>
      </c>
    </row>
    <row r="308" spans="25:64" x14ac:dyDescent="0.25">
      <c r="AA308" s="18">
        <f t="shared" si="49"/>
        <v>42369</v>
      </c>
      <c r="AB308" s="1">
        <f t="shared" si="50"/>
        <v>70</v>
      </c>
      <c r="AC308" s="1" t="e" cm="1">
        <f t="array" ref="AC308">_xlfn.XLOOKUP(1,('2016 E Maize Soil VWC'!$C$2:$C$6000=$AA308)*('2016 E Maize Soil VWC'!$E$2:$E$6000=$AB308)*('2016 E Maize Soil VWC'!$F$2:$F$6000=AC$5),'2016 E Maize Soil VWC'!$G$2:$G$6000)</f>
        <v>#N/A</v>
      </c>
      <c r="AD308" s="1" t="e" cm="1">
        <f t="array" ref="AD308">_xlfn.XLOOKUP(1,('2016 E Maize Soil VWC'!$C$2:$C$6000=$AA308)*('2016 E Maize Soil VWC'!$E$2:$E$6000=$AB308)*('2016 E Maize Soil VWC'!$F$2:$F$6000=AD$5),'2016 E Maize Soil VWC'!$G$2:$G$6000)</f>
        <v>#N/A</v>
      </c>
      <c r="AE308" s="1" t="e" cm="1">
        <f t="array" ref="AE308">_xlfn.XLOOKUP(1,('2016 E Maize Soil VWC'!$C$2:$C$6000=$AA308)*('2016 E Maize Soil VWC'!$E$2:$E$6000=$AB308)*('2016 E Maize Soil VWC'!$F$2:$F$6000=AE$5),'2016 E Maize Soil VWC'!$G$2:$G$6000)</f>
        <v>#N/A</v>
      </c>
      <c r="AF308" s="1" t="e" cm="1">
        <f t="array" ref="AF308">_xlfn.XLOOKUP(1,('2016 E Maize Soil VWC'!$C$2:$C$6000=$AA308)*('2016 E Maize Soil VWC'!$E$2:$E$6000=$AB308)*('2016 E Maize Soil VWC'!$F$2:$F$6000=AF$5),'2016 E Maize Soil VWC'!$G$2:$G$6000)</f>
        <v>#N/A</v>
      </c>
      <c r="AG308" s="1" t="e" cm="1">
        <f t="array" ref="AG308">_xlfn.XLOOKUP(1,('2016 E Maize Soil VWC'!$C$2:$C$6000=$AA308)*('2016 E Maize Soil VWC'!$E$2:$E$6000=$AB308)*('2016 E Maize Soil VWC'!$F$2:$F$6000=AG$5),'2016 E Maize Soil VWC'!$G$2:$G$6000)</f>
        <v>#N/A</v>
      </c>
      <c r="AH308" s="1" t="e" cm="1">
        <f t="array" ref="AH308">_xlfn.XLOOKUP(1,('2016 E Maize Soil VWC'!$C$2:$C$6000=$AA308)*('2016 E Maize Soil VWC'!$E$2:$E$6000=$AB308)*('2016 E Maize Soil VWC'!$F$2:$F$6000=AH$5),'2016 E Maize Soil VWC'!$G$2:$G$6000)</f>
        <v>#N/A</v>
      </c>
      <c r="AI308" s="1" t="e" cm="1">
        <f t="array" ref="AI308">_xlfn.XLOOKUP(1,('2016 E Maize Soil VWC'!$C$2:$C$6000=$AA308)*('2016 E Maize Soil VWC'!$E$2:$E$6000=$AB308)*('2016 E Maize Soil VWC'!$F$2:$F$6000=AI$5),'2016 E Maize Soil VWC'!$G$2:$G$6000)</f>
        <v>#N/A</v>
      </c>
      <c r="AJ308" s="1" t="e" cm="1">
        <f t="array" ref="AJ308">_xlfn.XLOOKUP(1,('2016 E Maize Soil VWC'!$C$2:$C$6000=$AA308)*('2016 E Maize Soil VWC'!$E$2:$E$6000=$AB308)*('2016 E Maize Soil VWC'!$F$2:$F$6000=AJ$5),'2016 E Maize Soil VWC'!$G$2:$G$6000)</f>
        <v>#N/A</v>
      </c>
      <c r="AK308" s="1" t="e" cm="1">
        <f t="array" ref="AK308">_xlfn.XLOOKUP(1,('2016 E Maize Soil VWC'!$C$2:$C$6000=$AA308)*('2016 E Maize Soil VWC'!$E$2:$E$6000=$AB308)*('2016 E Maize Soil VWC'!$F$2:$F$6000=AK$5),'2016 E Maize Soil VWC'!$G$2:$G$6000)</f>
        <v>#N/A</v>
      </c>
      <c r="AL308" s="1" t="e" cm="1">
        <f t="array" ref="AL308">_xlfn.XLOOKUP(1,('2016 E Maize Soil VWC'!$C$2:$C$6000=$AA308)*('2016 E Maize Soil VWC'!$E$2:$E$6000=$AB308)*('2016 E Maize Soil VWC'!$F$2:$F$6000=AL$5),'2016 E Maize Soil VWC'!$G$2:$G$6000)</f>
        <v>#N/A</v>
      </c>
      <c r="AM308" s="1" t="e" cm="1">
        <f t="array" ref="AM308">_xlfn.XLOOKUP(1,('2016 E Maize Soil VWC'!$C$2:$C$6000=$AA308)*('2016 E Maize Soil VWC'!$E$2:$E$6000=$AB308)*('2016 E Maize Soil VWC'!$F$2:$F$6000=AM$5),'2016 E Maize Soil VWC'!$G$2:$G$6000)</f>
        <v>#N/A</v>
      </c>
      <c r="AN308" s="1" t="e" cm="1">
        <f t="array" ref="AN308">_xlfn.XLOOKUP(1,('2016 E Maize Soil VWC'!$C$2:$C$6000=$AA308)*('2016 E Maize Soil VWC'!$E$2:$E$6000=$AB308)*('2016 E Maize Soil VWC'!$F$2:$F$6000=AN$5),'2016 E Maize Soil VWC'!$G$2:$G$6000)</f>
        <v>#N/A</v>
      </c>
      <c r="AO308" s="1" t="e" cm="1">
        <f t="array" ref="AO308">_xlfn.XLOOKUP(1,('2016 E Maize Soil VWC'!$C$2:$C$6000=$AA308)*('2016 E Maize Soil VWC'!$E$2:$E$6000=$AB308)*('2016 E Maize Soil VWC'!$F$2:$F$6000=AO$5),'2016 E Maize Soil VWC'!$G$2:$G$6000)</f>
        <v>#N/A</v>
      </c>
      <c r="AP308" s="1" t="e" cm="1">
        <f t="array" ref="AP308">_xlfn.XLOOKUP(1,('2016 E Maize Soil VWC'!$C$2:$C$6000=$AA308)*('2016 E Maize Soil VWC'!$E$2:$E$6000=$AB308)*('2016 E Maize Soil VWC'!$F$2:$F$6000=AP$5),'2016 E Maize Soil VWC'!$G$2:$G$6000)</f>
        <v>#N/A</v>
      </c>
      <c r="AQ308" s="1" t="e" cm="1">
        <f t="array" ref="AQ308">_xlfn.XLOOKUP(1,('2016 E Maize Soil VWC'!$C$2:$C$6000=$AA308)*('2016 E Maize Soil VWC'!$E$2:$E$6000=$AB308)*('2016 E Maize Soil VWC'!$F$2:$F$6000=AQ$5),'2016 E Maize Soil VWC'!$G$2:$G$6000)</f>
        <v>#N/A</v>
      </c>
      <c r="AR308" s="1" t="e" cm="1">
        <f t="array" ref="AR308">_xlfn.XLOOKUP(1,('2016 E Maize Soil VWC'!$C$2:$C$6000=$AA308)*('2016 E Maize Soil VWC'!$E$2:$E$6000=$AB308)*('2016 E Maize Soil VWC'!$F$2:$F$6000=AR$5),'2016 E Maize Soil VWC'!$G$2:$G$6000)</f>
        <v>#N/A</v>
      </c>
      <c r="AS308" s="1" t="e" cm="1">
        <f t="array" ref="AS308">_xlfn.XLOOKUP(1,('2016 E Maize Soil VWC'!$C$2:$C$6000=$AA308)*('2016 E Maize Soil VWC'!$E$2:$E$6000=$AB308)*('2016 E Maize Soil VWC'!$F$2:$F$6000=AS$5),'2016 E Maize Soil VWC'!$G$2:$G$6000)</f>
        <v>#N/A</v>
      </c>
      <c r="AT308" s="1" t="e" cm="1">
        <f t="array" ref="AT308">_xlfn.XLOOKUP(1,('2016 E Maize Soil VWC'!$C$2:$C$6000=$AA308)*('2016 E Maize Soil VWC'!$E$2:$E$6000=$AB308)*('2016 E Maize Soil VWC'!$F$2:$F$6000=AT$5),'2016 E Maize Soil VWC'!$G$2:$G$6000)</f>
        <v>#N/A</v>
      </c>
      <c r="AU308" s="1" t="e" cm="1">
        <f t="array" ref="AU308">_xlfn.XLOOKUP(1,('2016 E Maize Soil VWC'!$C$2:$C$6000=$AA308)*('2016 E Maize Soil VWC'!$E$2:$E$6000=$AB308)*('2016 E Maize Soil VWC'!$F$2:$F$6000=AU$5),'2016 E Maize Soil VWC'!$G$2:$G$6000)</f>
        <v>#N/A</v>
      </c>
      <c r="AV308" s="1" t="e" cm="1">
        <f t="array" ref="AV308">_xlfn.XLOOKUP(1,('2016 E Maize Soil VWC'!$C$2:$C$6000=$AA308)*('2016 E Maize Soil VWC'!$E$2:$E$6000=$AB308)*('2016 E Maize Soil VWC'!$F$2:$F$6000=AV$5),'2016 E Maize Soil VWC'!$G$2:$G$6000)</f>
        <v>#N/A</v>
      </c>
    </row>
    <row r="309" spans="25:64" x14ac:dyDescent="0.25">
      <c r="AA309" s="18">
        <f t="shared" si="49"/>
        <v>42369</v>
      </c>
      <c r="AB309" s="1">
        <f t="shared" si="50"/>
        <v>90</v>
      </c>
      <c r="AC309" s="1" t="e" cm="1">
        <f t="array" ref="AC309">_xlfn.XLOOKUP(1,('2016 E Maize Soil VWC'!$C$2:$C$6000=$AA309)*('2016 E Maize Soil VWC'!$E$2:$E$6000=$AB309)*('2016 E Maize Soil VWC'!$F$2:$F$6000=AC$5),'2016 E Maize Soil VWC'!$G$2:$G$6000)</f>
        <v>#N/A</v>
      </c>
      <c r="AD309" s="1" t="e" cm="1">
        <f t="array" ref="AD309">_xlfn.XLOOKUP(1,('2016 E Maize Soil VWC'!$C$2:$C$6000=$AA309)*('2016 E Maize Soil VWC'!$E$2:$E$6000=$AB309)*('2016 E Maize Soil VWC'!$F$2:$F$6000=AD$5),'2016 E Maize Soil VWC'!$G$2:$G$6000)</f>
        <v>#N/A</v>
      </c>
      <c r="AE309" s="1" t="e" cm="1">
        <f t="array" ref="AE309">_xlfn.XLOOKUP(1,('2016 E Maize Soil VWC'!$C$2:$C$6000=$AA309)*('2016 E Maize Soil VWC'!$E$2:$E$6000=$AB309)*('2016 E Maize Soil VWC'!$F$2:$F$6000=AE$5),'2016 E Maize Soil VWC'!$G$2:$G$6000)</f>
        <v>#N/A</v>
      </c>
      <c r="AF309" s="1" t="e" cm="1">
        <f t="array" ref="AF309">_xlfn.XLOOKUP(1,('2016 E Maize Soil VWC'!$C$2:$C$6000=$AA309)*('2016 E Maize Soil VWC'!$E$2:$E$6000=$AB309)*('2016 E Maize Soil VWC'!$F$2:$F$6000=AF$5),'2016 E Maize Soil VWC'!$G$2:$G$6000)</f>
        <v>#N/A</v>
      </c>
      <c r="AG309" s="1" t="e" cm="1">
        <f t="array" ref="AG309">_xlfn.XLOOKUP(1,('2016 E Maize Soil VWC'!$C$2:$C$6000=$AA309)*('2016 E Maize Soil VWC'!$E$2:$E$6000=$AB309)*('2016 E Maize Soil VWC'!$F$2:$F$6000=AG$5),'2016 E Maize Soil VWC'!$G$2:$G$6000)</f>
        <v>#N/A</v>
      </c>
      <c r="AH309" s="1" t="e" cm="1">
        <f t="array" ref="AH309">_xlfn.XLOOKUP(1,('2016 E Maize Soil VWC'!$C$2:$C$6000=$AA309)*('2016 E Maize Soil VWC'!$E$2:$E$6000=$AB309)*('2016 E Maize Soil VWC'!$F$2:$F$6000=AH$5),'2016 E Maize Soil VWC'!$G$2:$G$6000)</f>
        <v>#N/A</v>
      </c>
      <c r="AI309" s="1" t="e" cm="1">
        <f t="array" ref="AI309">_xlfn.XLOOKUP(1,('2016 E Maize Soil VWC'!$C$2:$C$6000=$AA309)*('2016 E Maize Soil VWC'!$E$2:$E$6000=$AB309)*('2016 E Maize Soil VWC'!$F$2:$F$6000=AI$5),'2016 E Maize Soil VWC'!$G$2:$G$6000)</f>
        <v>#N/A</v>
      </c>
      <c r="AJ309" s="1" t="e" cm="1">
        <f t="array" ref="AJ309">_xlfn.XLOOKUP(1,('2016 E Maize Soil VWC'!$C$2:$C$6000=$AA309)*('2016 E Maize Soil VWC'!$E$2:$E$6000=$AB309)*('2016 E Maize Soil VWC'!$F$2:$F$6000=AJ$5),'2016 E Maize Soil VWC'!$G$2:$G$6000)</f>
        <v>#N/A</v>
      </c>
      <c r="AK309" s="1" t="e" cm="1">
        <f t="array" ref="AK309">_xlfn.XLOOKUP(1,('2016 E Maize Soil VWC'!$C$2:$C$6000=$AA309)*('2016 E Maize Soil VWC'!$E$2:$E$6000=$AB309)*('2016 E Maize Soil VWC'!$F$2:$F$6000=AK$5),'2016 E Maize Soil VWC'!$G$2:$G$6000)</f>
        <v>#N/A</v>
      </c>
      <c r="AL309" s="1" t="e" cm="1">
        <f t="array" ref="AL309">_xlfn.XLOOKUP(1,('2016 E Maize Soil VWC'!$C$2:$C$6000=$AA309)*('2016 E Maize Soil VWC'!$E$2:$E$6000=$AB309)*('2016 E Maize Soil VWC'!$F$2:$F$6000=AL$5),'2016 E Maize Soil VWC'!$G$2:$G$6000)</f>
        <v>#N/A</v>
      </c>
      <c r="AM309" s="1" t="e" cm="1">
        <f t="array" ref="AM309">_xlfn.XLOOKUP(1,('2016 E Maize Soil VWC'!$C$2:$C$6000=$AA309)*('2016 E Maize Soil VWC'!$E$2:$E$6000=$AB309)*('2016 E Maize Soil VWC'!$F$2:$F$6000=AM$5),'2016 E Maize Soil VWC'!$G$2:$G$6000)</f>
        <v>#N/A</v>
      </c>
      <c r="AN309" s="1" t="e" cm="1">
        <f t="array" ref="AN309">_xlfn.XLOOKUP(1,('2016 E Maize Soil VWC'!$C$2:$C$6000=$AA309)*('2016 E Maize Soil VWC'!$E$2:$E$6000=$AB309)*('2016 E Maize Soil VWC'!$F$2:$F$6000=AN$5),'2016 E Maize Soil VWC'!$G$2:$G$6000)</f>
        <v>#N/A</v>
      </c>
      <c r="AO309" s="1" t="e" cm="1">
        <f t="array" ref="AO309">_xlfn.XLOOKUP(1,('2016 E Maize Soil VWC'!$C$2:$C$6000=$AA309)*('2016 E Maize Soil VWC'!$E$2:$E$6000=$AB309)*('2016 E Maize Soil VWC'!$F$2:$F$6000=AO$5),'2016 E Maize Soil VWC'!$G$2:$G$6000)</f>
        <v>#N/A</v>
      </c>
      <c r="AP309" s="1" t="e" cm="1">
        <f t="array" ref="AP309">_xlfn.XLOOKUP(1,('2016 E Maize Soil VWC'!$C$2:$C$6000=$AA309)*('2016 E Maize Soil VWC'!$E$2:$E$6000=$AB309)*('2016 E Maize Soil VWC'!$F$2:$F$6000=AP$5),'2016 E Maize Soil VWC'!$G$2:$G$6000)</f>
        <v>#N/A</v>
      </c>
      <c r="AQ309" s="1" t="e" cm="1">
        <f t="array" ref="AQ309">_xlfn.XLOOKUP(1,('2016 E Maize Soil VWC'!$C$2:$C$6000=$AA309)*('2016 E Maize Soil VWC'!$E$2:$E$6000=$AB309)*('2016 E Maize Soil VWC'!$F$2:$F$6000=AQ$5),'2016 E Maize Soil VWC'!$G$2:$G$6000)</f>
        <v>#N/A</v>
      </c>
      <c r="AR309" s="1" t="e" cm="1">
        <f t="array" ref="AR309">_xlfn.XLOOKUP(1,('2016 E Maize Soil VWC'!$C$2:$C$6000=$AA309)*('2016 E Maize Soil VWC'!$E$2:$E$6000=$AB309)*('2016 E Maize Soil VWC'!$F$2:$F$6000=AR$5),'2016 E Maize Soil VWC'!$G$2:$G$6000)</f>
        <v>#N/A</v>
      </c>
      <c r="AS309" s="1" t="e" cm="1">
        <f t="array" ref="AS309">_xlfn.XLOOKUP(1,('2016 E Maize Soil VWC'!$C$2:$C$6000=$AA309)*('2016 E Maize Soil VWC'!$E$2:$E$6000=$AB309)*('2016 E Maize Soil VWC'!$F$2:$F$6000=AS$5),'2016 E Maize Soil VWC'!$G$2:$G$6000)</f>
        <v>#N/A</v>
      </c>
      <c r="AT309" s="1" t="e" cm="1">
        <f t="array" ref="AT309">_xlfn.XLOOKUP(1,('2016 E Maize Soil VWC'!$C$2:$C$6000=$AA309)*('2016 E Maize Soil VWC'!$E$2:$E$6000=$AB309)*('2016 E Maize Soil VWC'!$F$2:$F$6000=AT$5),'2016 E Maize Soil VWC'!$G$2:$G$6000)</f>
        <v>#N/A</v>
      </c>
      <c r="AU309" s="1" t="e" cm="1">
        <f t="array" ref="AU309">_xlfn.XLOOKUP(1,('2016 E Maize Soil VWC'!$C$2:$C$6000=$AA309)*('2016 E Maize Soil VWC'!$E$2:$E$6000=$AB309)*('2016 E Maize Soil VWC'!$F$2:$F$6000=AU$5),'2016 E Maize Soil VWC'!$G$2:$G$6000)</f>
        <v>#N/A</v>
      </c>
      <c r="AV309" s="1" t="e" cm="1">
        <f t="array" ref="AV309">_xlfn.XLOOKUP(1,('2016 E Maize Soil VWC'!$C$2:$C$6000=$AA309)*('2016 E Maize Soil VWC'!$E$2:$E$6000=$AB309)*('2016 E Maize Soil VWC'!$F$2:$F$6000=AV$5),'2016 E Maize Soil VWC'!$G$2:$G$6000)</f>
        <v>#N/A</v>
      </c>
    </row>
    <row r="310" spans="25:64" x14ac:dyDescent="0.25">
      <c r="AA310" s="18">
        <f t="shared" si="49"/>
        <v>42369</v>
      </c>
      <c r="AB310" s="1">
        <f t="shared" si="50"/>
        <v>110</v>
      </c>
      <c r="AC310" s="1" t="e" cm="1">
        <f t="array" ref="AC310">_xlfn.XLOOKUP(1,('2016 E Maize Soil VWC'!$C$2:$C$6000=$AA310)*('2016 E Maize Soil VWC'!$E$2:$E$6000=$AB310)*('2016 E Maize Soil VWC'!$F$2:$F$6000=AC$5),'2016 E Maize Soil VWC'!$G$2:$G$6000)</f>
        <v>#N/A</v>
      </c>
      <c r="AD310" s="1" t="e" cm="1">
        <f t="array" ref="AD310">_xlfn.XLOOKUP(1,('2016 E Maize Soil VWC'!$C$2:$C$6000=$AA310)*('2016 E Maize Soil VWC'!$E$2:$E$6000=$AB310)*('2016 E Maize Soil VWC'!$F$2:$F$6000=AD$5),'2016 E Maize Soil VWC'!$G$2:$G$6000)</f>
        <v>#N/A</v>
      </c>
      <c r="AE310" s="1" t="e" cm="1">
        <f t="array" ref="AE310">_xlfn.XLOOKUP(1,('2016 E Maize Soil VWC'!$C$2:$C$6000=$AA310)*('2016 E Maize Soil VWC'!$E$2:$E$6000=$AB310)*('2016 E Maize Soil VWC'!$F$2:$F$6000=AE$5),'2016 E Maize Soil VWC'!$G$2:$G$6000)</f>
        <v>#N/A</v>
      </c>
      <c r="AF310" s="1" t="e" cm="1">
        <f t="array" ref="AF310">_xlfn.XLOOKUP(1,('2016 E Maize Soil VWC'!$C$2:$C$6000=$AA310)*('2016 E Maize Soil VWC'!$E$2:$E$6000=$AB310)*('2016 E Maize Soil VWC'!$F$2:$F$6000=AF$5),'2016 E Maize Soil VWC'!$G$2:$G$6000)</f>
        <v>#N/A</v>
      </c>
      <c r="AG310" s="1" t="e" cm="1">
        <f t="array" ref="AG310">_xlfn.XLOOKUP(1,('2016 E Maize Soil VWC'!$C$2:$C$6000=$AA310)*('2016 E Maize Soil VWC'!$E$2:$E$6000=$AB310)*('2016 E Maize Soil VWC'!$F$2:$F$6000=AG$5),'2016 E Maize Soil VWC'!$G$2:$G$6000)</f>
        <v>#N/A</v>
      </c>
      <c r="AH310" s="1" t="e" cm="1">
        <f t="array" ref="AH310">_xlfn.XLOOKUP(1,('2016 E Maize Soil VWC'!$C$2:$C$6000=$AA310)*('2016 E Maize Soil VWC'!$E$2:$E$6000=$AB310)*('2016 E Maize Soil VWC'!$F$2:$F$6000=AH$5),'2016 E Maize Soil VWC'!$G$2:$G$6000)</f>
        <v>#N/A</v>
      </c>
      <c r="AI310" s="1" t="e" cm="1">
        <f t="array" ref="AI310">_xlfn.XLOOKUP(1,('2016 E Maize Soil VWC'!$C$2:$C$6000=$AA310)*('2016 E Maize Soil VWC'!$E$2:$E$6000=$AB310)*('2016 E Maize Soil VWC'!$F$2:$F$6000=AI$5),'2016 E Maize Soil VWC'!$G$2:$G$6000)</f>
        <v>#N/A</v>
      </c>
      <c r="AJ310" s="1" t="e" cm="1">
        <f t="array" ref="AJ310">_xlfn.XLOOKUP(1,('2016 E Maize Soil VWC'!$C$2:$C$6000=$AA310)*('2016 E Maize Soil VWC'!$E$2:$E$6000=$AB310)*('2016 E Maize Soil VWC'!$F$2:$F$6000=AJ$5),'2016 E Maize Soil VWC'!$G$2:$G$6000)</f>
        <v>#N/A</v>
      </c>
      <c r="AK310" s="1" t="e" cm="1">
        <f t="array" ref="AK310">_xlfn.XLOOKUP(1,('2016 E Maize Soil VWC'!$C$2:$C$6000=$AA310)*('2016 E Maize Soil VWC'!$E$2:$E$6000=$AB310)*('2016 E Maize Soil VWC'!$F$2:$F$6000=AK$5),'2016 E Maize Soil VWC'!$G$2:$G$6000)</f>
        <v>#N/A</v>
      </c>
      <c r="AL310" s="1" t="e" cm="1">
        <f t="array" ref="AL310">_xlfn.XLOOKUP(1,('2016 E Maize Soil VWC'!$C$2:$C$6000=$AA310)*('2016 E Maize Soil VWC'!$E$2:$E$6000=$AB310)*('2016 E Maize Soil VWC'!$F$2:$F$6000=AL$5),'2016 E Maize Soil VWC'!$G$2:$G$6000)</f>
        <v>#N/A</v>
      </c>
      <c r="AM310" s="1" t="e" cm="1">
        <f t="array" ref="AM310">_xlfn.XLOOKUP(1,('2016 E Maize Soil VWC'!$C$2:$C$6000=$AA310)*('2016 E Maize Soil VWC'!$E$2:$E$6000=$AB310)*('2016 E Maize Soil VWC'!$F$2:$F$6000=AM$5),'2016 E Maize Soil VWC'!$G$2:$G$6000)</f>
        <v>#N/A</v>
      </c>
      <c r="AN310" s="1" t="e" cm="1">
        <f t="array" ref="AN310">_xlfn.XLOOKUP(1,('2016 E Maize Soil VWC'!$C$2:$C$6000=$AA310)*('2016 E Maize Soil VWC'!$E$2:$E$6000=$AB310)*('2016 E Maize Soil VWC'!$F$2:$F$6000=AN$5),'2016 E Maize Soil VWC'!$G$2:$G$6000)</f>
        <v>#N/A</v>
      </c>
      <c r="AO310" s="1" t="e" cm="1">
        <f t="array" ref="AO310">_xlfn.XLOOKUP(1,('2016 E Maize Soil VWC'!$C$2:$C$6000=$AA310)*('2016 E Maize Soil VWC'!$E$2:$E$6000=$AB310)*('2016 E Maize Soil VWC'!$F$2:$F$6000=AO$5),'2016 E Maize Soil VWC'!$G$2:$G$6000)</f>
        <v>#N/A</v>
      </c>
      <c r="AP310" s="1" t="e" cm="1">
        <f t="array" ref="AP310">_xlfn.XLOOKUP(1,('2016 E Maize Soil VWC'!$C$2:$C$6000=$AA310)*('2016 E Maize Soil VWC'!$E$2:$E$6000=$AB310)*('2016 E Maize Soil VWC'!$F$2:$F$6000=AP$5),'2016 E Maize Soil VWC'!$G$2:$G$6000)</f>
        <v>#N/A</v>
      </c>
      <c r="AQ310" s="1" t="e" cm="1">
        <f t="array" ref="AQ310">_xlfn.XLOOKUP(1,('2016 E Maize Soil VWC'!$C$2:$C$6000=$AA310)*('2016 E Maize Soil VWC'!$E$2:$E$6000=$AB310)*('2016 E Maize Soil VWC'!$F$2:$F$6000=AQ$5),'2016 E Maize Soil VWC'!$G$2:$G$6000)</f>
        <v>#N/A</v>
      </c>
      <c r="AR310" s="1" t="e" cm="1">
        <f t="array" ref="AR310">_xlfn.XLOOKUP(1,('2016 E Maize Soil VWC'!$C$2:$C$6000=$AA310)*('2016 E Maize Soil VWC'!$E$2:$E$6000=$AB310)*('2016 E Maize Soil VWC'!$F$2:$F$6000=AR$5),'2016 E Maize Soil VWC'!$G$2:$G$6000)</f>
        <v>#N/A</v>
      </c>
      <c r="AS310" s="1" t="e" cm="1">
        <f t="array" ref="AS310">_xlfn.XLOOKUP(1,('2016 E Maize Soil VWC'!$C$2:$C$6000=$AA310)*('2016 E Maize Soil VWC'!$E$2:$E$6000=$AB310)*('2016 E Maize Soil VWC'!$F$2:$F$6000=AS$5),'2016 E Maize Soil VWC'!$G$2:$G$6000)</f>
        <v>#N/A</v>
      </c>
      <c r="AT310" s="1" t="e" cm="1">
        <f t="array" ref="AT310">_xlfn.XLOOKUP(1,('2016 E Maize Soil VWC'!$C$2:$C$6000=$AA310)*('2016 E Maize Soil VWC'!$E$2:$E$6000=$AB310)*('2016 E Maize Soil VWC'!$F$2:$F$6000=AT$5),'2016 E Maize Soil VWC'!$G$2:$G$6000)</f>
        <v>#N/A</v>
      </c>
      <c r="AU310" s="1" t="e" cm="1">
        <f t="array" ref="AU310">_xlfn.XLOOKUP(1,('2016 E Maize Soil VWC'!$C$2:$C$6000=$AA310)*('2016 E Maize Soil VWC'!$E$2:$E$6000=$AB310)*('2016 E Maize Soil VWC'!$F$2:$F$6000=AU$5),'2016 E Maize Soil VWC'!$G$2:$G$6000)</f>
        <v>#N/A</v>
      </c>
      <c r="AV310" s="1" t="e" cm="1">
        <f t="array" ref="AV310">_xlfn.XLOOKUP(1,('2016 E Maize Soil VWC'!$C$2:$C$6000=$AA310)*('2016 E Maize Soil VWC'!$E$2:$E$6000=$AB310)*('2016 E Maize Soil VWC'!$F$2:$F$6000=AV$5),'2016 E Maize Soil VWC'!$G$2:$G$6000)</f>
        <v>#N/A</v>
      </c>
    </row>
    <row r="311" spans="25:64" x14ac:dyDescent="0.25">
      <c r="AA311" s="18">
        <f t="shared" si="49"/>
        <v>42369</v>
      </c>
      <c r="AB311" s="1">
        <f t="shared" si="50"/>
        <v>130</v>
      </c>
      <c r="AC311" s="1" t="e" cm="1">
        <f t="array" ref="AC311">_xlfn.XLOOKUP(1,('2016 E Maize Soil VWC'!$C$2:$C$6000=$AA311)*('2016 E Maize Soil VWC'!$E$2:$E$6000=$AB311)*('2016 E Maize Soil VWC'!$F$2:$F$6000=AC$5),'2016 E Maize Soil VWC'!$G$2:$G$6000)</f>
        <v>#N/A</v>
      </c>
      <c r="AD311" s="1" t="e" cm="1">
        <f t="array" ref="AD311">_xlfn.XLOOKUP(1,('2016 E Maize Soil VWC'!$C$2:$C$6000=$AA311)*('2016 E Maize Soil VWC'!$E$2:$E$6000=$AB311)*('2016 E Maize Soil VWC'!$F$2:$F$6000=AD$5),'2016 E Maize Soil VWC'!$G$2:$G$6000)</f>
        <v>#N/A</v>
      </c>
      <c r="AE311" s="1" t="e" cm="1">
        <f t="array" ref="AE311">_xlfn.XLOOKUP(1,('2016 E Maize Soil VWC'!$C$2:$C$6000=$AA311)*('2016 E Maize Soil VWC'!$E$2:$E$6000=$AB311)*('2016 E Maize Soil VWC'!$F$2:$F$6000=AE$5),'2016 E Maize Soil VWC'!$G$2:$G$6000)</f>
        <v>#N/A</v>
      </c>
      <c r="AF311" s="1" t="e" cm="1">
        <f t="array" ref="AF311">_xlfn.XLOOKUP(1,('2016 E Maize Soil VWC'!$C$2:$C$6000=$AA311)*('2016 E Maize Soil VWC'!$E$2:$E$6000=$AB311)*('2016 E Maize Soil VWC'!$F$2:$F$6000=AF$5),'2016 E Maize Soil VWC'!$G$2:$G$6000)</f>
        <v>#N/A</v>
      </c>
      <c r="AG311" s="1" t="e" cm="1">
        <f t="array" ref="AG311">_xlfn.XLOOKUP(1,('2016 E Maize Soil VWC'!$C$2:$C$6000=$AA311)*('2016 E Maize Soil VWC'!$E$2:$E$6000=$AB311)*('2016 E Maize Soil VWC'!$F$2:$F$6000=AG$5),'2016 E Maize Soil VWC'!$G$2:$G$6000)</f>
        <v>#N/A</v>
      </c>
      <c r="AH311" s="1" t="e" cm="1">
        <f t="array" ref="AH311">_xlfn.XLOOKUP(1,('2016 E Maize Soil VWC'!$C$2:$C$6000=$AA311)*('2016 E Maize Soil VWC'!$E$2:$E$6000=$AB311)*('2016 E Maize Soil VWC'!$F$2:$F$6000=AH$5),'2016 E Maize Soil VWC'!$G$2:$G$6000)</f>
        <v>#N/A</v>
      </c>
      <c r="AI311" s="1" t="e" cm="1">
        <f t="array" ref="AI311">_xlfn.XLOOKUP(1,('2016 E Maize Soil VWC'!$C$2:$C$6000=$AA311)*('2016 E Maize Soil VWC'!$E$2:$E$6000=$AB311)*('2016 E Maize Soil VWC'!$F$2:$F$6000=AI$5),'2016 E Maize Soil VWC'!$G$2:$G$6000)</f>
        <v>#N/A</v>
      </c>
      <c r="AJ311" s="1" t="e" cm="1">
        <f t="array" ref="AJ311">_xlfn.XLOOKUP(1,('2016 E Maize Soil VWC'!$C$2:$C$6000=$AA311)*('2016 E Maize Soil VWC'!$E$2:$E$6000=$AB311)*('2016 E Maize Soil VWC'!$F$2:$F$6000=AJ$5),'2016 E Maize Soil VWC'!$G$2:$G$6000)</f>
        <v>#N/A</v>
      </c>
      <c r="AK311" s="1" t="e" cm="1">
        <f t="array" ref="AK311">_xlfn.XLOOKUP(1,('2016 E Maize Soil VWC'!$C$2:$C$6000=$AA311)*('2016 E Maize Soil VWC'!$E$2:$E$6000=$AB311)*('2016 E Maize Soil VWC'!$F$2:$F$6000=AK$5),'2016 E Maize Soil VWC'!$G$2:$G$6000)</f>
        <v>#N/A</v>
      </c>
      <c r="AL311" s="1" t="e" cm="1">
        <f t="array" ref="AL311">_xlfn.XLOOKUP(1,('2016 E Maize Soil VWC'!$C$2:$C$6000=$AA311)*('2016 E Maize Soil VWC'!$E$2:$E$6000=$AB311)*('2016 E Maize Soil VWC'!$F$2:$F$6000=AL$5),'2016 E Maize Soil VWC'!$G$2:$G$6000)</f>
        <v>#N/A</v>
      </c>
      <c r="AM311" s="1" t="e" cm="1">
        <f t="array" ref="AM311">_xlfn.XLOOKUP(1,('2016 E Maize Soil VWC'!$C$2:$C$6000=$AA311)*('2016 E Maize Soil VWC'!$E$2:$E$6000=$AB311)*('2016 E Maize Soil VWC'!$F$2:$F$6000=AM$5),'2016 E Maize Soil VWC'!$G$2:$G$6000)</f>
        <v>#N/A</v>
      </c>
      <c r="AN311" s="1" t="e" cm="1">
        <f t="array" ref="AN311">_xlfn.XLOOKUP(1,('2016 E Maize Soil VWC'!$C$2:$C$6000=$AA311)*('2016 E Maize Soil VWC'!$E$2:$E$6000=$AB311)*('2016 E Maize Soil VWC'!$F$2:$F$6000=AN$5),'2016 E Maize Soil VWC'!$G$2:$G$6000)</f>
        <v>#N/A</v>
      </c>
      <c r="AO311" s="1" t="e" cm="1">
        <f t="array" ref="AO311">_xlfn.XLOOKUP(1,('2016 E Maize Soil VWC'!$C$2:$C$6000=$AA311)*('2016 E Maize Soil VWC'!$E$2:$E$6000=$AB311)*('2016 E Maize Soil VWC'!$F$2:$F$6000=AO$5),'2016 E Maize Soil VWC'!$G$2:$G$6000)</f>
        <v>#N/A</v>
      </c>
      <c r="AP311" s="1" t="e" cm="1">
        <f t="array" ref="AP311">_xlfn.XLOOKUP(1,('2016 E Maize Soil VWC'!$C$2:$C$6000=$AA311)*('2016 E Maize Soil VWC'!$E$2:$E$6000=$AB311)*('2016 E Maize Soil VWC'!$F$2:$F$6000=AP$5),'2016 E Maize Soil VWC'!$G$2:$G$6000)</f>
        <v>#N/A</v>
      </c>
      <c r="AQ311" s="1" t="e" cm="1">
        <f t="array" ref="AQ311">_xlfn.XLOOKUP(1,('2016 E Maize Soil VWC'!$C$2:$C$6000=$AA311)*('2016 E Maize Soil VWC'!$E$2:$E$6000=$AB311)*('2016 E Maize Soil VWC'!$F$2:$F$6000=AQ$5),'2016 E Maize Soil VWC'!$G$2:$G$6000)</f>
        <v>#N/A</v>
      </c>
      <c r="AR311" s="1" t="e" cm="1">
        <f t="array" ref="AR311">_xlfn.XLOOKUP(1,('2016 E Maize Soil VWC'!$C$2:$C$6000=$AA311)*('2016 E Maize Soil VWC'!$E$2:$E$6000=$AB311)*('2016 E Maize Soil VWC'!$F$2:$F$6000=AR$5),'2016 E Maize Soil VWC'!$G$2:$G$6000)</f>
        <v>#N/A</v>
      </c>
      <c r="AS311" s="1" t="e" cm="1">
        <f t="array" ref="AS311">_xlfn.XLOOKUP(1,('2016 E Maize Soil VWC'!$C$2:$C$6000=$AA311)*('2016 E Maize Soil VWC'!$E$2:$E$6000=$AB311)*('2016 E Maize Soil VWC'!$F$2:$F$6000=AS$5),'2016 E Maize Soil VWC'!$G$2:$G$6000)</f>
        <v>#N/A</v>
      </c>
      <c r="AT311" s="1" t="e" cm="1">
        <f t="array" ref="AT311">_xlfn.XLOOKUP(1,('2016 E Maize Soil VWC'!$C$2:$C$6000=$AA311)*('2016 E Maize Soil VWC'!$E$2:$E$6000=$AB311)*('2016 E Maize Soil VWC'!$F$2:$F$6000=AT$5),'2016 E Maize Soil VWC'!$G$2:$G$6000)</f>
        <v>#N/A</v>
      </c>
      <c r="AU311" s="1" t="e" cm="1">
        <f t="array" ref="AU311">_xlfn.XLOOKUP(1,('2016 E Maize Soil VWC'!$C$2:$C$6000=$AA311)*('2016 E Maize Soil VWC'!$E$2:$E$6000=$AB311)*('2016 E Maize Soil VWC'!$F$2:$F$6000=AU$5),'2016 E Maize Soil VWC'!$G$2:$G$6000)</f>
        <v>#N/A</v>
      </c>
      <c r="AV311" s="1" t="e" cm="1">
        <f t="array" ref="AV311">_xlfn.XLOOKUP(1,('2016 E Maize Soil VWC'!$C$2:$C$6000=$AA311)*('2016 E Maize Soil VWC'!$E$2:$E$6000=$AB311)*('2016 E Maize Soil VWC'!$F$2:$F$6000=AV$5),'2016 E Maize Soil VWC'!$G$2:$G$6000)</f>
        <v>#N/A</v>
      </c>
    </row>
    <row r="312" spans="25:64" x14ac:dyDescent="0.25">
      <c r="AA312" s="18">
        <f t="shared" si="49"/>
        <v>42369</v>
      </c>
      <c r="AB312" s="1">
        <f t="shared" si="50"/>
        <v>150</v>
      </c>
      <c r="AC312" s="1" t="e" cm="1">
        <f t="array" ref="AC312">_xlfn.XLOOKUP(1,('2016 E Maize Soil VWC'!$C$2:$C$6000=$AA312)*('2016 E Maize Soil VWC'!$E$2:$E$6000=$AB312)*('2016 E Maize Soil VWC'!$F$2:$F$6000=AC$5),'2016 E Maize Soil VWC'!$G$2:$G$6000)</f>
        <v>#N/A</v>
      </c>
      <c r="AD312" s="1" t="e" cm="1">
        <f t="array" ref="AD312">_xlfn.XLOOKUP(1,('2016 E Maize Soil VWC'!$C$2:$C$6000=$AA312)*('2016 E Maize Soil VWC'!$E$2:$E$6000=$AB312)*('2016 E Maize Soil VWC'!$F$2:$F$6000=AD$5),'2016 E Maize Soil VWC'!$G$2:$G$6000)</f>
        <v>#N/A</v>
      </c>
      <c r="AE312" s="1" t="e" cm="1">
        <f t="array" ref="AE312">_xlfn.XLOOKUP(1,('2016 E Maize Soil VWC'!$C$2:$C$6000=$AA312)*('2016 E Maize Soil VWC'!$E$2:$E$6000=$AB312)*('2016 E Maize Soil VWC'!$F$2:$F$6000=AE$5),'2016 E Maize Soil VWC'!$G$2:$G$6000)</f>
        <v>#N/A</v>
      </c>
      <c r="AF312" s="1" t="e" cm="1">
        <f t="array" ref="AF312">_xlfn.XLOOKUP(1,('2016 E Maize Soil VWC'!$C$2:$C$6000=$AA312)*('2016 E Maize Soil VWC'!$E$2:$E$6000=$AB312)*('2016 E Maize Soil VWC'!$F$2:$F$6000=AF$5),'2016 E Maize Soil VWC'!$G$2:$G$6000)</f>
        <v>#N/A</v>
      </c>
      <c r="AG312" s="1" t="e" cm="1">
        <f t="array" ref="AG312">_xlfn.XLOOKUP(1,('2016 E Maize Soil VWC'!$C$2:$C$6000=$AA312)*('2016 E Maize Soil VWC'!$E$2:$E$6000=$AB312)*('2016 E Maize Soil VWC'!$F$2:$F$6000=AG$5),'2016 E Maize Soil VWC'!$G$2:$G$6000)</f>
        <v>#N/A</v>
      </c>
      <c r="AH312" s="1" t="e" cm="1">
        <f t="array" ref="AH312">_xlfn.XLOOKUP(1,('2016 E Maize Soil VWC'!$C$2:$C$6000=$AA312)*('2016 E Maize Soil VWC'!$E$2:$E$6000=$AB312)*('2016 E Maize Soil VWC'!$F$2:$F$6000=AH$5),'2016 E Maize Soil VWC'!$G$2:$G$6000)</f>
        <v>#N/A</v>
      </c>
      <c r="AI312" s="1" t="e" cm="1">
        <f t="array" ref="AI312">_xlfn.XLOOKUP(1,('2016 E Maize Soil VWC'!$C$2:$C$6000=$AA312)*('2016 E Maize Soil VWC'!$E$2:$E$6000=$AB312)*('2016 E Maize Soil VWC'!$F$2:$F$6000=AI$5),'2016 E Maize Soil VWC'!$G$2:$G$6000)</f>
        <v>#N/A</v>
      </c>
      <c r="AJ312" s="1" t="e" cm="1">
        <f t="array" ref="AJ312">_xlfn.XLOOKUP(1,('2016 E Maize Soil VWC'!$C$2:$C$6000=$AA312)*('2016 E Maize Soil VWC'!$E$2:$E$6000=$AB312)*('2016 E Maize Soil VWC'!$F$2:$F$6000=AJ$5),'2016 E Maize Soil VWC'!$G$2:$G$6000)</f>
        <v>#N/A</v>
      </c>
      <c r="AK312" s="1" t="e" cm="1">
        <f t="array" ref="AK312">_xlfn.XLOOKUP(1,('2016 E Maize Soil VWC'!$C$2:$C$6000=$AA312)*('2016 E Maize Soil VWC'!$E$2:$E$6000=$AB312)*('2016 E Maize Soil VWC'!$F$2:$F$6000=AK$5),'2016 E Maize Soil VWC'!$G$2:$G$6000)</f>
        <v>#N/A</v>
      </c>
      <c r="AL312" s="1" t="e" cm="1">
        <f t="array" ref="AL312">_xlfn.XLOOKUP(1,('2016 E Maize Soil VWC'!$C$2:$C$6000=$AA312)*('2016 E Maize Soil VWC'!$E$2:$E$6000=$AB312)*('2016 E Maize Soil VWC'!$F$2:$F$6000=AL$5),'2016 E Maize Soil VWC'!$G$2:$G$6000)</f>
        <v>#N/A</v>
      </c>
      <c r="AM312" s="1" t="e" cm="1">
        <f t="array" ref="AM312">_xlfn.XLOOKUP(1,('2016 E Maize Soil VWC'!$C$2:$C$6000=$AA312)*('2016 E Maize Soil VWC'!$E$2:$E$6000=$AB312)*('2016 E Maize Soil VWC'!$F$2:$F$6000=AM$5),'2016 E Maize Soil VWC'!$G$2:$G$6000)</f>
        <v>#N/A</v>
      </c>
      <c r="AN312" s="1" t="e" cm="1">
        <f t="array" ref="AN312">_xlfn.XLOOKUP(1,('2016 E Maize Soil VWC'!$C$2:$C$6000=$AA312)*('2016 E Maize Soil VWC'!$E$2:$E$6000=$AB312)*('2016 E Maize Soil VWC'!$F$2:$F$6000=AN$5),'2016 E Maize Soil VWC'!$G$2:$G$6000)</f>
        <v>#N/A</v>
      </c>
      <c r="AO312" s="1" t="e" cm="1">
        <f t="array" ref="AO312">_xlfn.XLOOKUP(1,('2016 E Maize Soil VWC'!$C$2:$C$6000=$AA312)*('2016 E Maize Soil VWC'!$E$2:$E$6000=$AB312)*('2016 E Maize Soil VWC'!$F$2:$F$6000=AO$5),'2016 E Maize Soil VWC'!$G$2:$G$6000)</f>
        <v>#N/A</v>
      </c>
      <c r="AP312" s="1" t="e" cm="1">
        <f t="array" ref="AP312">_xlfn.XLOOKUP(1,('2016 E Maize Soil VWC'!$C$2:$C$6000=$AA312)*('2016 E Maize Soil VWC'!$E$2:$E$6000=$AB312)*('2016 E Maize Soil VWC'!$F$2:$F$6000=AP$5),'2016 E Maize Soil VWC'!$G$2:$G$6000)</f>
        <v>#N/A</v>
      </c>
      <c r="AQ312" s="1" t="e" cm="1">
        <f t="array" ref="AQ312">_xlfn.XLOOKUP(1,('2016 E Maize Soil VWC'!$C$2:$C$6000=$AA312)*('2016 E Maize Soil VWC'!$E$2:$E$6000=$AB312)*('2016 E Maize Soil VWC'!$F$2:$F$6000=AQ$5),'2016 E Maize Soil VWC'!$G$2:$G$6000)</f>
        <v>#N/A</v>
      </c>
      <c r="AR312" s="1" t="e" cm="1">
        <f t="array" ref="AR312">_xlfn.XLOOKUP(1,('2016 E Maize Soil VWC'!$C$2:$C$6000=$AA312)*('2016 E Maize Soil VWC'!$E$2:$E$6000=$AB312)*('2016 E Maize Soil VWC'!$F$2:$F$6000=AR$5),'2016 E Maize Soil VWC'!$G$2:$G$6000)</f>
        <v>#N/A</v>
      </c>
      <c r="AS312" s="1" t="e" cm="1">
        <f t="array" ref="AS312">_xlfn.XLOOKUP(1,('2016 E Maize Soil VWC'!$C$2:$C$6000=$AA312)*('2016 E Maize Soil VWC'!$E$2:$E$6000=$AB312)*('2016 E Maize Soil VWC'!$F$2:$F$6000=AS$5),'2016 E Maize Soil VWC'!$G$2:$G$6000)</f>
        <v>#N/A</v>
      </c>
      <c r="AT312" s="1" t="e" cm="1">
        <f t="array" ref="AT312">_xlfn.XLOOKUP(1,('2016 E Maize Soil VWC'!$C$2:$C$6000=$AA312)*('2016 E Maize Soil VWC'!$E$2:$E$6000=$AB312)*('2016 E Maize Soil VWC'!$F$2:$F$6000=AT$5),'2016 E Maize Soil VWC'!$G$2:$G$6000)</f>
        <v>#N/A</v>
      </c>
      <c r="AU312" s="1" t="e" cm="1">
        <f t="array" ref="AU312">_xlfn.XLOOKUP(1,('2016 E Maize Soil VWC'!$C$2:$C$6000=$AA312)*('2016 E Maize Soil VWC'!$E$2:$E$6000=$AB312)*('2016 E Maize Soil VWC'!$F$2:$F$6000=AU$5),'2016 E Maize Soil VWC'!$G$2:$G$6000)</f>
        <v>#N/A</v>
      </c>
      <c r="AV312" s="1" t="e" cm="1">
        <f t="array" ref="AV312">_xlfn.XLOOKUP(1,('2016 E Maize Soil VWC'!$C$2:$C$6000=$AA312)*('2016 E Maize Soil VWC'!$E$2:$E$6000=$AB312)*('2016 E Maize Soil VWC'!$F$2:$F$6000=AV$5),'2016 E Maize Soil VWC'!$G$2:$G$6000)</f>
        <v>#N/A</v>
      </c>
    </row>
    <row r="313" spans="25:64" x14ac:dyDescent="0.25">
      <c r="AA313" s="18">
        <f t="shared" si="49"/>
        <v>42369</v>
      </c>
      <c r="AB313" s="1">
        <f t="shared" si="50"/>
        <v>170</v>
      </c>
      <c r="AC313" s="1" t="e" cm="1">
        <f t="array" ref="AC313">_xlfn.XLOOKUP(1,('2016 E Maize Soil VWC'!$C$2:$C$6000=$AA313)*('2016 E Maize Soil VWC'!$E$2:$E$6000=$AB313)*('2016 E Maize Soil VWC'!$F$2:$F$6000=AC$5),'2016 E Maize Soil VWC'!$G$2:$G$6000)</f>
        <v>#N/A</v>
      </c>
      <c r="AD313" s="1" t="e" cm="1">
        <f t="array" ref="AD313">_xlfn.XLOOKUP(1,('2016 E Maize Soil VWC'!$C$2:$C$6000=$AA313)*('2016 E Maize Soil VWC'!$E$2:$E$6000=$AB313)*('2016 E Maize Soil VWC'!$F$2:$F$6000=AD$5),'2016 E Maize Soil VWC'!$G$2:$G$6000)</f>
        <v>#N/A</v>
      </c>
      <c r="AE313" s="1" t="e" cm="1">
        <f t="array" ref="AE313">_xlfn.XLOOKUP(1,('2016 E Maize Soil VWC'!$C$2:$C$6000=$AA313)*('2016 E Maize Soil VWC'!$E$2:$E$6000=$AB313)*('2016 E Maize Soil VWC'!$F$2:$F$6000=AE$5),'2016 E Maize Soil VWC'!$G$2:$G$6000)</f>
        <v>#N/A</v>
      </c>
      <c r="AF313" s="1" t="e" cm="1">
        <f t="array" ref="AF313">_xlfn.XLOOKUP(1,('2016 E Maize Soil VWC'!$C$2:$C$6000=$AA313)*('2016 E Maize Soil VWC'!$E$2:$E$6000=$AB313)*('2016 E Maize Soil VWC'!$F$2:$F$6000=AF$5),'2016 E Maize Soil VWC'!$G$2:$G$6000)</f>
        <v>#N/A</v>
      </c>
      <c r="AG313" s="1" t="e" cm="1">
        <f t="array" ref="AG313">_xlfn.XLOOKUP(1,('2016 E Maize Soil VWC'!$C$2:$C$6000=$AA313)*('2016 E Maize Soil VWC'!$E$2:$E$6000=$AB313)*('2016 E Maize Soil VWC'!$F$2:$F$6000=AG$5),'2016 E Maize Soil VWC'!$G$2:$G$6000)</f>
        <v>#N/A</v>
      </c>
      <c r="AH313" s="1" t="e" cm="1">
        <f t="array" ref="AH313">_xlfn.XLOOKUP(1,('2016 E Maize Soil VWC'!$C$2:$C$6000=$AA313)*('2016 E Maize Soil VWC'!$E$2:$E$6000=$AB313)*('2016 E Maize Soil VWC'!$F$2:$F$6000=AH$5),'2016 E Maize Soil VWC'!$G$2:$G$6000)</f>
        <v>#N/A</v>
      </c>
      <c r="AI313" s="1" t="e" cm="1">
        <f t="array" ref="AI313">_xlfn.XLOOKUP(1,('2016 E Maize Soil VWC'!$C$2:$C$6000=$AA313)*('2016 E Maize Soil VWC'!$E$2:$E$6000=$AB313)*('2016 E Maize Soil VWC'!$F$2:$F$6000=AI$5),'2016 E Maize Soil VWC'!$G$2:$G$6000)</f>
        <v>#N/A</v>
      </c>
      <c r="AJ313" s="1" t="e" cm="1">
        <f t="array" ref="AJ313">_xlfn.XLOOKUP(1,('2016 E Maize Soil VWC'!$C$2:$C$6000=$AA313)*('2016 E Maize Soil VWC'!$E$2:$E$6000=$AB313)*('2016 E Maize Soil VWC'!$F$2:$F$6000=AJ$5),'2016 E Maize Soil VWC'!$G$2:$G$6000)</f>
        <v>#N/A</v>
      </c>
      <c r="AK313" s="1" t="e" cm="1">
        <f t="array" ref="AK313">_xlfn.XLOOKUP(1,('2016 E Maize Soil VWC'!$C$2:$C$6000=$AA313)*('2016 E Maize Soil VWC'!$E$2:$E$6000=$AB313)*('2016 E Maize Soil VWC'!$F$2:$F$6000=AK$5),'2016 E Maize Soil VWC'!$G$2:$G$6000)</f>
        <v>#N/A</v>
      </c>
      <c r="AL313" s="1" t="e" cm="1">
        <f t="array" ref="AL313">_xlfn.XLOOKUP(1,('2016 E Maize Soil VWC'!$C$2:$C$6000=$AA313)*('2016 E Maize Soil VWC'!$E$2:$E$6000=$AB313)*('2016 E Maize Soil VWC'!$F$2:$F$6000=AL$5),'2016 E Maize Soil VWC'!$G$2:$G$6000)</f>
        <v>#N/A</v>
      </c>
      <c r="AM313" s="1" t="e" cm="1">
        <f t="array" ref="AM313">_xlfn.XLOOKUP(1,('2016 E Maize Soil VWC'!$C$2:$C$6000=$AA313)*('2016 E Maize Soil VWC'!$E$2:$E$6000=$AB313)*('2016 E Maize Soil VWC'!$F$2:$F$6000=AM$5),'2016 E Maize Soil VWC'!$G$2:$G$6000)</f>
        <v>#N/A</v>
      </c>
      <c r="AN313" s="1" t="e" cm="1">
        <f t="array" ref="AN313">_xlfn.XLOOKUP(1,('2016 E Maize Soil VWC'!$C$2:$C$6000=$AA313)*('2016 E Maize Soil VWC'!$E$2:$E$6000=$AB313)*('2016 E Maize Soil VWC'!$F$2:$F$6000=AN$5),'2016 E Maize Soil VWC'!$G$2:$G$6000)</f>
        <v>#N/A</v>
      </c>
      <c r="AO313" s="1" t="e" cm="1">
        <f t="array" ref="AO313">_xlfn.XLOOKUP(1,('2016 E Maize Soil VWC'!$C$2:$C$6000=$AA313)*('2016 E Maize Soil VWC'!$E$2:$E$6000=$AB313)*('2016 E Maize Soil VWC'!$F$2:$F$6000=AO$5),'2016 E Maize Soil VWC'!$G$2:$G$6000)</f>
        <v>#N/A</v>
      </c>
      <c r="AP313" s="1" t="e" cm="1">
        <f t="array" ref="AP313">_xlfn.XLOOKUP(1,('2016 E Maize Soil VWC'!$C$2:$C$6000=$AA313)*('2016 E Maize Soil VWC'!$E$2:$E$6000=$AB313)*('2016 E Maize Soil VWC'!$F$2:$F$6000=AP$5),'2016 E Maize Soil VWC'!$G$2:$G$6000)</f>
        <v>#N/A</v>
      </c>
      <c r="AQ313" s="1" t="e" cm="1">
        <f t="array" ref="AQ313">_xlfn.XLOOKUP(1,('2016 E Maize Soil VWC'!$C$2:$C$6000=$AA313)*('2016 E Maize Soil VWC'!$E$2:$E$6000=$AB313)*('2016 E Maize Soil VWC'!$F$2:$F$6000=AQ$5),'2016 E Maize Soil VWC'!$G$2:$G$6000)</f>
        <v>#N/A</v>
      </c>
      <c r="AR313" s="1" t="e" cm="1">
        <f t="array" ref="AR313">_xlfn.XLOOKUP(1,('2016 E Maize Soil VWC'!$C$2:$C$6000=$AA313)*('2016 E Maize Soil VWC'!$E$2:$E$6000=$AB313)*('2016 E Maize Soil VWC'!$F$2:$F$6000=AR$5),'2016 E Maize Soil VWC'!$G$2:$G$6000)</f>
        <v>#N/A</v>
      </c>
      <c r="AS313" s="1" t="e" cm="1">
        <f t="array" ref="AS313">_xlfn.XLOOKUP(1,('2016 E Maize Soil VWC'!$C$2:$C$6000=$AA313)*('2016 E Maize Soil VWC'!$E$2:$E$6000=$AB313)*('2016 E Maize Soil VWC'!$F$2:$F$6000=AS$5),'2016 E Maize Soil VWC'!$G$2:$G$6000)</f>
        <v>#N/A</v>
      </c>
      <c r="AT313" s="1" t="e" cm="1">
        <f t="array" ref="AT313">_xlfn.XLOOKUP(1,('2016 E Maize Soil VWC'!$C$2:$C$6000=$AA313)*('2016 E Maize Soil VWC'!$E$2:$E$6000=$AB313)*('2016 E Maize Soil VWC'!$F$2:$F$6000=AT$5),'2016 E Maize Soil VWC'!$G$2:$G$6000)</f>
        <v>#N/A</v>
      </c>
      <c r="AU313" s="1" t="e" cm="1">
        <f t="array" ref="AU313">_xlfn.XLOOKUP(1,('2016 E Maize Soil VWC'!$C$2:$C$6000=$AA313)*('2016 E Maize Soil VWC'!$E$2:$E$6000=$AB313)*('2016 E Maize Soil VWC'!$F$2:$F$6000=AU$5),'2016 E Maize Soil VWC'!$G$2:$G$6000)</f>
        <v>#N/A</v>
      </c>
      <c r="AV313" s="1" t="e" cm="1">
        <f t="array" ref="AV313">_xlfn.XLOOKUP(1,('2016 E Maize Soil VWC'!$C$2:$C$6000=$AA313)*('2016 E Maize Soil VWC'!$E$2:$E$6000=$AB313)*('2016 E Maize Soil VWC'!$F$2:$F$6000=AV$5),'2016 E Maize Soil VWC'!$G$2:$G$6000)</f>
        <v>#N/A</v>
      </c>
    </row>
    <row r="314" spans="25:64" x14ac:dyDescent="0.25">
      <c r="AA314" s="18">
        <f t="shared" si="49"/>
        <v>42369</v>
      </c>
      <c r="AB314" s="1">
        <f t="shared" si="50"/>
        <v>190</v>
      </c>
      <c r="AC314" s="1" t="e" cm="1">
        <f t="array" ref="AC314">_xlfn.XLOOKUP(1,('2016 E Maize Soil VWC'!$C$2:$C$6000=$AA314)*('2016 E Maize Soil VWC'!$E$2:$E$6000=$AB314)*('2016 E Maize Soil VWC'!$F$2:$F$6000=AC$5),'2016 E Maize Soil VWC'!$G$2:$G$6000)</f>
        <v>#N/A</v>
      </c>
      <c r="AD314" s="1" t="e" cm="1">
        <f t="array" ref="AD314">_xlfn.XLOOKUP(1,('2016 E Maize Soil VWC'!$C$2:$C$6000=$AA314)*('2016 E Maize Soil VWC'!$E$2:$E$6000=$AB314)*('2016 E Maize Soil VWC'!$F$2:$F$6000=AD$5),'2016 E Maize Soil VWC'!$G$2:$G$6000)</f>
        <v>#N/A</v>
      </c>
      <c r="AE314" s="1" t="e" cm="1">
        <f t="array" ref="AE314">_xlfn.XLOOKUP(1,('2016 E Maize Soil VWC'!$C$2:$C$6000=$AA314)*('2016 E Maize Soil VWC'!$E$2:$E$6000=$AB314)*('2016 E Maize Soil VWC'!$F$2:$F$6000=AE$5),'2016 E Maize Soil VWC'!$G$2:$G$6000)</f>
        <v>#N/A</v>
      </c>
      <c r="AF314" s="1" t="e" cm="1">
        <f t="array" ref="AF314">_xlfn.XLOOKUP(1,('2016 E Maize Soil VWC'!$C$2:$C$6000=$AA314)*('2016 E Maize Soil VWC'!$E$2:$E$6000=$AB314)*('2016 E Maize Soil VWC'!$F$2:$F$6000=AF$5),'2016 E Maize Soil VWC'!$G$2:$G$6000)</f>
        <v>#N/A</v>
      </c>
      <c r="AG314" s="1" t="e" cm="1">
        <f t="array" ref="AG314">_xlfn.XLOOKUP(1,('2016 E Maize Soil VWC'!$C$2:$C$6000=$AA314)*('2016 E Maize Soil VWC'!$E$2:$E$6000=$AB314)*('2016 E Maize Soil VWC'!$F$2:$F$6000=AG$5),'2016 E Maize Soil VWC'!$G$2:$G$6000)</f>
        <v>#N/A</v>
      </c>
      <c r="AH314" s="1" t="e" cm="1">
        <f t="array" ref="AH314">_xlfn.XLOOKUP(1,('2016 E Maize Soil VWC'!$C$2:$C$6000=$AA314)*('2016 E Maize Soil VWC'!$E$2:$E$6000=$AB314)*('2016 E Maize Soil VWC'!$F$2:$F$6000=AH$5),'2016 E Maize Soil VWC'!$G$2:$G$6000)</f>
        <v>#N/A</v>
      </c>
      <c r="AI314" s="1" t="e" cm="1">
        <f t="array" ref="AI314">_xlfn.XLOOKUP(1,('2016 E Maize Soil VWC'!$C$2:$C$6000=$AA314)*('2016 E Maize Soil VWC'!$E$2:$E$6000=$AB314)*('2016 E Maize Soil VWC'!$F$2:$F$6000=AI$5),'2016 E Maize Soil VWC'!$G$2:$G$6000)</f>
        <v>#N/A</v>
      </c>
      <c r="AJ314" s="1" t="e" cm="1">
        <f t="array" ref="AJ314">_xlfn.XLOOKUP(1,('2016 E Maize Soil VWC'!$C$2:$C$6000=$AA314)*('2016 E Maize Soil VWC'!$E$2:$E$6000=$AB314)*('2016 E Maize Soil VWC'!$F$2:$F$6000=AJ$5),'2016 E Maize Soil VWC'!$G$2:$G$6000)</f>
        <v>#N/A</v>
      </c>
      <c r="AK314" s="1" t="e" cm="1">
        <f t="array" ref="AK314">_xlfn.XLOOKUP(1,('2016 E Maize Soil VWC'!$C$2:$C$6000=$AA314)*('2016 E Maize Soil VWC'!$E$2:$E$6000=$AB314)*('2016 E Maize Soil VWC'!$F$2:$F$6000=AK$5),'2016 E Maize Soil VWC'!$G$2:$G$6000)</f>
        <v>#N/A</v>
      </c>
      <c r="AL314" s="1" t="e" cm="1">
        <f t="array" ref="AL314">_xlfn.XLOOKUP(1,('2016 E Maize Soil VWC'!$C$2:$C$6000=$AA314)*('2016 E Maize Soil VWC'!$E$2:$E$6000=$AB314)*('2016 E Maize Soil VWC'!$F$2:$F$6000=AL$5),'2016 E Maize Soil VWC'!$G$2:$G$6000)</f>
        <v>#N/A</v>
      </c>
      <c r="AM314" s="1" t="e" cm="1">
        <f t="array" ref="AM314">_xlfn.XLOOKUP(1,('2016 E Maize Soil VWC'!$C$2:$C$6000=$AA314)*('2016 E Maize Soil VWC'!$E$2:$E$6000=$AB314)*('2016 E Maize Soil VWC'!$F$2:$F$6000=AM$5),'2016 E Maize Soil VWC'!$G$2:$G$6000)</f>
        <v>#N/A</v>
      </c>
      <c r="AN314" s="1" t="e" cm="1">
        <f t="array" ref="AN314">_xlfn.XLOOKUP(1,('2016 E Maize Soil VWC'!$C$2:$C$6000=$AA314)*('2016 E Maize Soil VWC'!$E$2:$E$6000=$AB314)*('2016 E Maize Soil VWC'!$F$2:$F$6000=AN$5),'2016 E Maize Soil VWC'!$G$2:$G$6000)</f>
        <v>#N/A</v>
      </c>
      <c r="AO314" s="1" t="e" cm="1">
        <f t="array" ref="AO314">_xlfn.XLOOKUP(1,('2016 E Maize Soil VWC'!$C$2:$C$6000=$AA314)*('2016 E Maize Soil VWC'!$E$2:$E$6000=$AB314)*('2016 E Maize Soil VWC'!$F$2:$F$6000=AO$5),'2016 E Maize Soil VWC'!$G$2:$G$6000)</f>
        <v>#N/A</v>
      </c>
      <c r="AP314" s="1" t="e" cm="1">
        <f t="array" ref="AP314">_xlfn.XLOOKUP(1,('2016 E Maize Soil VWC'!$C$2:$C$6000=$AA314)*('2016 E Maize Soil VWC'!$E$2:$E$6000=$AB314)*('2016 E Maize Soil VWC'!$F$2:$F$6000=AP$5),'2016 E Maize Soil VWC'!$G$2:$G$6000)</f>
        <v>#N/A</v>
      </c>
      <c r="AQ314" s="1" t="e" cm="1">
        <f t="array" ref="AQ314">_xlfn.XLOOKUP(1,('2016 E Maize Soil VWC'!$C$2:$C$6000=$AA314)*('2016 E Maize Soil VWC'!$E$2:$E$6000=$AB314)*('2016 E Maize Soil VWC'!$F$2:$F$6000=AQ$5),'2016 E Maize Soil VWC'!$G$2:$G$6000)</f>
        <v>#N/A</v>
      </c>
      <c r="AR314" s="1" t="e" cm="1">
        <f t="array" ref="AR314">_xlfn.XLOOKUP(1,('2016 E Maize Soil VWC'!$C$2:$C$6000=$AA314)*('2016 E Maize Soil VWC'!$E$2:$E$6000=$AB314)*('2016 E Maize Soil VWC'!$F$2:$F$6000=AR$5),'2016 E Maize Soil VWC'!$G$2:$G$6000)</f>
        <v>#N/A</v>
      </c>
      <c r="AS314" s="1" t="e" cm="1">
        <f t="array" ref="AS314">_xlfn.XLOOKUP(1,('2016 E Maize Soil VWC'!$C$2:$C$6000=$AA314)*('2016 E Maize Soil VWC'!$E$2:$E$6000=$AB314)*('2016 E Maize Soil VWC'!$F$2:$F$6000=AS$5),'2016 E Maize Soil VWC'!$G$2:$G$6000)</f>
        <v>#N/A</v>
      </c>
      <c r="AT314" s="1" t="e" cm="1">
        <f t="array" ref="AT314">_xlfn.XLOOKUP(1,('2016 E Maize Soil VWC'!$C$2:$C$6000=$AA314)*('2016 E Maize Soil VWC'!$E$2:$E$6000=$AB314)*('2016 E Maize Soil VWC'!$F$2:$F$6000=AT$5),'2016 E Maize Soil VWC'!$G$2:$G$6000)</f>
        <v>#N/A</v>
      </c>
      <c r="AU314" s="1" t="e" cm="1">
        <f t="array" ref="AU314">_xlfn.XLOOKUP(1,('2016 E Maize Soil VWC'!$C$2:$C$6000=$AA314)*('2016 E Maize Soil VWC'!$E$2:$E$6000=$AB314)*('2016 E Maize Soil VWC'!$F$2:$F$6000=AU$5),'2016 E Maize Soil VWC'!$G$2:$G$6000)</f>
        <v>#N/A</v>
      </c>
      <c r="AV314" s="1" t="e" cm="1">
        <f t="array" ref="AV314">_xlfn.XLOOKUP(1,('2016 E Maize Soil VWC'!$C$2:$C$6000=$AA314)*('2016 E Maize Soil VWC'!$E$2:$E$6000=$AB314)*('2016 E Maize Soil VWC'!$F$2:$F$6000=AV$5),'2016 E Maize Soil VWC'!$G$2:$G$6000)</f>
        <v>#N/A</v>
      </c>
    </row>
    <row r="315" spans="25:64" x14ac:dyDescent="0.25">
      <c r="AA315" s="18">
        <f t="shared" si="49"/>
        <v>42369</v>
      </c>
      <c r="AB315" s="1">
        <f t="shared" si="50"/>
        <v>210</v>
      </c>
      <c r="AC315" s="1" t="e" cm="1">
        <f t="array" ref="AC315">_xlfn.XLOOKUP(1,('2016 E Maize Soil VWC'!$C$2:$C$6000=$AA315)*('2016 E Maize Soil VWC'!$E$2:$E$6000=$AB315)*('2016 E Maize Soil VWC'!$F$2:$F$6000=AC$5),'2016 E Maize Soil VWC'!$G$2:$G$6000)</f>
        <v>#N/A</v>
      </c>
      <c r="AD315" s="1" t="e" cm="1">
        <f t="array" ref="AD315">_xlfn.XLOOKUP(1,('2016 E Maize Soil VWC'!$C$2:$C$6000=$AA315)*('2016 E Maize Soil VWC'!$E$2:$E$6000=$AB315)*('2016 E Maize Soil VWC'!$F$2:$F$6000=AD$5),'2016 E Maize Soil VWC'!$G$2:$G$6000)</f>
        <v>#N/A</v>
      </c>
      <c r="AE315" s="1" t="e" cm="1">
        <f t="array" ref="AE315">_xlfn.XLOOKUP(1,('2016 E Maize Soil VWC'!$C$2:$C$6000=$AA315)*('2016 E Maize Soil VWC'!$E$2:$E$6000=$AB315)*('2016 E Maize Soil VWC'!$F$2:$F$6000=AE$5),'2016 E Maize Soil VWC'!$G$2:$G$6000)</f>
        <v>#N/A</v>
      </c>
      <c r="AF315" s="1" t="e" cm="1">
        <f t="array" ref="AF315">_xlfn.XLOOKUP(1,('2016 E Maize Soil VWC'!$C$2:$C$6000=$AA315)*('2016 E Maize Soil VWC'!$E$2:$E$6000=$AB315)*('2016 E Maize Soil VWC'!$F$2:$F$6000=AF$5),'2016 E Maize Soil VWC'!$G$2:$G$6000)</f>
        <v>#N/A</v>
      </c>
      <c r="AG315" s="1" t="e" cm="1">
        <f t="array" ref="AG315">_xlfn.XLOOKUP(1,('2016 E Maize Soil VWC'!$C$2:$C$6000=$AA315)*('2016 E Maize Soil VWC'!$E$2:$E$6000=$AB315)*('2016 E Maize Soil VWC'!$F$2:$F$6000=AG$5),'2016 E Maize Soil VWC'!$G$2:$G$6000)</f>
        <v>#N/A</v>
      </c>
      <c r="AH315" s="1" t="e" cm="1">
        <f t="array" ref="AH315">_xlfn.XLOOKUP(1,('2016 E Maize Soil VWC'!$C$2:$C$6000=$AA315)*('2016 E Maize Soil VWC'!$E$2:$E$6000=$AB315)*('2016 E Maize Soil VWC'!$F$2:$F$6000=AH$5),'2016 E Maize Soil VWC'!$G$2:$G$6000)</f>
        <v>#N/A</v>
      </c>
      <c r="AI315" s="1" t="e" cm="1">
        <f t="array" ref="AI315">_xlfn.XLOOKUP(1,('2016 E Maize Soil VWC'!$C$2:$C$6000=$AA315)*('2016 E Maize Soil VWC'!$E$2:$E$6000=$AB315)*('2016 E Maize Soil VWC'!$F$2:$F$6000=AI$5),'2016 E Maize Soil VWC'!$G$2:$G$6000)</f>
        <v>#N/A</v>
      </c>
      <c r="AJ315" s="1" t="e" cm="1">
        <f t="array" ref="AJ315">_xlfn.XLOOKUP(1,('2016 E Maize Soil VWC'!$C$2:$C$6000=$AA315)*('2016 E Maize Soil VWC'!$E$2:$E$6000=$AB315)*('2016 E Maize Soil VWC'!$F$2:$F$6000=AJ$5),'2016 E Maize Soil VWC'!$G$2:$G$6000)</f>
        <v>#N/A</v>
      </c>
      <c r="AK315" s="1" t="e" cm="1">
        <f t="array" ref="AK315">_xlfn.XLOOKUP(1,('2016 E Maize Soil VWC'!$C$2:$C$6000=$AA315)*('2016 E Maize Soil VWC'!$E$2:$E$6000=$AB315)*('2016 E Maize Soil VWC'!$F$2:$F$6000=AK$5),'2016 E Maize Soil VWC'!$G$2:$G$6000)</f>
        <v>#N/A</v>
      </c>
      <c r="AL315" s="1" t="e" cm="1">
        <f t="array" ref="AL315">_xlfn.XLOOKUP(1,('2016 E Maize Soil VWC'!$C$2:$C$6000=$AA315)*('2016 E Maize Soil VWC'!$E$2:$E$6000=$AB315)*('2016 E Maize Soil VWC'!$F$2:$F$6000=AL$5),'2016 E Maize Soil VWC'!$G$2:$G$6000)</f>
        <v>#N/A</v>
      </c>
      <c r="AM315" s="1" t="e" cm="1">
        <f t="array" ref="AM315">_xlfn.XLOOKUP(1,('2016 E Maize Soil VWC'!$C$2:$C$6000=$AA315)*('2016 E Maize Soil VWC'!$E$2:$E$6000=$AB315)*('2016 E Maize Soil VWC'!$F$2:$F$6000=AM$5),'2016 E Maize Soil VWC'!$G$2:$G$6000)</f>
        <v>#N/A</v>
      </c>
      <c r="AN315" s="1" t="e" cm="1">
        <f t="array" ref="AN315">_xlfn.XLOOKUP(1,('2016 E Maize Soil VWC'!$C$2:$C$6000=$AA315)*('2016 E Maize Soil VWC'!$E$2:$E$6000=$AB315)*('2016 E Maize Soil VWC'!$F$2:$F$6000=AN$5),'2016 E Maize Soil VWC'!$G$2:$G$6000)</f>
        <v>#N/A</v>
      </c>
      <c r="AO315" s="1" t="e" cm="1">
        <f t="array" ref="AO315">_xlfn.XLOOKUP(1,('2016 E Maize Soil VWC'!$C$2:$C$6000=$AA315)*('2016 E Maize Soil VWC'!$E$2:$E$6000=$AB315)*('2016 E Maize Soil VWC'!$F$2:$F$6000=AO$5),'2016 E Maize Soil VWC'!$G$2:$G$6000)</f>
        <v>#N/A</v>
      </c>
      <c r="AP315" s="1" t="e" cm="1">
        <f t="array" ref="AP315">_xlfn.XLOOKUP(1,('2016 E Maize Soil VWC'!$C$2:$C$6000=$AA315)*('2016 E Maize Soil VWC'!$E$2:$E$6000=$AB315)*('2016 E Maize Soil VWC'!$F$2:$F$6000=AP$5),'2016 E Maize Soil VWC'!$G$2:$G$6000)</f>
        <v>#N/A</v>
      </c>
      <c r="AQ315" s="1" t="e" cm="1">
        <f t="array" ref="AQ315">_xlfn.XLOOKUP(1,('2016 E Maize Soil VWC'!$C$2:$C$6000=$AA315)*('2016 E Maize Soil VWC'!$E$2:$E$6000=$AB315)*('2016 E Maize Soil VWC'!$F$2:$F$6000=AQ$5),'2016 E Maize Soil VWC'!$G$2:$G$6000)</f>
        <v>#N/A</v>
      </c>
      <c r="AR315" s="1" t="e" cm="1">
        <f t="array" ref="AR315">_xlfn.XLOOKUP(1,('2016 E Maize Soil VWC'!$C$2:$C$6000=$AA315)*('2016 E Maize Soil VWC'!$E$2:$E$6000=$AB315)*('2016 E Maize Soil VWC'!$F$2:$F$6000=AR$5),'2016 E Maize Soil VWC'!$G$2:$G$6000)</f>
        <v>#N/A</v>
      </c>
      <c r="AS315" s="1" t="e" cm="1">
        <f t="array" ref="AS315">_xlfn.XLOOKUP(1,('2016 E Maize Soil VWC'!$C$2:$C$6000=$AA315)*('2016 E Maize Soil VWC'!$E$2:$E$6000=$AB315)*('2016 E Maize Soil VWC'!$F$2:$F$6000=AS$5),'2016 E Maize Soil VWC'!$G$2:$G$6000)</f>
        <v>#N/A</v>
      </c>
      <c r="AT315" s="1" t="e" cm="1">
        <f t="array" ref="AT315">_xlfn.XLOOKUP(1,('2016 E Maize Soil VWC'!$C$2:$C$6000=$AA315)*('2016 E Maize Soil VWC'!$E$2:$E$6000=$AB315)*('2016 E Maize Soil VWC'!$F$2:$F$6000=AT$5),'2016 E Maize Soil VWC'!$G$2:$G$6000)</f>
        <v>#N/A</v>
      </c>
      <c r="AU315" s="1" t="e" cm="1">
        <f t="array" ref="AU315">_xlfn.XLOOKUP(1,('2016 E Maize Soil VWC'!$C$2:$C$6000=$AA315)*('2016 E Maize Soil VWC'!$E$2:$E$6000=$AB315)*('2016 E Maize Soil VWC'!$F$2:$F$6000=AU$5),'2016 E Maize Soil VWC'!$G$2:$G$6000)</f>
        <v>#N/A</v>
      </c>
      <c r="AV315" s="1" t="e" cm="1">
        <f t="array" ref="AV315">_xlfn.XLOOKUP(1,('2016 E Maize Soil VWC'!$C$2:$C$6000=$AA315)*('2016 E Maize Soil VWC'!$E$2:$E$6000=$AB315)*('2016 E Maize Soil VWC'!$F$2:$F$6000=AV$5),'2016 E Maize Soil VWC'!$G$2:$G$6000)</f>
        <v>#N/A</v>
      </c>
    </row>
    <row r="316" spans="25:64" x14ac:dyDescent="0.25">
      <c r="AA316" s="18">
        <f t="shared" si="49"/>
        <v>42369</v>
      </c>
      <c r="AB316" s="1">
        <f t="shared" si="50"/>
        <v>230</v>
      </c>
      <c r="AC316" s="1" t="e" cm="1">
        <f t="array" ref="AC316">_xlfn.XLOOKUP(1,('2016 E Maize Soil VWC'!$C$2:$C$6000=$AA316)*('2016 E Maize Soil VWC'!$E$2:$E$6000=$AB316)*('2016 E Maize Soil VWC'!$F$2:$F$6000=AC$5),'2016 E Maize Soil VWC'!$G$2:$G$6000)</f>
        <v>#N/A</v>
      </c>
      <c r="AD316" s="1" t="e" cm="1">
        <f t="array" ref="AD316">_xlfn.XLOOKUP(1,('2016 E Maize Soil VWC'!$C$2:$C$6000=$AA316)*('2016 E Maize Soil VWC'!$E$2:$E$6000=$AB316)*('2016 E Maize Soil VWC'!$F$2:$F$6000=AD$5),'2016 E Maize Soil VWC'!$G$2:$G$6000)</f>
        <v>#N/A</v>
      </c>
      <c r="AE316" s="1" t="e" cm="1">
        <f t="array" ref="AE316">_xlfn.XLOOKUP(1,('2016 E Maize Soil VWC'!$C$2:$C$6000=$AA316)*('2016 E Maize Soil VWC'!$E$2:$E$6000=$AB316)*('2016 E Maize Soil VWC'!$F$2:$F$6000=AE$5),'2016 E Maize Soil VWC'!$G$2:$G$6000)</f>
        <v>#N/A</v>
      </c>
      <c r="AF316" s="1" t="e" cm="1">
        <f t="array" ref="AF316">_xlfn.XLOOKUP(1,('2016 E Maize Soil VWC'!$C$2:$C$6000=$AA316)*('2016 E Maize Soil VWC'!$E$2:$E$6000=$AB316)*('2016 E Maize Soil VWC'!$F$2:$F$6000=AF$5),'2016 E Maize Soil VWC'!$G$2:$G$6000)</f>
        <v>#N/A</v>
      </c>
      <c r="AG316" s="1" t="e" cm="1">
        <f t="array" ref="AG316">_xlfn.XLOOKUP(1,('2016 E Maize Soil VWC'!$C$2:$C$6000=$AA316)*('2016 E Maize Soil VWC'!$E$2:$E$6000=$AB316)*('2016 E Maize Soil VWC'!$F$2:$F$6000=AG$5),'2016 E Maize Soil VWC'!$G$2:$G$6000)</f>
        <v>#N/A</v>
      </c>
      <c r="AH316" s="1" t="e" cm="1">
        <f t="array" ref="AH316">_xlfn.XLOOKUP(1,('2016 E Maize Soil VWC'!$C$2:$C$6000=$AA316)*('2016 E Maize Soil VWC'!$E$2:$E$6000=$AB316)*('2016 E Maize Soil VWC'!$F$2:$F$6000=AH$5),'2016 E Maize Soil VWC'!$G$2:$G$6000)</f>
        <v>#N/A</v>
      </c>
      <c r="AI316" s="1" t="e" cm="1">
        <f t="array" ref="AI316">_xlfn.XLOOKUP(1,('2016 E Maize Soil VWC'!$C$2:$C$6000=$AA316)*('2016 E Maize Soil VWC'!$E$2:$E$6000=$AB316)*('2016 E Maize Soil VWC'!$F$2:$F$6000=AI$5),'2016 E Maize Soil VWC'!$G$2:$G$6000)</f>
        <v>#N/A</v>
      </c>
      <c r="AJ316" s="1" t="e" cm="1">
        <f t="array" ref="AJ316">_xlfn.XLOOKUP(1,('2016 E Maize Soil VWC'!$C$2:$C$6000=$AA316)*('2016 E Maize Soil VWC'!$E$2:$E$6000=$AB316)*('2016 E Maize Soil VWC'!$F$2:$F$6000=AJ$5),'2016 E Maize Soil VWC'!$G$2:$G$6000)</f>
        <v>#N/A</v>
      </c>
      <c r="AK316" s="1" t="e" cm="1">
        <f t="array" ref="AK316">_xlfn.XLOOKUP(1,('2016 E Maize Soil VWC'!$C$2:$C$6000=$AA316)*('2016 E Maize Soil VWC'!$E$2:$E$6000=$AB316)*('2016 E Maize Soil VWC'!$F$2:$F$6000=AK$5),'2016 E Maize Soil VWC'!$G$2:$G$6000)</f>
        <v>#N/A</v>
      </c>
      <c r="AL316" s="1" t="e" cm="1">
        <f t="array" ref="AL316">_xlfn.XLOOKUP(1,('2016 E Maize Soil VWC'!$C$2:$C$6000=$AA316)*('2016 E Maize Soil VWC'!$E$2:$E$6000=$AB316)*('2016 E Maize Soil VWC'!$F$2:$F$6000=AL$5),'2016 E Maize Soil VWC'!$G$2:$G$6000)</f>
        <v>#N/A</v>
      </c>
      <c r="AM316" s="1" t="e" cm="1">
        <f t="array" ref="AM316">_xlfn.XLOOKUP(1,('2016 E Maize Soil VWC'!$C$2:$C$6000=$AA316)*('2016 E Maize Soil VWC'!$E$2:$E$6000=$AB316)*('2016 E Maize Soil VWC'!$F$2:$F$6000=AM$5),'2016 E Maize Soil VWC'!$G$2:$G$6000)</f>
        <v>#N/A</v>
      </c>
      <c r="AN316" s="1" t="e" cm="1">
        <f t="array" ref="AN316">_xlfn.XLOOKUP(1,('2016 E Maize Soil VWC'!$C$2:$C$6000=$AA316)*('2016 E Maize Soil VWC'!$E$2:$E$6000=$AB316)*('2016 E Maize Soil VWC'!$F$2:$F$6000=AN$5),'2016 E Maize Soil VWC'!$G$2:$G$6000)</f>
        <v>#N/A</v>
      </c>
      <c r="AO316" s="1" t="e" cm="1">
        <f t="array" ref="AO316">_xlfn.XLOOKUP(1,('2016 E Maize Soil VWC'!$C$2:$C$6000=$AA316)*('2016 E Maize Soil VWC'!$E$2:$E$6000=$AB316)*('2016 E Maize Soil VWC'!$F$2:$F$6000=AO$5),'2016 E Maize Soil VWC'!$G$2:$G$6000)</f>
        <v>#N/A</v>
      </c>
      <c r="AP316" s="1" t="e" cm="1">
        <f t="array" ref="AP316">_xlfn.XLOOKUP(1,('2016 E Maize Soil VWC'!$C$2:$C$6000=$AA316)*('2016 E Maize Soil VWC'!$E$2:$E$6000=$AB316)*('2016 E Maize Soil VWC'!$F$2:$F$6000=AP$5),'2016 E Maize Soil VWC'!$G$2:$G$6000)</f>
        <v>#N/A</v>
      </c>
      <c r="AQ316" s="1" t="e" cm="1">
        <f t="array" ref="AQ316">_xlfn.XLOOKUP(1,('2016 E Maize Soil VWC'!$C$2:$C$6000=$AA316)*('2016 E Maize Soil VWC'!$E$2:$E$6000=$AB316)*('2016 E Maize Soil VWC'!$F$2:$F$6000=AQ$5),'2016 E Maize Soil VWC'!$G$2:$G$6000)</f>
        <v>#N/A</v>
      </c>
      <c r="AR316" s="1" t="e" cm="1">
        <f t="array" ref="AR316">_xlfn.XLOOKUP(1,('2016 E Maize Soil VWC'!$C$2:$C$6000=$AA316)*('2016 E Maize Soil VWC'!$E$2:$E$6000=$AB316)*('2016 E Maize Soil VWC'!$F$2:$F$6000=AR$5),'2016 E Maize Soil VWC'!$G$2:$G$6000)</f>
        <v>#N/A</v>
      </c>
      <c r="AS316" s="1" t="e" cm="1">
        <f t="array" ref="AS316">_xlfn.XLOOKUP(1,('2016 E Maize Soil VWC'!$C$2:$C$6000=$AA316)*('2016 E Maize Soil VWC'!$E$2:$E$6000=$AB316)*('2016 E Maize Soil VWC'!$F$2:$F$6000=AS$5),'2016 E Maize Soil VWC'!$G$2:$G$6000)</f>
        <v>#N/A</v>
      </c>
      <c r="AT316" s="1" t="e" cm="1">
        <f t="array" ref="AT316">_xlfn.XLOOKUP(1,('2016 E Maize Soil VWC'!$C$2:$C$6000=$AA316)*('2016 E Maize Soil VWC'!$E$2:$E$6000=$AB316)*('2016 E Maize Soil VWC'!$F$2:$F$6000=AT$5),'2016 E Maize Soil VWC'!$G$2:$G$6000)</f>
        <v>#N/A</v>
      </c>
      <c r="AU316" s="1" t="e" cm="1">
        <f t="array" ref="AU316">_xlfn.XLOOKUP(1,('2016 E Maize Soil VWC'!$C$2:$C$6000=$AA316)*('2016 E Maize Soil VWC'!$E$2:$E$6000=$AB316)*('2016 E Maize Soil VWC'!$F$2:$F$6000=AU$5),'2016 E Maize Soil VWC'!$G$2:$G$6000)</f>
        <v>#N/A</v>
      </c>
      <c r="AV316" s="1" t="e" cm="1">
        <f t="array" ref="AV316">_xlfn.XLOOKUP(1,('2016 E Maize Soil VWC'!$C$2:$C$6000=$AA316)*('2016 E Maize Soil VWC'!$E$2:$E$6000=$AB316)*('2016 E Maize Soil VWC'!$F$2:$F$6000=AV$5),'2016 E Maize Soil VWC'!$G$2:$G$6000)</f>
        <v>#N/A</v>
      </c>
    </row>
  </sheetData>
  <sortState xmlns:xlrd2="http://schemas.microsoft.com/office/spreadsheetml/2017/richdata2" ref="BM31:BN239">
    <sortCondition ref="BM31:BM239"/>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2016 E Maize VWC Introduction</vt:lpstr>
      <vt:lpstr>Dic. 2016 E Maize Profile WC</vt:lpstr>
      <vt:lpstr>2016 E Maize Profile WC</vt:lpstr>
      <vt:lpstr>Dic. 2016 E Maize Soil VWC</vt:lpstr>
      <vt:lpstr>2016 E Maize Soil VWC</vt:lpstr>
      <vt:lpstr>Dic. 2016 E Maize Tube Map</vt:lpstr>
      <vt:lpstr>2016 E Maize Tube Map</vt:lpstr>
      <vt:lpstr>2016 E Maize VWC Graphs</vt:lpstr>
    </vt:vector>
  </TitlesOfParts>
  <Company>USDA-ARS-CPRL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R. Evett</dc:creator>
  <cp:lastModifiedBy>Evett, Steve</cp:lastModifiedBy>
  <cp:lastPrinted>2016-08-02T19:04:01Z</cp:lastPrinted>
  <dcterms:created xsi:type="dcterms:W3CDTF">2008-07-02T13:34:31Z</dcterms:created>
  <dcterms:modified xsi:type="dcterms:W3CDTF">2022-01-11T16:09:45Z</dcterms:modified>
</cp:coreProperties>
</file>